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common\2026\annex2026\juin\fichiers_définitifs_pour_mise_en_ligne_sur_site_préparés par Geert\"/>
    </mc:Choice>
  </mc:AlternateContent>
  <xr:revisionPtr revIDLastSave="0" documentId="13_ncr:1_{65717CD4-D4C6-4793-BBAD-A4797B4CFB23}" xr6:coauthVersionLast="47" xr6:coauthVersionMax="47" xr10:uidLastSave="{00000000-0000-0000-0000-000000000000}"/>
  <bookViews>
    <workbookView xWindow="-108" yWindow="-108" windowWidth="23256" windowHeight="13896" xr2:uid="{FCE42984-7B00-44C5-ABCE-D5B1B5B3F642}"/>
  </bookViews>
  <sheets>
    <sheet name="Contents" sheetId="34" r:id="rId1"/>
    <sheet name="T01" sheetId="33" r:id="rId2"/>
    <sheet name="T02" sheetId="32" r:id="rId3"/>
    <sheet name="T03" sheetId="31" r:id="rId4"/>
    <sheet name="T04" sheetId="30" r:id="rId5"/>
    <sheet name="T05" sheetId="29" r:id="rId6"/>
    <sheet name="T06" sheetId="28" r:id="rId7"/>
    <sheet name="T07" sheetId="27" r:id="rId8"/>
    <sheet name="T08" sheetId="26" r:id="rId9"/>
    <sheet name="T09" sheetId="25" r:id="rId10"/>
    <sheet name="T10" sheetId="24" r:id="rId11"/>
    <sheet name="T11" sheetId="23" r:id="rId12"/>
    <sheet name="T12" sheetId="22" r:id="rId13"/>
    <sheet name="T13" sheetId="21" r:id="rId14"/>
    <sheet name="T14" sheetId="20" r:id="rId15"/>
    <sheet name="T15" sheetId="19" r:id="rId16"/>
    <sheet name="T16" sheetId="18" r:id="rId17"/>
    <sheet name="T17" sheetId="17" r:id="rId18"/>
    <sheet name="T18" sheetId="16" r:id="rId19"/>
    <sheet name="T19" sheetId="15" r:id="rId20"/>
    <sheet name="T20" sheetId="14" r:id="rId21"/>
    <sheet name="T21" sheetId="13" r:id="rId22"/>
    <sheet name="T22" sheetId="12" r:id="rId23"/>
    <sheet name="T23" sheetId="11" r:id="rId24"/>
    <sheet name="T24" sheetId="10" r:id="rId25"/>
    <sheet name="T25" sheetId="9" r:id="rId26"/>
    <sheet name="T26" sheetId="8" r:id="rId27"/>
    <sheet name="T27" sheetId="7" r:id="rId28"/>
    <sheet name="T28" sheetId="6" r:id="rId29"/>
    <sheet name="T29" sheetId="5" r:id="rId30"/>
    <sheet name="T30" sheetId="4" r:id="rId31"/>
    <sheet name="T31" sheetId="3" r:id="rId32"/>
    <sheet name="T32" sheetId="2"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3" i="34" l="1"/>
  <c r="A33" i="34"/>
  <c r="B32" i="34"/>
  <c r="A32" i="34"/>
  <c r="B31" i="34"/>
  <c r="A31" i="34"/>
  <c r="B30" i="34"/>
  <c r="A30" i="34"/>
  <c r="B29" i="34"/>
  <c r="A29" i="34"/>
  <c r="B28" i="34"/>
  <c r="A28" i="34"/>
  <c r="B27" i="34"/>
  <c r="A27" i="34"/>
  <c r="B26" i="34"/>
  <c r="A26" i="34"/>
  <c r="B25" i="34"/>
  <c r="A25" i="34"/>
  <c r="B24" i="34"/>
  <c r="A24" i="34"/>
  <c r="B23" i="34"/>
  <c r="A23" i="34"/>
  <c r="B22" i="34"/>
  <c r="A22" i="34"/>
  <c r="B21" i="34"/>
  <c r="A21" i="34"/>
  <c r="B20" i="34"/>
  <c r="A20" i="34"/>
  <c r="B19" i="34"/>
  <c r="A19" i="34"/>
  <c r="B18" i="34"/>
  <c r="A18" i="34"/>
  <c r="B17" i="34"/>
  <c r="A17" i="34"/>
  <c r="B16" i="34"/>
  <c r="A16" i="34"/>
  <c r="B15" i="34"/>
  <c r="A15" i="34"/>
  <c r="B14" i="34"/>
  <c r="A14" i="34"/>
  <c r="B13" i="34"/>
  <c r="A13" i="34"/>
  <c r="B12" i="34"/>
  <c r="A12" i="34"/>
  <c r="B11" i="34"/>
  <c r="A11" i="34"/>
  <c r="B10" i="34"/>
  <c r="A10" i="34"/>
  <c r="B9" i="34"/>
  <c r="A9" i="34"/>
  <c r="B8" i="34"/>
  <c r="A8" i="34"/>
  <c r="B7" i="34"/>
  <c r="A7" i="34"/>
  <c r="B6" i="34"/>
  <c r="A6" i="34"/>
  <c r="B5" i="34"/>
  <c r="A5" i="34"/>
  <c r="B4" i="34"/>
  <c r="A4" i="34"/>
  <c r="B3" i="34"/>
  <c r="A3" i="34"/>
  <c r="B2" i="34"/>
  <c r="A2" i="34"/>
</calcChain>
</file>

<file path=xl/sharedStrings.xml><?xml version="1.0" encoding="utf-8"?>
<sst xmlns="http://schemas.openxmlformats.org/spreadsheetml/2006/main" count="908" uniqueCount="534">
  <si>
    <t>F.2 Emissions de gaz à effet de serre</t>
  </si>
  <si>
    <t>Millions de tonnes d'equivalent CO2</t>
  </si>
  <si>
    <t>1.Energie</t>
  </si>
  <si>
    <t>1A. Combustion de carburants</t>
  </si>
  <si>
    <t>1A1. Secteurs d'énergie</t>
  </si>
  <si>
    <t>1A2. Industrie</t>
  </si>
  <si>
    <t>1A3. Transport</t>
  </si>
  <si>
    <t>1A4. Autres secteurs</t>
  </si>
  <si>
    <t>1A5. Autres</t>
  </si>
  <si>
    <t>1B. Emissions fugitives</t>
  </si>
  <si>
    <t>2. Processus industriels</t>
  </si>
  <si>
    <t>3. Agriculture</t>
  </si>
  <si>
    <t>5. Déchets</t>
  </si>
  <si>
    <t>Total</t>
  </si>
  <si>
    <t>F.1 Bilan énergétique</t>
  </si>
  <si>
    <t>Tous produits, millions de TEP</t>
  </si>
  <si>
    <t>Production primaire et produits recyclés</t>
  </si>
  <si>
    <t>Importations</t>
  </si>
  <si>
    <t>Exportations</t>
  </si>
  <si>
    <t>Variations de stock</t>
  </si>
  <si>
    <t>Energie brute disponible</t>
  </si>
  <si>
    <t>Soutes maritimes internationales</t>
  </si>
  <si>
    <t>Consommation intérieure brute</t>
  </si>
  <si>
    <t>Aviation internationale</t>
  </si>
  <si>
    <t>Offre totale énergétique</t>
  </si>
  <si>
    <t>Entrées en transformation</t>
  </si>
  <si>
    <t>Sorties en transformation</t>
  </si>
  <si>
    <t>Consommation du secteur énergétique</t>
  </si>
  <si>
    <t>Pertes de distribution</t>
  </si>
  <si>
    <t>Energie disponible pour la consommation finale</t>
  </si>
  <si>
    <t>Consommation finale non énergétique</t>
  </si>
  <si>
    <t>Consommation finale énergétique totale</t>
  </si>
  <si>
    <t>Industrie</t>
  </si>
  <si>
    <t>Transport</t>
  </si>
  <si>
    <t>Tertiaire et résidentiel</t>
  </si>
  <si>
    <t>Ecart statistique</t>
  </si>
  <si>
    <t>E.6 Coût nominal par tête du facteur travail des branches d'activité marchande</t>
  </si>
  <si>
    <t>Taux de croissance</t>
  </si>
  <si>
    <t>1. Agriculture</t>
  </si>
  <si>
    <t>2. Industrie</t>
  </si>
  <si>
    <t>3. Construction</t>
  </si>
  <si>
    <t>4. Services marchands</t>
  </si>
  <si>
    <t>a. Transports et communication</t>
  </si>
  <si>
    <t>b. Commerce et horeca</t>
  </si>
  <si>
    <t>c. Crédit et assurances</t>
  </si>
  <si>
    <t>d. Santé et action sociale (y.c. titres-services)</t>
  </si>
  <si>
    <t>e. Autres services marchands (y.c. titres-services et emplois ALE)</t>
  </si>
  <si>
    <t>E.5 Productivité horaire des branches d'activité marchande</t>
  </si>
  <si>
    <t>E.4 Emploi intérieur</t>
  </si>
  <si>
    <t>Milliers, moyennes annuelles</t>
  </si>
  <si>
    <t>1. Salariés</t>
  </si>
  <si>
    <t>a. Agriculture</t>
  </si>
  <si>
    <t>b. Industrie</t>
  </si>
  <si>
    <t>c. Construction</t>
  </si>
  <si>
    <t>d. Transports et communication</t>
  </si>
  <si>
    <t>e. Commerce et horeca</t>
  </si>
  <si>
    <t>f. Crédit et assurances</t>
  </si>
  <si>
    <t>g. Santé et action sociale (y.c. titres-services)</t>
  </si>
  <si>
    <t>h. Autres services marchands (y.c. titres-services et emplois ALE)</t>
  </si>
  <si>
    <t>i. Services non marchands</t>
  </si>
  <si>
    <t>i.1. Administration publique et enseignement</t>
  </si>
  <si>
    <t>i.2. Domestiques</t>
  </si>
  <si>
    <t>2. Indépendants</t>
  </si>
  <si>
    <t>g. Santé et action sociale</t>
  </si>
  <si>
    <t>h. Autres services marchands</t>
  </si>
  <si>
    <t>i. Services non marchands (enseignement)</t>
  </si>
  <si>
    <t>3. Emploi intérieur (1+2)</t>
  </si>
  <si>
    <t>p.m. Emplois titres-services et ALE</t>
  </si>
  <si>
    <t>E.3 Investissements en volume</t>
  </si>
  <si>
    <t>d. Santé et action sociale</t>
  </si>
  <si>
    <t>e. Autres services marchands (logements exclus)</t>
  </si>
  <si>
    <t>5. Logements</t>
  </si>
  <si>
    <t>6. Services non marchands</t>
  </si>
  <si>
    <t>E.2 Structure de la valeur ajoutée brute à prix courants</t>
  </si>
  <si>
    <t>En pour cent du total</t>
  </si>
  <si>
    <t>5. Services non marchands</t>
  </si>
  <si>
    <t>E.1 Valeurs ajoutées brutes en volume</t>
  </si>
  <si>
    <t>D.7 Détail des prestations sociales payées</t>
  </si>
  <si>
    <t>Millions d'euros</t>
  </si>
  <si>
    <t>I. Administrations publiques</t>
  </si>
  <si>
    <t>- En espèces</t>
  </si>
  <si>
    <t>- En nature</t>
  </si>
  <si>
    <t>II. Sécurité sociale</t>
  </si>
  <si>
    <t>A. Prestations en espèces</t>
  </si>
  <si>
    <t>1. Pensions</t>
  </si>
  <si>
    <t>a. Pensions du secteur privé</t>
  </si>
  <si>
    <t>- Salariés</t>
  </si>
  <si>
    <t>- Indépendants</t>
  </si>
  <si>
    <t>- Office de Sécurité sociale d'Outre-mer</t>
  </si>
  <si>
    <t>248</t>
  </si>
  <si>
    <t>b. Pensions du secteur public</t>
  </si>
  <si>
    <t>2. Indemnités de maladie et invalidité</t>
  </si>
  <si>
    <t>3. Allocations familiales</t>
  </si>
  <si>
    <t>4. Chômage</t>
  </si>
  <si>
    <t>a. Chômage</t>
  </si>
  <si>
    <t>b. Chômage Corona</t>
  </si>
  <si>
    <t>c. Allocations de chômage avec complément d'entreprise</t>
  </si>
  <si>
    <t>d. Interruptions de carrière et crédit-temps</t>
  </si>
  <si>
    <t>5. Accidents du travail</t>
  </si>
  <si>
    <t>6. Maladies professionnelles</t>
  </si>
  <si>
    <t>7. Assurance soins</t>
  </si>
  <si>
    <t>8. Assurance faillite / Droit passerelle</t>
  </si>
  <si>
    <t>9. Autres prestations en espèces</t>
  </si>
  <si>
    <t>B. Prestations en nature</t>
  </si>
  <si>
    <t>1. Prestations de soins de santé</t>
  </si>
  <si>
    <t>2. Autres prestations en nature</t>
  </si>
  <si>
    <t>III. Pouvoir fédéral</t>
  </si>
  <si>
    <t>1. Pensions du secteur public</t>
  </si>
  <si>
    <t>2. Allocations aux personnes handicapées</t>
  </si>
  <si>
    <t>3. Transferts sociaux (crédits d'impôts récupérables)</t>
  </si>
  <si>
    <t>4. Garantie de revenus aux personnes âgées</t>
  </si>
  <si>
    <t>5. Autres prestations en espèces</t>
  </si>
  <si>
    <t>IV. Communautés et régions</t>
  </si>
  <si>
    <t>2. Interruption de carrière et crédit-temps</t>
  </si>
  <si>
    <t>4. Allocations aux personnes handicapées</t>
  </si>
  <si>
    <t>5. Transferts sociaux (crédits d'impôts récupérables)</t>
  </si>
  <si>
    <t>6. Assurance soins</t>
  </si>
  <si>
    <t>7. Autres prestations en espèces</t>
  </si>
  <si>
    <t>V. Pouvoirs locaux</t>
  </si>
  <si>
    <t>2. Autres prestations en espèces</t>
  </si>
  <si>
    <t>D.6 Compte des administrations de sécurité sociale</t>
  </si>
  <si>
    <t>1. Recettes</t>
  </si>
  <si>
    <t>A. Fiscales et parafiscales</t>
  </si>
  <si>
    <t>1. Fiscales</t>
  </si>
  <si>
    <t>a. Impôts directs</t>
  </si>
  <si>
    <t>- Ménages</t>
  </si>
  <si>
    <t>- Sociétés</t>
  </si>
  <si>
    <t>b. Impôts indirects</t>
  </si>
  <si>
    <t>2. Cotisations sociales effectives</t>
  </si>
  <si>
    <t>B. Autres recettes des autres secteurs</t>
  </si>
  <si>
    <t>1. Revenus de la propriété</t>
  </si>
  <si>
    <t>2. Transferts courants reçus</t>
  </si>
  <si>
    <t>3. Transferts en capital reçus</t>
  </si>
  <si>
    <t>4. Ventes courantes de biens et services produits</t>
  </si>
  <si>
    <t>C. Cotisations sociales imputées</t>
  </si>
  <si>
    <t>D. Transferts des administrations publiques</t>
  </si>
  <si>
    <t>1. Transferts de recettes fiscales</t>
  </si>
  <si>
    <t>2. Autres transferts</t>
  </si>
  <si>
    <t>a. Du pouvoir fédéral</t>
  </si>
  <si>
    <t>b. Des communautés et régions</t>
  </si>
  <si>
    <t>dont, en capital</t>
  </si>
  <si>
    <t>2. Dépenses</t>
  </si>
  <si>
    <t>A. Dépenses primaires</t>
  </si>
  <si>
    <t>a. Finales courantes</t>
  </si>
  <si>
    <t>1. Rémunérations des salariés</t>
  </si>
  <si>
    <t>2. Consommation intermédiaire et impôts payés</t>
  </si>
  <si>
    <t>3. Subventions</t>
  </si>
  <si>
    <t>4. Prestations sociales</t>
  </si>
  <si>
    <t>- En nature fournies par des producteurs marchands</t>
  </si>
  <si>
    <t>5. Transferts aux ménages et ISBL</t>
  </si>
  <si>
    <t>6. Transferts aux entreprises</t>
  </si>
  <si>
    <t>7. Transferts au reste du monde</t>
  </si>
  <si>
    <t>b. Finales en capital</t>
  </si>
  <si>
    <t>1. Formation brute de capital fixe</t>
  </si>
  <si>
    <t>2. Transferts aux ménages</t>
  </si>
  <si>
    <t>3. Transferts aux entreprises</t>
  </si>
  <si>
    <t>c. Transferts aux administrations publiques</t>
  </si>
  <si>
    <t>1. Transferts courants</t>
  </si>
  <si>
    <t>2. Transferts en capital</t>
  </si>
  <si>
    <t>B. Charges d'intérêts</t>
  </si>
  <si>
    <t>3. Solde de financement</t>
  </si>
  <si>
    <t>Epargne brute</t>
  </si>
  <si>
    <t>4. Solde primaire</t>
  </si>
  <si>
    <t>p.m. Consommation finale</t>
  </si>
  <si>
    <t>D.5 Compte des administrations locales</t>
  </si>
  <si>
    <t>a. Impôts directs - ménages</t>
  </si>
  <si>
    <t>C. Subsides reçus</t>
  </si>
  <si>
    <t>D. Cotisations sociales imputées</t>
  </si>
  <si>
    <t>E. Transferts des administrations publiques</t>
  </si>
  <si>
    <t>a. du pouvoir fédéral</t>
  </si>
  <si>
    <t>b. des communautés et régions</t>
  </si>
  <si>
    <t>c. des administrations de sécurité sociale</t>
  </si>
  <si>
    <t>2. Autres acquisitions nettes actifs non financiers</t>
  </si>
  <si>
    <t>3. Transferts aux ménages et ISBL</t>
  </si>
  <si>
    <t>4. Transferts aux entreprises</t>
  </si>
  <si>
    <t>p.m. consommation finale</t>
  </si>
  <si>
    <t>D.4 Solde de financement des entités fédérées</t>
  </si>
  <si>
    <t>Communautés et régions</t>
  </si>
  <si>
    <t>Communauté flamande</t>
  </si>
  <si>
    <t>Communauté française</t>
  </si>
  <si>
    <t>Région wallonne</t>
  </si>
  <si>
    <t>Région de Bruxelles-Capitale</t>
  </si>
  <si>
    <t>Autres</t>
  </si>
  <si>
    <t>D.3 Compte des communautés et régions</t>
  </si>
  <si>
    <t>c. Impôts en capital</t>
  </si>
  <si>
    <t>b. des administrations de sécurité sociale</t>
  </si>
  <si>
    <t>c. des administrations locales</t>
  </si>
  <si>
    <t>5. Transferts au reste du monde</t>
  </si>
  <si>
    <t>D.2 Compte du pouvoir fédéral</t>
  </si>
  <si>
    <t>- Autres</t>
  </si>
  <si>
    <t>1. des administrations de sécurité sociale</t>
  </si>
  <si>
    <t>2. des communautés et régions</t>
  </si>
  <si>
    <t>3. des administrations locales</t>
  </si>
  <si>
    <t>7. Contribution RNB et TVA à l'UE</t>
  </si>
  <si>
    <t>8. Autres transferts au reste du monde</t>
  </si>
  <si>
    <t>2. Autres transferts courants</t>
  </si>
  <si>
    <t>3. Transferts en capital</t>
  </si>
  <si>
    <t>D.1.bis Compte des administrations publiques</t>
  </si>
  <si>
    <t>En pour cent du PIB</t>
  </si>
  <si>
    <t>a. Courantes</t>
  </si>
  <si>
    <t>7. Contributions RNB et TVA à l'UE</t>
  </si>
  <si>
    <t>b. En capital</t>
  </si>
  <si>
    <t>D.1 Compte des administrations publiques</t>
  </si>
  <si>
    <t>C.6 Balance d'investissement et d'épargne</t>
  </si>
  <si>
    <t>1. Ressources</t>
  </si>
  <si>
    <t>a. Epargne brute</t>
  </si>
  <si>
    <t>1. Sociétés</t>
  </si>
  <si>
    <t>2. Ménages</t>
  </si>
  <si>
    <t>3. Administrations publiques</t>
  </si>
  <si>
    <t>4. ISBL</t>
  </si>
  <si>
    <t>b. Transferts nets en capital</t>
  </si>
  <si>
    <t>2. Emplois</t>
  </si>
  <si>
    <t>a. Formation brute de capital</t>
  </si>
  <si>
    <t>3. Capacité nette (+) ou besoin net (-) de financement</t>
  </si>
  <si>
    <t>C.5 Distribution du revenu national</t>
  </si>
  <si>
    <t>Particuliers</t>
  </si>
  <si>
    <t>1.Revenu primaire brut</t>
  </si>
  <si>
    <t>.salaires et traitements</t>
  </si>
  <si>
    <t>.excédent brut d'exploitation et revenu mixte</t>
  </si>
  <si>
    <t>.revenus nets de la propriété</t>
  </si>
  <si>
    <t>2.Transferts courants nets</t>
  </si>
  <si>
    <t>.prestations moins cotisations sociales</t>
  </si>
  <si>
    <t>.impôts courants</t>
  </si>
  <si>
    <t>.autres transferts</t>
  </si>
  <si>
    <t>3.Revenu disponible brut</t>
  </si>
  <si>
    <t>Sociétés</t>
  </si>
  <si>
    <t>.excédent brut d'exploitation</t>
  </si>
  <si>
    <t>Administrations publiques</t>
  </si>
  <si>
    <t>.impôts indirects nets de subventions</t>
  </si>
  <si>
    <t>Reste du monde</t>
  </si>
  <si>
    <t>1.Revenu disponible brut</t>
  </si>
  <si>
    <t>Revenu national brut</t>
  </si>
  <si>
    <t>C.4 Opérations avec le reste du monde</t>
  </si>
  <si>
    <t>I. Opérations courantes</t>
  </si>
  <si>
    <t>a. Emplois</t>
  </si>
  <si>
    <t>1. Importations de biens et services</t>
  </si>
  <si>
    <t>2. Rémunération des salariés</t>
  </si>
  <si>
    <t>3. Impôts indirects (à la prod. et à l'import.)</t>
  </si>
  <si>
    <t>4. Revenus nets de la propriété (-)</t>
  </si>
  <si>
    <t>5. Autres transferts courants nets</t>
  </si>
  <si>
    <t>6. Cotisations sociales</t>
  </si>
  <si>
    <t>7. Prestations sociales autres que transferts en nature</t>
  </si>
  <si>
    <t>8. Ajustement pour variation des droits des ménages sur les fonds de pension</t>
  </si>
  <si>
    <t>b. Ressources</t>
  </si>
  <si>
    <t>1. Exportations de biens et services</t>
  </si>
  <si>
    <t>4. Impôts courants sur le revenu et le patrimoine</t>
  </si>
  <si>
    <t>5. Cotisations sociales</t>
  </si>
  <si>
    <t>6. Prestations sociales autres que transferts en nature</t>
  </si>
  <si>
    <t>c. Solde des opérations courantes</t>
  </si>
  <si>
    <t>II. Opérations en capital</t>
  </si>
  <si>
    <t>1. Transferts nets en capital</t>
  </si>
  <si>
    <t>2. Acquisitions moins cessions d'actifs non financiers non produits (-)</t>
  </si>
  <si>
    <t>III. Capacité nette (+) ou besoin net (-) de financement de l'economie nationale</t>
  </si>
  <si>
    <t>C.3 Compte des entreprises</t>
  </si>
  <si>
    <t>a. Ressources</t>
  </si>
  <si>
    <t>1. Excédent net d'exploitation</t>
  </si>
  <si>
    <t>2. Cotisations sociales</t>
  </si>
  <si>
    <t>cotisations effectives à charge des employeurs</t>
  </si>
  <si>
    <t>cotisations à charge des salariés</t>
  </si>
  <si>
    <t>cotisations sociales imputées</t>
  </si>
  <si>
    <t>3. Revenus nets de la propriété</t>
  </si>
  <si>
    <t>4. Autres transferts courants nets</t>
  </si>
  <si>
    <t>b. Emplois</t>
  </si>
  <si>
    <t>1. Impôts courants sur le revenu et le patrimoine</t>
  </si>
  <si>
    <t>2. Prestations sociales</t>
  </si>
  <si>
    <t>prestations d'assurances sociales de régimes privés</t>
  </si>
  <si>
    <t>prestations d'assurances sociales directes d'employeurs</t>
  </si>
  <si>
    <t>3. Ajustement pour variation des droits des ménages sur les fonds de pension</t>
  </si>
  <si>
    <t>c. Epargne nette</t>
  </si>
  <si>
    <t>2. Consommation de capital fixe (-)</t>
  </si>
  <si>
    <t>3. Acquisitions moins cessions d'actifs non financiers non produits</t>
  </si>
  <si>
    <t>4. Variation des stocks</t>
  </si>
  <si>
    <t>5. Acquisitions moins cessions d'objets de valeur</t>
  </si>
  <si>
    <t>6. Transferts en capital à payer</t>
  </si>
  <si>
    <t xml:space="preserve">III. Capacité (+) ou besoin (-) net de financement </t>
  </si>
  <si>
    <t>C.2 Revenu disponible réel des particuliers (1)</t>
  </si>
  <si>
    <t>Revenu primaire brut</t>
  </si>
  <si>
    <t>a. Rémunération des salariés, dont:</t>
  </si>
  <si>
    <t>Entreprises</t>
  </si>
  <si>
    <t>Etat</t>
  </si>
  <si>
    <t>Travailleurs frontaliers</t>
  </si>
  <si>
    <t>b. Excédent brut d'exploitation et revenu mixte</t>
  </si>
  <si>
    <t>Excédent brut d'exploitation des particuliers</t>
  </si>
  <si>
    <t>Revenu mixte</t>
  </si>
  <si>
    <t>c. Revenu de la propriété (net), dont:</t>
  </si>
  <si>
    <t>Intérêts reçus</t>
  </si>
  <si>
    <t>Intérêts payés (-)</t>
  </si>
  <si>
    <t>Revenus distribués des sociétés</t>
  </si>
  <si>
    <t>Distribution secondaire des revenus</t>
  </si>
  <si>
    <t>a. Transferts aux particuliers, dont:</t>
  </si>
  <si>
    <t>Prestations sociales</t>
  </si>
  <si>
    <t>b. Cotisations de Sécurité sociale (-)</t>
  </si>
  <si>
    <t>Cotisations sociales effectives</t>
  </si>
  <si>
    <t>Cotisations sociales imputées</t>
  </si>
  <si>
    <t>c. Impôts courants sur le revenu et le patrimoine (-)</t>
  </si>
  <si>
    <t>Revenu disponible brut des particuliers</t>
  </si>
  <si>
    <t>(1) Ménages (y compris indépendants) et ISBL au service des ménages</t>
  </si>
  <si>
    <t>C.1 Compte des particuliers (1)</t>
  </si>
  <si>
    <t>2. Revenu mixte net</t>
  </si>
  <si>
    <t>3. Rémunération des salariés</t>
  </si>
  <si>
    <t>Salaires et traitements bruts</t>
  </si>
  <si>
    <t>Cotisations sociales effectives à la charge des employeurs</t>
  </si>
  <si>
    <t>Cotisations sociales imputées à la charge des employeurs</t>
  </si>
  <si>
    <t>4. Revenus nets de la propriété</t>
  </si>
  <si>
    <t>Revenu distribué des sociétés</t>
  </si>
  <si>
    <t>5. Prestations sociales</t>
  </si>
  <si>
    <t>6. Autres transferts courants nets</t>
  </si>
  <si>
    <t>7. Ajustement pour variation des droits des ménages sur les fonds de pension</t>
  </si>
  <si>
    <t>2. Cotisations sociales, dont:</t>
  </si>
  <si>
    <t>3. Consommation finale nationale</t>
  </si>
  <si>
    <t>3. Impôts en capital</t>
  </si>
  <si>
    <t>4. Variation des stocks et acquisitions moins cessions d'objets de valeur</t>
  </si>
  <si>
    <t>5. Acquisitions moins cessions d'actifs non financiers non produits</t>
  </si>
  <si>
    <t>6. Autres transferts en capital à payer</t>
  </si>
  <si>
    <t>III. Capacité nette (+) ou besoin net (-) de financement</t>
  </si>
  <si>
    <t>(1) Ménages (y compris les indépendants) et ISBL au service des ménages</t>
  </si>
  <si>
    <t>B.4 Réductions de charges sur le travail dans les branches d'activité marchande</t>
  </si>
  <si>
    <t>1. Réductions de cotisations patronales (ex ante)</t>
  </si>
  <si>
    <t>- Réductions générales et diverses</t>
  </si>
  <si>
    <t>p.m. dont via taux facial (a)</t>
  </si>
  <si>
    <t>- Subventions salariales groupes cibles fédérales</t>
  </si>
  <si>
    <t>- Subventions salariales groupes cibles transférées aux Régions (b)</t>
  </si>
  <si>
    <t>p.m. Non compris: contractuels subventionnés ONSS, artistes, parents d'accueil, domestiques</t>
  </si>
  <si>
    <t>2. Subventions salariales autres que réductions groupes cibles (ex post)</t>
  </si>
  <si>
    <t>2a. via la sécurité sociale</t>
  </si>
  <si>
    <t>- Maribel social</t>
  </si>
  <si>
    <t>- Maribel social - financement alternatif</t>
  </si>
  <si>
    <t>- Activation d'allocations de chômage</t>
  </si>
  <si>
    <t>0</t>
  </si>
  <si>
    <t>- Titres-services</t>
  </si>
  <si>
    <t>- Contractuels subventionnés hôpitaux + Harmonisation des salaires + Fin de carrière maisons de repos et de soins + Autres (c)</t>
  </si>
  <si>
    <t>117</t>
  </si>
  <si>
    <t>2b. via la fiscalité fédérale et les dépenses fédérales</t>
  </si>
  <si>
    <t>- Travail de nuit et travail en équipe (d)</t>
  </si>
  <si>
    <t>- Heures supplémentaires</t>
  </si>
  <si>
    <t>- Recherche et développement (entreprises) (e)</t>
  </si>
  <si>
    <t>- Subvention générale</t>
  </si>
  <si>
    <t>- Subventions pour des secteurs spécifiques (f)</t>
  </si>
  <si>
    <t>- Fonds "Blouses blanches" (partie Maribel social) + Autres (g)</t>
  </si>
  <si>
    <t>2c. via les Régions</t>
  </si>
  <si>
    <t>- Embauche de chômeurs âgés (Région flamande)</t>
  </si>
  <si>
    <t>- Prime à l'emploi + Incitant job plus (Région wallonne)</t>
  </si>
  <si>
    <t>19</t>
  </si>
  <si>
    <t>- Entreprises de travail adapté</t>
  </si>
  <si>
    <t>- Harmonisation des salaires + Fin de carrière maisons de repos et de soins + Autres (h)</t>
  </si>
  <si>
    <t>3. Non-transfert de cotisations personnelles (i)</t>
  </si>
  <si>
    <t>p.m. Transféré aux Régions</t>
  </si>
  <si>
    <t>Total en faveur des employeurs (1+2+3)(b)</t>
  </si>
  <si>
    <t>4. Réductions de cotisations personnelles</t>
  </si>
  <si>
    <t>- Bonus emploi</t>
  </si>
  <si>
    <t>- Restructurations</t>
  </si>
  <si>
    <t>- Sportifs</t>
  </si>
  <si>
    <t>- Pensionnés actifs dans le secteur des soins</t>
  </si>
  <si>
    <t>(a) Réductions des taux faciaux en 2016 et 2018 dans le cadre du tax shift.</t>
  </si>
  <si>
    <t>(b) Non compris: contractuels subventionnés ONSS, artistes, parents d'accueil, domestiques.</t>
  </si>
  <si>
    <t>(c) Autres: Accord social fédéral à partir de 2021 + Subvention covid "prime d'encouragement 985 secteur des soins" + Subvention covid "pécule de vacances employés" + Fonds "Blouses blanches", partie autre que Maribel social + Réintégration des malades de longue durée.</t>
  </si>
  <si>
    <t>(d) Y compris les subventions spécifiques en faveur du secteur de la construction.</t>
  </si>
  <si>
    <t>(e) "Partenariats avec les universités" et "jeunes entreprises innovantes".</t>
  </si>
  <si>
    <t>(f) Mesures marine marchande, dragage, remorquage en mer, pêche en mer, sportifs.</t>
  </si>
  <si>
    <t>(g) Autres: Subvention covid "prime de fin d'année horeca" + Subvention covid "chèque consommation secteur des soins"+ Subvention covid "retour à l'emploi".</t>
  </si>
  <si>
    <t>(h) Autres: Accords sociaux régionaux à partir de 2021 + Subvention covid "prime d'encouragement 985 secteur des soins".</t>
  </si>
  <si>
    <t>(i) Mesures marine marchande, dragage.</t>
  </si>
  <si>
    <t>B.3 Masse salariale dans le secteur marchand: évolution et déterminants</t>
  </si>
  <si>
    <t>Taux de croissance, sauf indication contraire</t>
  </si>
  <si>
    <t>Salariés dans le secteur marchand</t>
  </si>
  <si>
    <t>Coût salarial par heure effective</t>
  </si>
  <si>
    <t>p.m. idem, après déduction des subventions salariales (1)</t>
  </si>
  <si>
    <t>Coût salarial par personne</t>
  </si>
  <si>
    <t>Salaire brut par heure effective</t>
  </si>
  <si>
    <t>Salaire brut par personne</t>
  </si>
  <si>
    <t>Indexation</t>
  </si>
  <si>
    <t>Salaire brut par heure effective hors indexation</t>
  </si>
  <si>
    <t>Salaire brut par personne hors indexation</t>
  </si>
  <si>
    <t>Emploi salarié (nombre d'heures)</t>
  </si>
  <si>
    <t>Emploi salarié (nombre de personnes)</t>
  </si>
  <si>
    <t>Masse salariale y compris cotisations patronales (2)</t>
  </si>
  <si>
    <t>Masse salariale hors cotisations patronales</t>
  </si>
  <si>
    <t>Taux implicites de cotisations (en % de la masse salariale brute)</t>
  </si>
  <si>
    <t>Cotisations patronales (sensu lato) (2)</t>
  </si>
  <si>
    <t>Cotisations patronales (sensu stricto) (3)</t>
  </si>
  <si>
    <t>Cotisations personnelles (4)</t>
  </si>
  <si>
    <t>Taux net implicite de cotisations (en % de la masse salariale brute) (5)</t>
  </si>
  <si>
    <t>Inflation et indexation</t>
  </si>
  <si>
    <t>Inflation: indice national des prix à la consommation</t>
  </si>
  <si>
    <t>Inflation: indice santé</t>
  </si>
  <si>
    <t>Indexation des rémunérations du secteur public</t>
  </si>
  <si>
    <t>Indexation des prestations sociales</t>
  </si>
  <si>
    <t>Secteur marchand (salariés et indépendants)</t>
  </si>
  <si>
    <t>Valeur ajoutée en volume</t>
  </si>
  <si>
    <t>Volume de travail (nombre d'heures)</t>
  </si>
  <si>
    <t>Productivité horaire</t>
  </si>
  <si>
    <t>(1) Selon la méthodologie des comptes nationaux, dite du SEC 2010, les subventions salariales doivent être enregistrées comme une subvention et non comme une réduction directe des charges sur le travail. Elles n'entrent dès lors pas en ligne de compte dans la définition des coûts salariaux. Ces subventions salariales sont multiples et sont financées par différentes entités du secteur public.</t>
  </si>
  <si>
    <t>(2) Y compris les cotisations patronales fictives, extra-légales et les cotisations perçues par le pouvoir fédéral.</t>
  </si>
  <si>
    <t>(3) Cotisations patronales perçues par la Sécurité sociale, avant déduction des réductions de cotisations patronales groupes-cibles.</t>
  </si>
  <si>
    <t>(4) A l'exclusion des cotisations volontaires des salariés.</t>
  </si>
  <si>
    <t>(5) Cotisations patronales sensu lato moins les réductions de cotisations groupes-cibles et les autres subventions salariales.</t>
  </si>
  <si>
    <t>B.2 Situation sur le marché du travail - détail</t>
  </si>
  <si>
    <t>En milliers (moyennes annuelles)</t>
  </si>
  <si>
    <t>I. Population totale (II+III)</t>
  </si>
  <si>
    <t>I.bis Population d'âge actif (15-64 ans)</t>
  </si>
  <si>
    <t>II. Population inactive (concept BFP)</t>
  </si>
  <si>
    <t>dont: avec allocation ONEM (1):</t>
  </si>
  <si>
    <t>- Dispenses pour raisons sociales et familiales / pour aidant proche</t>
  </si>
  <si>
    <t>- Dispenses pour suivre des études</t>
  </si>
  <si>
    <t>- Interruptions de carrière et crédits-temps complets (2)</t>
  </si>
  <si>
    <t>20.1</t>
  </si>
  <si>
    <t>** Interruptions de carrière ordinaires (2)</t>
  </si>
  <si>
    <t>** Congés thématiques</t>
  </si>
  <si>
    <t>** Crédits-temps</t>
  </si>
  <si>
    <t>- Chômage avec complément d'entreprise (non demandeurs d'emploi)</t>
  </si>
  <si>
    <t>135.5</t>
  </si>
  <si>
    <t>- Chômeurs complets en formation professionnelle</t>
  </si>
  <si>
    <t>III. Population active (concept BFP) (IV+V+VI)</t>
  </si>
  <si>
    <t>IV. Emploi intérieur</t>
  </si>
  <si>
    <t>- Temps partiel avec AGR (3) + invol. avec allocations</t>
  </si>
  <si>
    <t>28.1</t>
  </si>
  <si>
    <t>- Activation</t>
  </si>
  <si>
    <t>** Agences locales pour l'emploi</t>
  </si>
  <si>
    <t>** Plan 'activa' (4)</t>
  </si>
  <si>
    <t>** Réintégration de chômeurs âgés</t>
  </si>
  <si>
    <t>** Programme de transition professionnelle</t>
  </si>
  <si>
    <t>** Première expérience professionnelle</t>
  </si>
  <si>
    <t>- Interruptions de carrière et crédits-temps partiels (2)</t>
  </si>
  <si>
    <t>31.8</t>
  </si>
  <si>
    <t>** Crédits-temps (5)</t>
  </si>
  <si>
    <t>- Prépensions à temps partiel</t>
  </si>
  <si>
    <t>- Chômeurs complets en atelier protégé</t>
  </si>
  <si>
    <t>V. Travailleurs frontaliers (solde)</t>
  </si>
  <si>
    <t>VI. Chômage (concept BFP)</t>
  </si>
  <si>
    <t>(a) Demandeurs d'emploi inoccupés (6)</t>
  </si>
  <si>
    <t>dont: chômage avec complément d'entreprise</t>
  </si>
  <si>
    <t>(b) CCI âgés non demandeurs d'emploi (1)</t>
  </si>
  <si>
    <t>p.m. Chômeurs indemnisés après un travail à temps partiel volontaire (1)</t>
  </si>
  <si>
    <t>p.m. Chômage temporaire (1)(7) (unités budgétaires)</t>
  </si>
  <si>
    <t>p.m. CCI-DE (1)(8) - variations annuelles</t>
  </si>
  <si>
    <t>p.m. Chômage avec complément d'entreprise / prépension à temps plein (total)</t>
  </si>
  <si>
    <t>p.m. Revenu d'intégration sociale (ou équivalent)</t>
  </si>
  <si>
    <t>(1) Définitions Statinfo (concept paiement)</t>
  </si>
  <si>
    <t>(2) A l'exclusion du zorgkrediet flamand</t>
  </si>
  <si>
    <t>(3) Travailleurs à temps partiel avec maintien des droits qui bénéficient ou non d'une allocation de garantie de revenu (AGR)</t>
  </si>
  <si>
    <t>(4) Y compris SINE, bonus de démarrage et bonus de stage</t>
  </si>
  <si>
    <t>(5) Y compris crédits-temps de crise</t>
  </si>
  <si>
    <t>(6) A l'exclusion des emplois ALE</t>
  </si>
  <si>
    <t>(7) Y compris la suspension de crise employés</t>
  </si>
  <si>
    <t>(8) Y compris les dispensés ALE et les bénéficiaires de l'allocation de sauvegarde</t>
  </si>
  <si>
    <t>B.1 Situation sur le marché du travail</t>
  </si>
  <si>
    <t>dont: chômage avec complément d'entreprise (non demandeurs d'emploi)</t>
  </si>
  <si>
    <t>(a) Salariés du secteur privé</t>
  </si>
  <si>
    <t>(b) Indépendants</t>
  </si>
  <si>
    <t>(c) Salariés du secteur public</t>
  </si>
  <si>
    <t>(a) Demandeurs d'emploi inoccupés (1)</t>
  </si>
  <si>
    <t>(b) Chômeurs âgés non demandeurs d'emploi (2)</t>
  </si>
  <si>
    <t>Taux de chômage (VI)/(III)</t>
  </si>
  <si>
    <t>Taux d'activité (III)/(I.bis)</t>
  </si>
  <si>
    <t>Taux d'emploi (IV+V/I.bis)</t>
  </si>
  <si>
    <t>Pour mémoire</t>
  </si>
  <si>
    <t>Taux de chômage (définition standardisée Eurostat)</t>
  </si>
  <si>
    <t>Taux d'emploi (20-64 ans; définition EFT)</t>
  </si>
  <si>
    <t>(1) Hors emplois ALE</t>
  </si>
  <si>
    <t>(2) Définition Statinfo (concept paiements)</t>
  </si>
  <si>
    <t>A.5 Revenu disponible, épargne et capacité ou besoin de financement: estimations à prix courants</t>
  </si>
  <si>
    <t>1. Produit intérieur brut aux prix du marché</t>
  </si>
  <si>
    <t>Solde des revenus primaires du/vers le reste du monde</t>
  </si>
  <si>
    <t>2. Revenu national brut</t>
  </si>
  <si>
    <t>Consommation de capital fixe</t>
  </si>
  <si>
    <t>3. Revenu national net</t>
  </si>
  <si>
    <t>Solde des transferts courants en provenance du/vers le reste du monde</t>
  </si>
  <si>
    <t>4. Revenu national net disponible</t>
  </si>
  <si>
    <t>Consommation finale nationale</t>
  </si>
  <si>
    <t>5. Epargne nationale nette</t>
  </si>
  <si>
    <t>Formation brute de capital fixe</t>
  </si>
  <si>
    <t>Variation des stocks et acquisitions moins cessions d'objets de valeur</t>
  </si>
  <si>
    <t>Solde des opérations de capital avec le reste du monde</t>
  </si>
  <si>
    <t>6. Capacité nette (+) ou besoin net (-) de financement de la nation</t>
  </si>
  <si>
    <t>A.4 Déflateurs du PIB et des principales catégories de dépenses</t>
  </si>
  <si>
    <t>Dépenses de consommation finale des particuliers</t>
  </si>
  <si>
    <t>Dépenses de consommation finale des pouvoirs publics</t>
  </si>
  <si>
    <t>a. Investissements des entreprises (1)</t>
  </si>
  <si>
    <t>b. Investissements des pouvoirs publics</t>
  </si>
  <si>
    <t>c. Investissements en logements</t>
  </si>
  <si>
    <t>Dépenses nationales totales</t>
  </si>
  <si>
    <t>Exportations de biens et services</t>
  </si>
  <si>
    <t>Importations de biens et services</t>
  </si>
  <si>
    <t>Termes de l'échange</t>
  </si>
  <si>
    <t>Produit intérieur brut</t>
  </si>
  <si>
    <t>Pour mémoire:</t>
  </si>
  <si>
    <t>Déflateur des dépenses finales totales</t>
  </si>
  <si>
    <t>Contributions:</t>
  </si>
  <si>
    <t>(a) Coûts d'origine intérieure = (a1)+(a2)+(a3)</t>
  </si>
  <si>
    <t>(a1) Coûts salariaux par unité produite</t>
  </si>
  <si>
    <t>(a2) Impôts indirects nets de subsides par unité produite</t>
  </si>
  <si>
    <t>(a3) Marge bénéficiaire par unité produite (2)</t>
  </si>
  <si>
    <t>(b) Coût des importations</t>
  </si>
  <si>
    <t>(1) Y compris indépendants et ISBL</t>
  </si>
  <si>
    <t>(2) Excédent brut d'exploitation de l'économie nationale et revenu mixte des indépendants</t>
  </si>
  <si>
    <t>A.3 PIB et principales catégories de dépenses en volume</t>
  </si>
  <si>
    <t>Variation des stocks et acquisitions moins cessions d'objets de valeur (2)</t>
  </si>
  <si>
    <t>Exportations nettes (2)</t>
  </si>
  <si>
    <t>(2) Contribution à la croissance du PIB</t>
  </si>
  <si>
    <t>A.2 PIB et principales catégories de dépenses à prix courants</t>
  </si>
  <si>
    <t>A.1 Environnement international et indicateurs financiers</t>
  </si>
  <si>
    <t>Marchés extérieurs pertinents pour la Belgique (en volume)</t>
  </si>
  <si>
    <t>PIB Zone euro (en volume)</t>
  </si>
  <si>
    <t>Taux de change nominal effectif pour la Belgique (1) (2)</t>
  </si>
  <si>
    <t>Taux de change de l'euro en dollar</t>
  </si>
  <si>
    <t>(nombre de dollars pour 100 euros) (2)</t>
  </si>
  <si>
    <t>Prix du commerce mondial</t>
  </si>
  <si>
    <t>Prix du pétrole Brent en dollars</t>
  </si>
  <si>
    <t>Prix mondiaux en dollars (3)</t>
  </si>
  <si>
    <t>Prix mondiaux en euros (3)</t>
  </si>
  <si>
    <t>Taux d'intérêt zone euro (niveau)</t>
  </si>
  <si>
    <t>Court terme (Euribor à 3 mois) (2)</t>
  </si>
  <si>
    <t>Long terme (10 ans) (2) (4)</t>
  </si>
  <si>
    <t>(1) Un chiffre positif (négatif) indique une appréciation (dépréciation)</t>
  </si>
  <si>
    <t>(2) Pour les valeurs futures: hypothèse technique basée sur les cotations à terme</t>
  </si>
  <si>
    <t>(3) Moyenne pondérée basée sur la part des partenaires commerciaux dans les importations belges</t>
  </si>
  <si>
    <t>(4) Moyenne pondérée des pays de la zone euro</t>
  </si>
  <si>
    <t>Chiffres clés pour l'économie belge</t>
  </si>
  <si>
    <t>Pourcentages de variation en volume - sauf indication contraire</t>
  </si>
  <si>
    <t>Exportations nettes (contribution à la croissance)</t>
  </si>
  <si>
    <t>Indice national des prix à la consommation</t>
  </si>
  <si>
    <t>Indice santé</t>
  </si>
  <si>
    <t>Revenu disponible réel des particuliers</t>
  </si>
  <si>
    <t>Taux d'épargne des particuliers (en % du revenu disponible)</t>
  </si>
  <si>
    <t>Emploi intérieur (variation annuelle moyenne, en milliers)</t>
  </si>
  <si>
    <t>Taux d'emploi (concept EU2020 (20-64 ans; définition EFT)) (%)</t>
  </si>
  <si>
    <t>Taux de chômage (définition standardisée Eurostat) (%)</t>
  </si>
  <si>
    <t>Solde des opérations courantes (balance des paiements, en % du PIB)</t>
  </si>
  <si>
    <t>Solde de financement des administrations publiques (en % du PIB)</t>
  </si>
  <si>
    <t>Dette publique (en % du PIB)</t>
  </si>
  <si>
    <t>Taux de change de l'euro en dollar (nombre de dollars pour 100 euros)</t>
  </si>
  <si>
    <t>Taux d'intérêt à court terme (Euribor, 3 mois) (%)</t>
  </si>
  <si>
    <t>Taux d'intérêt à long terme (OLO, 10 ans) (%)</t>
  </si>
  <si>
    <t>Perspectives économiques 2026-2031 - juin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</si>
</sst>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Calibri"/>
      <family val="2"/>
    </font>
    <font>
      <b/>
      <i/>
      <sz val="11"/>
      <color theme="1"/>
      <name val="Calibri"/>
      <family val="2"/>
    </font>
    <font>
      <u/>
      <sz val="11"/>
      <color theme="10"/>
      <name val="Aptos Narrow"/>
      <family val="2"/>
      <scheme val="minor"/>
    </font>
  </fonts>
  <fills count="2">
    <fill>
      <patternFill patternType="none"/>
    </fill>
    <fill>
      <patternFill patternType="gray125"/>
    </fill>
  </fills>
  <borders count="3">
    <border>
      <left/>
      <right/>
      <top/>
      <bottom/>
      <diagonal/>
    </border>
    <border>
      <left/>
      <right/>
      <top style="medium">
        <color rgb="FFAAAAAA"/>
      </top>
      <bottom/>
      <diagonal/>
    </border>
    <border>
      <left/>
      <right/>
      <top/>
      <bottom style="medium">
        <color rgb="FFAAAAAA"/>
      </bottom>
      <diagonal/>
    </border>
  </borders>
  <cellStyleXfs count="2">
    <xf numFmtId="0" fontId="0" fillId="0" borderId="0"/>
    <xf numFmtId="0" fontId="6" fillId="0" borderId="0" applyNumberFormat="0" applyFill="0" applyBorder="0" applyAlignment="0" applyProtection="0"/>
  </cellStyleXfs>
  <cellXfs count="41">
    <xf numFmtId="0" fontId="0" fillId="0" borderId="0" xfId="0"/>
    <xf numFmtId="0" fontId="3" fillId="0" borderId="0" xfId="0" applyFont="1"/>
    <xf numFmtId="0" fontId="4" fillId="0" borderId="0" xfId="0" applyFont="1" applyAlignment="1">
      <alignment wrapText="1"/>
    </xf>
    <xf numFmtId="0" fontId="3" fillId="0" borderId="0" xfId="0" applyFont="1" applyAlignment="1">
      <alignment wrapText="1"/>
    </xf>
    <xf numFmtId="0" fontId="2" fillId="0" borderId="1" xfId="0" applyFont="1" applyBorder="1" applyAlignment="1">
      <alignment horizontal="center" vertical="center" wrapText="1"/>
    </xf>
    <xf numFmtId="0" fontId="3" fillId="0" borderId="1" xfId="0" applyFont="1" applyBorder="1" applyAlignment="1">
      <alignment wrapText="1"/>
    </xf>
    <xf numFmtId="164" fontId="3" fillId="0" borderId="1" xfId="0" applyNumberFormat="1" applyFont="1" applyBorder="1" applyAlignment="1">
      <alignment wrapText="1"/>
    </xf>
    <xf numFmtId="0" fontId="3" fillId="0" borderId="0" xfId="0" applyFont="1" applyAlignment="1">
      <alignment horizontal="left" wrapText="1" indent="2"/>
    </xf>
    <xf numFmtId="164" fontId="3" fillId="0" borderId="0" xfId="0" applyNumberFormat="1" applyFont="1" applyAlignment="1">
      <alignment wrapText="1"/>
    </xf>
    <xf numFmtId="0" fontId="3" fillId="0" borderId="0" xfId="0" applyFont="1" applyAlignment="1">
      <alignment horizontal="left" wrapText="1" indent="4"/>
    </xf>
    <xf numFmtId="164" fontId="3" fillId="0" borderId="0" xfId="0" applyNumberFormat="1" applyFont="1"/>
    <xf numFmtId="0" fontId="2" fillId="0" borderId="0" xfId="0" applyFont="1" applyAlignment="1">
      <alignment wrapText="1"/>
    </xf>
    <xf numFmtId="0" fontId="2" fillId="0" borderId="1" xfId="0" applyFont="1" applyBorder="1" applyAlignment="1">
      <alignment wrapText="1"/>
    </xf>
    <xf numFmtId="0" fontId="3" fillId="0" borderId="0" xfId="0" applyFont="1" applyAlignment="1">
      <alignment horizontal="left" wrapText="1" indent="5"/>
    </xf>
    <xf numFmtId="0" fontId="3" fillId="0" borderId="0" xfId="0" applyFont="1" applyAlignment="1">
      <alignment horizontal="left" wrapText="1" indent="1"/>
    </xf>
    <xf numFmtId="0" fontId="2" fillId="0" borderId="0" xfId="0" applyFont="1" applyAlignment="1">
      <alignment horizontal="left" wrapText="1" indent="1"/>
    </xf>
    <xf numFmtId="0" fontId="3" fillId="0" borderId="0" xfId="0" applyFont="1" applyAlignment="1">
      <alignment horizontal="left" wrapText="1" indent="3"/>
    </xf>
    <xf numFmtId="164" fontId="2" fillId="0" borderId="1" xfId="0" applyNumberFormat="1" applyFont="1" applyBorder="1" applyAlignment="1">
      <alignment wrapText="1"/>
    </xf>
    <xf numFmtId="0" fontId="3" fillId="0" borderId="0" xfId="0" applyFont="1" applyAlignment="1">
      <alignment horizontal="left" wrapText="1" indent="6"/>
    </xf>
    <xf numFmtId="164" fontId="2" fillId="0" borderId="0" xfId="0" applyNumberFormat="1" applyFont="1" applyAlignment="1">
      <alignment wrapText="1"/>
    </xf>
    <xf numFmtId="0" fontId="5" fillId="0" borderId="0" xfId="0" applyFont="1" applyAlignment="1">
      <alignment horizontal="left" wrapText="1" indent="1"/>
    </xf>
    <xf numFmtId="0" fontId="4" fillId="0" borderId="0" xfId="0" applyFont="1" applyAlignment="1">
      <alignment horizontal="left" wrapText="1" indent="1"/>
    </xf>
    <xf numFmtId="0" fontId="3" fillId="0" borderId="0" xfId="0" applyFont="1" applyAlignment="1">
      <alignment horizontal="left" wrapText="1" indent="7"/>
    </xf>
    <xf numFmtId="0" fontId="5" fillId="0" borderId="1" xfId="0" applyFont="1" applyBorder="1" applyAlignment="1">
      <alignment horizontal="center" vertical="center" wrapText="1"/>
    </xf>
    <xf numFmtId="0" fontId="4" fillId="0" borderId="1" xfId="0" applyFont="1" applyBorder="1" applyAlignment="1">
      <alignment wrapText="1"/>
    </xf>
    <xf numFmtId="164" fontId="4" fillId="0" borderId="0" xfId="0" applyNumberFormat="1" applyFont="1" applyAlignment="1">
      <alignment wrapText="1"/>
    </xf>
    <xf numFmtId="0" fontId="1" fillId="0" borderId="0" xfId="0" applyFont="1"/>
    <xf numFmtId="0" fontId="6" fillId="0" borderId="0" xfId="1"/>
    <xf numFmtId="0" fontId="2" fillId="0" borderId="0" xfId="0" applyFont="1" applyAlignment="1">
      <alignment horizontal="left" vertical="center" wrapText="1"/>
    </xf>
    <xf numFmtId="0" fontId="4" fillId="0" borderId="2" xfId="0" applyFont="1" applyBorder="1" applyAlignment="1">
      <alignment wrapText="1"/>
    </xf>
    <xf numFmtId="0" fontId="3" fillId="0" borderId="1" xfId="0" applyFont="1" applyBorder="1" applyAlignment="1">
      <alignment wrapText="1"/>
    </xf>
    <xf numFmtId="164" fontId="3" fillId="0" borderId="1" xfId="0" applyNumberFormat="1" applyFont="1" applyBorder="1" applyAlignment="1">
      <alignment wrapText="1"/>
    </xf>
    <xf numFmtId="0" fontId="3" fillId="0" borderId="0" xfId="0" applyFont="1" applyAlignment="1">
      <alignment wrapText="1"/>
    </xf>
    <xf numFmtId="164" fontId="3" fillId="0" borderId="0" xfId="0" applyNumberFormat="1" applyFont="1" applyAlignment="1">
      <alignment wrapText="1"/>
    </xf>
    <xf numFmtId="0" fontId="4" fillId="0" borderId="0" xfId="0" applyFont="1" applyAlignment="1">
      <alignment wrapText="1"/>
    </xf>
    <xf numFmtId="164" fontId="4" fillId="0" borderId="0" xfId="0" applyNumberFormat="1" applyFont="1" applyAlignment="1">
      <alignment wrapText="1"/>
    </xf>
    <xf numFmtId="0" fontId="4" fillId="0" borderId="1" xfId="0" applyFont="1" applyBorder="1" applyAlignment="1">
      <alignment wrapText="1"/>
    </xf>
    <xf numFmtId="164" fontId="4" fillId="0" borderId="1" xfId="0" applyNumberFormat="1" applyFont="1" applyBorder="1" applyAlignment="1">
      <alignment wrapText="1"/>
    </xf>
    <xf numFmtId="0" fontId="2" fillId="0" borderId="2" xfId="0" applyFont="1" applyBorder="1" applyAlignment="1">
      <alignment wrapText="1"/>
    </xf>
    <xf numFmtId="0" fontId="3" fillId="0" borderId="1" xfId="0" applyFont="1" applyBorder="1" applyAlignment="1">
      <alignment horizontal="left" wrapText="1" indent="1"/>
    </xf>
    <xf numFmtId="164" fontId="3" fillId="0" borderId="1" xfId="0" applyNumberFormat="1" applyFont="1" applyBorder="1" applyAlignment="1">
      <alignment horizontal="left"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E11A-574D-4B84-B99C-9AB54229F40F}">
  <dimension ref="A1:B33"/>
  <sheetViews>
    <sheetView tabSelected="1" workbookViewId="0"/>
  </sheetViews>
  <sheetFormatPr defaultRowHeight="14.4" x14ac:dyDescent="0.3"/>
  <cols>
    <col min="1" max="1" width="4" bestFit="1" customWidth="1"/>
    <col min="2" max="2" width="88.6640625" bestFit="1" customWidth="1"/>
  </cols>
  <sheetData>
    <row r="1" spans="1:2" x14ac:dyDescent="0.3">
      <c r="B1" s="26" t="s">
        <v>533</v>
      </c>
    </row>
    <row r="2" spans="1:2" x14ac:dyDescent="0.3">
      <c r="A2" s="27" t="str">
        <f>HYPERLINK("#T01!A1", "T01")</f>
        <v>T01</v>
      </c>
      <c r="B2" s="27" t="str">
        <f>HYPERLINK("#T01!A1", "Chiffres clés pour l'économie belge")</f>
        <v>Chiffres clés pour l'économie belge</v>
      </c>
    </row>
    <row r="3" spans="1:2" x14ac:dyDescent="0.3">
      <c r="A3" s="27" t="str">
        <f>HYPERLINK("#T02!A1", "T02")</f>
        <v>T02</v>
      </c>
      <c r="B3" s="27" t="str">
        <f>HYPERLINK("#T02!A1", "A.1 Environnement international et indicateurs financiers")</f>
        <v>A.1 Environnement international et indicateurs financiers</v>
      </c>
    </row>
    <row r="4" spans="1:2" x14ac:dyDescent="0.3">
      <c r="A4" s="27" t="str">
        <f>HYPERLINK("#T03!A1", "T03")</f>
        <v>T03</v>
      </c>
      <c r="B4" s="27" t="str">
        <f>HYPERLINK("#T03!A1", "A.2 PIB et principales catégories de dépenses à prix courants")</f>
        <v>A.2 PIB et principales catégories de dépenses à prix courants</v>
      </c>
    </row>
    <row r="5" spans="1:2" x14ac:dyDescent="0.3">
      <c r="A5" s="27" t="str">
        <f>HYPERLINK("#T04!A1", "T04")</f>
        <v>T04</v>
      </c>
      <c r="B5" s="27" t="str">
        <f>HYPERLINK("#T04!A1", "A.3 PIB et principales catégories de dépenses en volume")</f>
        <v>A.3 PIB et principales catégories de dépenses en volume</v>
      </c>
    </row>
    <row r="6" spans="1:2" x14ac:dyDescent="0.3">
      <c r="A6" s="27" t="str">
        <f>HYPERLINK("#T05!A1", "T05")</f>
        <v>T05</v>
      </c>
      <c r="B6" s="27" t="str">
        <f>HYPERLINK("#T05!A1", "A.4 Déflateurs du PIB et des principales catégories de dépenses")</f>
        <v>A.4 Déflateurs du PIB et des principales catégories de dépenses</v>
      </c>
    </row>
    <row r="7" spans="1:2" x14ac:dyDescent="0.3">
      <c r="A7" s="27" t="str">
        <f>HYPERLINK("#T06!A1", "T06")</f>
        <v>T06</v>
      </c>
      <c r="B7" s="27" t="str">
        <f>HYPERLINK("#T06!A1", "A.5 Revenu disponible épargne et capacité ou besoin de financement: estimations à prix courants")</f>
        <v>A.5 Revenu disponible épargne et capacité ou besoin de financement: estimations à prix courants</v>
      </c>
    </row>
    <row r="8" spans="1:2" x14ac:dyDescent="0.3">
      <c r="A8" s="27" t="str">
        <f>HYPERLINK("#T07!A1", "T07")</f>
        <v>T07</v>
      </c>
      <c r="B8" s="27" t="str">
        <f>HYPERLINK("#T07!A1", "B.1 Situation sur le marché du travail")</f>
        <v>B.1 Situation sur le marché du travail</v>
      </c>
    </row>
    <row r="9" spans="1:2" x14ac:dyDescent="0.3">
      <c r="A9" s="27" t="str">
        <f>HYPERLINK("#T08!A1", "T08")</f>
        <v>T08</v>
      </c>
      <c r="B9" s="27" t="str">
        <f>HYPERLINK("#T08!A1", "B.2 Situation sur le marché du travail - détail")</f>
        <v>B.2 Situation sur le marché du travail - détail</v>
      </c>
    </row>
    <row r="10" spans="1:2" x14ac:dyDescent="0.3">
      <c r="A10" s="27" t="str">
        <f>HYPERLINK("#T09!A1", "T09")</f>
        <v>T09</v>
      </c>
      <c r="B10" s="27" t="str">
        <f>HYPERLINK("#T09!A1", "B.3 Masse salariale dans le secteur marchand: évolution et déterminants")</f>
        <v>B.3 Masse salariale dans le secteur marchand: évolution et déterminants</v>
      </c>
    </row>
    <row r="11" spans="1:2" x14ac:dyDescent="0.3">
      <c r="A11" s="27" t="str">
        <f>HYPERLINK("#T10!A1", "T10")</f>
        <v>T10</v>
      </c>
      <c r="B11" s="27" t="str">
        <f>HYPERLINK("#T10!A1", "B.4 Réductions de charges sur le travail dans les branches d'activité marchande")</f>
        <v>B.4 Réductions de charges sur le travail dans les branches d'activité marchande</v>
      </c>
    </row>
    <row r="12" spans="1:2" x14ac:dyDescent="0.3">
      <c r="A12" s="27" t="str">
        <f>HYPERLINK("#T11!A1", "T11")</f>
        <v>T11</v>
      </c>
      <c r="B12" s="27" t="str">
        <f>HYPERLINK("#T11!A1", "C.1 Compte des particuliers ")</f>
        <v xml:space="preserve">C.1 Compte des particuliers </v>
      </c>
    </row>
    <row r="13" spans="1:2" x14ac:dyDescent="0.3">
      <c r="A13" s="27" t="str">
        <f>HYPERLINK("#T12!A1", "T12")</f>
        <v>T12</v>
      </c>
      <c r="B13" s="27" t="str">
        <f>HYPERLINK("#T12!A1", "C.2 Revenu disponible réel des particuliers ")</f>
        <v xml:space="preserve">C.2 Revenu disponible réel des particuliers </v>
      </c>
    </row>
    <row r="14" spans="1:2" x14ac:dyDescent="0.3">
      <c r="A14" s="27" t="str">
        <f>HYPERLINK("#T13!A1", "T13")</f>
        <v>T13</v>
      </c>
      <c r="B14" s="27" t="str">
        <f>HYPERLINK("#T13!A1", "C.3 Compte des entreprises")</f>
        <v>C.3 Compte des entreprises</v>
      </c>
    </row>
    <row r="15" spans="1:2" x14ac:dyDescent="0.3">
      <c r="A15" s="27" t="str">
        <f>HYPERLINK("#T14!A1", "T14")</f>
        <v>T14</v>
      </c>
      <c r="B15" s="27" t="str">
        <f>HYPERLINK("#T14!A1", "C.4 Opérations avec le reste du monde")</f>
        <v>C.4 Opérations avec le reste du monde</v>
      </c>
    </row>
    <row r="16" spans="1:2" x14ac:dyDescent="0.3">
      <c r="A16" s="27" t="str">
        <f>HYPERLINK("#T15!A1", "T15")</f>
        <v>T15</v>
      </c>
      <c r="B16" s="27" t="str">
        <f>HYPERLINK("#T15!A1", "C.5 Distribution du revenu national")</f>
        <v>C.5 Distribution du revenu national</v>
      </c>
    </row>
    <row r="17" spans="1:2" x14ac:dyDescent="0.3">
      <c r="A17" s="27" t="str">
        <f>HYPERLINK("#T16!A1", "T16")</f>
        <v>T16</v>
      </c>
      <c r="B17" s="27" t="str">
        <f>HYPERLINK("#T16!A1", "C.6 Balance d'investissement et d'épargne")</f>
        <v>C.6 Balance d'investissement et d'épargne</v>
      </c>
    </row>
    <row r="18" spans="1:2" x14ac:dyDescent="0.3">
      <c r="A18" s="27" t="str">
        <f>HYPERLINK("#T17!A1", "T17")</f>
        <v>T17</v>
      </c>
      <c r="B18" s="27" t="str">
        <f>HYPERLINK("#T17!A1", "D.1 Compte des administrations publiques")</f>
        <v>D.1 Compte des administrations publiques</v>
      </c>
    </row>
    <row r="19" spans="1:2" x14ac:dyDescent="0.3">
      <c r="A19" s="27" t="str">
        <f>HYPERLINK("#T18!A1", "T18")</f>
        <v>T18</v>
      </c>
      <c r="B19" s="27" t="str">
        <f>HYPERLINK("#T18!A1", "D.1.bis Compte des administrations publiques")</f>
        <v>D.1.bis Compte des administrations publiques</v>
      </c>
    </row>
    <row r="20" spans="1:2" x14ac:dyDescent="0.3">
      <c r="A20" s="27" t="str">
        <f>HYPERLINK("#T19!A1", "T19")</f>
        <v>T19</v>
      </c>
      <c r="B20" s="27" t="str">
        <f>HYPERLINK("#T19!A1", "D.2 Compte du pouvoir fédéral")</f>
        <v>D.2 Compte du pouvoir fédéral</v>
      </c>
    </row>
    <row r="21" spans="1:2" x14ac:dyDescent="0.3">
      <c r="A21" s="27" t="str">
        <f>HYPERLINK("#T20!A1", "T20")</f>
        <v>T20</v>
      </c>
      <c r="B21" s="27" t="str">
        <f>HYPERLINK("#T20!A1", "D.3 Compte des communautés et régions")</f>
        <v>D.3 Compte des communautés et régions</v>
      </c>
    </row>
    <row r="22" spans="1:2" x14ac:dyDescent="0.3">
      <c r="A22" s="27" t="str">
        <f>HYPERLINK("#T21!A1", "T21")</f>
        <v>T21</v>
      </c>
      <c r="B22" s="27" t="str">
        <f>HYPERLINK("#T21!A1", "D.4 Solde de financement des entités fédérées")</f>
        <v>D.4 Solde de financement des entités fédérées</v>
      </c>
    </row>
    <row r="23" spans="1:2" x14ac:dyDescent="0.3">
      <c r="A23" s="27" t="str">
        <f>HYPERLINK("#T22!A1", "T22")</f>
        <v>T22</v>
      </c>
      <c r="B23" s="27" t="str">
        <f>HYPERLINK("#T22!A1", "D.5 Compte des administrations locales")</f>
        <v>D.5 Compte des administrations locales</v>
      </c>
    </row>
    <row r="24" spans="1:2" x14ac:dyDescent="0.3">
      <c r="A24" s="27" t="str">
        <f>HYPERLINK("#T23!A1", "T23")</f>
        <v>T23</v>
      </c>
      <c r="B24" s="27" t="str">
        <f>HYPERLINK("#T23!A1", "D.6 Compte des administrations de sécurité sociale")</f>
        <v>D.6 Compte des administrations de sécurité sociale</v>
      </c>
    </row>
    <row r="25" spans="1:2" x14ac:dyDescent="0.3">
      <c r="A25" s="27" t="str">
        <f>HYPERLINK("#T24!A1", "T24")</f>
        <v>T24</v>
      </c>
      <c r="B25" s="27" t="str">
        <f>HYPERLINK("#T24!A1", "D.7 Détail des prestations sociales payées")</f>
        <v>D.7 Détail des prestations sociales payées</v>
      </c>
    </row>
    <row r="26" spans="1:2" x14ac:dyDescent="0.3">
      <c r="A26" s="27" t="str">
        <f>HYPERLINK("#T25!A1", "T25")</f>
        <v>T25</v>
      </c>
      <c r="B26" s="27" t="str">
        <f>HYPERLINK("#T25!A1", "E.1 Valeurs ajoutées brutes en volume")</f>
        <v>E.1 Valeurs ajoutées brutes en volume</v>
      </c>
    </row>
    <row r="27" spans="1:2" x14ac:dyDescent="0.3">
      <c r="A27" s="27" t="str">
        <f>HYPERLINK("#T26!A1", "T26")</f>
        <v>T26</v>
      </c>
      <c r="B27" s="27" t="str">
        <f>HYPERLINK("#T26!A1", "E.2 Structure de la valeur ajoutée brute à prix courants")</f>
        <v>E.2 Structure de la valeur ajoutée brute à prix courants</v>
      </c>
    </row>
    <row r="28" spans="1:2" x14ac:dyDescent="0.3">
      <c r="A28" s="27" t="str">
        <f>HYPERLINK("#T27!A1", "T27")</f>
        <v>T27</v>
      </c>
      <c r="B28" s="27" t="str">
        <f>HYPERLINK("#T27!A1", "E.3 Investissements en volume")</f>
        <v>E.3 Investissements en volume</v>
      </c>
    </row>
    <row r="29" spans="1:2" x14ac:dyDescent="0.3">
      <c r="A29" s="27" t="str">
        <f>HYPERLINK("#T28!A1", "T28")</f>
        <v>T28</v>
      </c>
      <c r="B29" s="27" t="str">
        <f>HYPERLINK("#T28!A1", "E.4 Emploi intérieur")</f>
        <v>E.4 Emploi intérieur</v>
      </c>
    </row>
    <row r="30" spans="1:2" x14ac:dyDescent="0.3">
      <c r="A30" s="27" t="str">
        <f>HYPERLINK("#T29!A1", "T29")</f>
        <v>T29</v>
      </c>
      <c r="B30" s="27" t="str">
        <f>HYPERLINK("#T29!A1", "E.5 Productivité horaire des branches d'activité marchande")</f>
        <v>E.5 Productivité horaire des branches d'activité marchande</v>
      </c>
    </row>
    <row r="31" spans="1:2" x14ac:dyDescent="0.3">
      <c r="A31" s="27" t="str">
        <f>HYPERLINK("#T30!A1", "T30")</f>
        <v>T30</v>
      </c>
      <c r="B31" s="27" t="str">
        <f>HYPERLINK("#T30!A1", "E.6 Coût nominal par tête du facteur travail des branches d'activité marchande")</f>
        <v>E.6 Coût nominal par tête du facteur travail des branches d'activité marchande</v>
      </c>
    </row>
    <row r="32" spans="1:2" x14ac:dyDescent="0.3">
      <c r="A32" s="27" t="str">
        <f>HYPERLINK("#T31!A1", "T31")</f>
        <v>T31</v>
      </c>
      <c r="B32" s="27" t="str">
        <f>HYPERLINK("#T31!A1", "F.1 Bilan énergétique")</f>
        <v>F.1 Bilan énergétique</v>
      </c>
    </row>
    <row r="33" spans="1:2" x14ac:dyDescent="0.3">
      <c r="A33" s="27" t="str">
        <f>HYPERLINK("#T32!A1", "T32")</f>
        <v>T32</v>
      </c>
      <c r="B33" s="27" t="str">
        <f>HYPERLINK("#T32!A1", "F.2 Emissions de gaz à effet de serre")</f>
        <v>F.2 Emissions de gaz à effet de serre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CDEB-9FE8-4BD9-BB17-3FF26E506C33}">
  <dimension ref="A1:AK25"/>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5.5546875" style="1" bestFit="1" customWidth="1"/>
    <col min="38" max="16384" width="9.109375" style="1"/>
  </cols>
  <sheetData>
    <row r="1" spans="1:37" ht="15" customHeight="1" x14ac:dyDescent="0.3">
      <c r="A1" s="28" t="s">
        <v>517</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518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5" t="s">
        <v>475</v>
      </c>
      <c r="B4" s="6">
        <v>2</v>
      </c>
      <c r="C4" s="6">
        <v>1.5</v>
      </c>
      <c r="D4" s="6">
        <v>3.1</v>
      </c>
      <c r="E4" s="6">
        <v>2.1</v>
      </c>
      <c r="F4" s="6">
        <v>2.8</v>
      </c>
      <c r="G4" s="6">
        <v>0.9</v>
      </c>
      <c r="H4" s="6">
        <v>0.6</v>
      </c>
      <c r="I4" s="6">
        <v>0.7</v>
      </c>
      <c r="J4" s="6">
        <v>1.1000000000000001</v>
      </c>
      <c r="K4" s="6">
        <v>1.4</v>
      </c>
      <c r="L4" s="6">
        <v>1.8</v>
      </c>
      <c r="M4" s="6">
        <v>2.1</v>
      </c>
      <c r="N4" s="6">
        <v>1.4</v>
      </c>
      <c r="O4" s="6">
        <v>1.5</v>
      </c>
      <c r="P4" s="6">
        <v>3.8</v>
      </c>
      <c r="Q4" s="6">
        <v>0.6</v>
      </c>
      <c r="R4" s="6">
        <v>1.4</v>
      </c>
      <c r="S4" s="6">
        <v>1.3</v>
      </c>
      <c r="T4" s="6">
        <v>1</v>
      </c>
      <c r="U4" s="6">
        <v>1.6</v>
      </c>
      <c r="V4" s="6">
        <v>1.6</v>
      </c>
      <c r="W4" s="6">
        <v>1.9</v>
      </c>
      <c r="X4" s="6">
        <v>1.6</v>
      </c>
      <c r="Y4" s="6">
        <v>1.4</v>
      </c>
      <c r="Z4" s="6">
        <v>-7.2</v>
      </c>
      <c r="AA4" s="6">
        <v>5.6</v>
      </c>
      <c r="AB4" s="6">
        <v>3.7</v>
      </c>
      <c r="AC4" s="6">
        <v>1.1000000000000001</v>
      </c>
      <c r="AD4" s="6">
        <v>2</v>
      </c>
      <c r="AE4" s="6">
        <v>1.7</v>
      </c>
      <c r="AF4" s="6">
        <v>1</v>
      </c>
      <c r="AG4" s="6">
        <v>1.1000000000000001</v>
      </c>
      <c r="AH4" s="6">
        <v>1</v>
      </c>
      <c r="AI4" s="6">
        <v>1.2</v>
      </c>
      <c r="AJ4" s="6">
        <v>1.3</v>
      </c>
      <c r="AK4" s="6">
        <v>1.2</v>
      </c>
    </row>
    <row r="5" spans="1:37" x14ac:dyDescent="0.3">
      <c r="A5" s="3" t="s">
        <v>476</v>
      </c>
      <c r="B5" s="8">
        <v>1.5</v>
      </c>
      <c r="C5" s="8">
        <v>1.2</v>
      </c>
      <c r="D5" s="8">
        <v>1.7</v>
      </c>
      <c r="E5" s="8">
        <v>2.4</v>
      </c>
      <c r="F5" s="8">
        <v>2.4</v>
      </c>
      <c r="G5" s="8">
        <v>2.1</v>
      </c>
      <c r="H5" s="8">
        <v>3.3</v>
      </c>
      <c r="I5" s="8">
        <v>1.9</v>
      </c>
      <c r="J5" s="8">
        <v>2.4</v>
      </c>
      <c r="K5" s="8">
        <v>0.4</v>
      </c>
      <c r="L5" s="8">
        <v>0.7</v>
      </c>
      <c r="M5" s="8">
        <v>1.9</v>
      </c>
      <c r="N5" s="8">
        <v>3.1</v>
      </c>
      <c r="O5" s="8">
        <v>1.7</v>
      </c>
      <c r="P5" s="8">
        <v>0.2</v>
      </c>
      <c r="Q5" s="8">
        <v>0.4</v>
      </c>
      <c r="R5" s="8">
        <v>1.1000000000000001</v>
      </c>
      <c r="S5" s="8">
        <v>0.2</v>
      </c>
      <c r="T5" s="8">
        <v>1.3</v>
      </c>
      <c r="U5" s="8">
        <v>0.3</v>
      </c>
      <c r="V5" s="8">
        <v>-0.1</v>
      </c>
      <c r="W5" s="8">
        <v>0.4</v>
      </c>
      <c r="X5" s="8">
        <v>1.4</v>
      </c>
      <c r="Y5" s="8">
        <v>2</v>
      </c>
      <c r="Z5" s="8">
        <v>-0.2</v>
      </c>
      <c r="AA5" s="8">
        <v>4.2</v>
      </c>
      <c r="AB5" s="8">
        <v>3.2</v>
      </c>
      <c r="AC5" s="8">
        <v>2.7</v>
      </c>
      <c r="AD5" s="8">
        <v>1.8</v>
      </c>
      <c r="AE5" s="8">
        <v>1.6</v>
      </c>
      <c r="AF5" s="8">
        <v>1</v>
      </c>
      <c r="AG5" s="8">
        <v>0.6</v>
      </c>
      <c r="AH5" s="8">
        <v>0.8</v>
      </c>
      <c r="AI5" s="8">
        <v>1.1000000000000001</v>
      </c>
      <c r="AJ5" s="8">
        <v>0.3</v>
      </c>
      <c r="AK5" s="8">
        <v>1.1000000000000001</v>
      </c>
    </row>
    <row r="6" spans="1:37" ht="15" thickBot="1" x14ac:dyDescent="0.35">
      <c r="A6" s="3" t="s">
        <v>470</v>
      </c>
      <c r="B6" s="8">
        <v>0.6</v>
      </c>
      <c r="C6" s="8">
        <v>6.7</v>
      </c>
      <c r="D6" s="8">
        <v>2.2999999999999998</v>
      </c>
      <c r="E6" s="8">
        <v>4.0999999999999996</v>
      </c>
      <c r="F6" s="8">
        <v>5</v>
      </c>
      <c r="G6" s="8">
        <v>1.6</v>
      </c>
      <c r="H6" s="8">
        <v>-4.0999999999999996</v>
      </c>
      <c r="I6" s="8">
        <v>-0.1</v>
      </c>
      <c r="J6" s="8">
        <v>9</v>
      </c>
      <c r="K6" s="8">
        <v>5.7</v>
      </c>
      <c r="L6" s="8">
        <v>1.9</v>
      </c>
      <c r="M6" s="8">
        <v>7.3</v>
      </c>
      <c r="N6" s="8">
        <v>1.9</v>
      </c>
      <c r="O6" s="8">
        <v>-7.1</v>
      </c>
      <c r="P6" s="8">
        <v>-0.1</v>
      </c>
      <c r="Q6" s="8">
        <v>5.4</v>
      </c>
      <c r="R6" s="8">
        <v>0.7</v>
      </c>
      <c r="S6" s="8">
        <v>-2.2000000000000002</v>
      </c>
      <c r="T6" s="8">
        <v>5.7</v>
      </c>
      <c r="U6" s="8">
        <v>3.1</v>
      </c>
      <c r="V6" s="8">
        <v>4.3</v>
      </c>
      <c r="W6" s="8">
        <v>1.2</v>
      </c>
      <c r="X6" s="8">
        <v>3</v>
      </c>
      <c r="Y6" s="8">
        <v>4.4000000000000004</v>
      </c>
      <c r="Z6" s="8">
        <v>-5.0999999999999996</v>
      </c>
      <c r="AA6" s="8">
        <v>4.3</v>
      </c>
      <c r="AB6" s="8">
        <v>2.5</v>
      </c>
      <c r="AC6" s="8">
        <v>3.1</v>
      </c>
      <c r="AD6" s="8">
        <v>2</v>
      </c>
      <c r="AE6" s="8">
        <v>0</v>
      </c>
      <c r="AF6" s="8">
        <v>1.9</v>
      </c>
      <c r="AG6" s="8">
        <v>1.7</v>
      </c>
      <c r="AH6" s="8">
        <v>2.1</v>
      </c>
      <c r="AI6" s="8">
        <v>2.6</v>
      </c>
      <c r="AJ6" s="8">
        <v>2.5</v>
      </c>
      <c r="AK6" s="8">
        <v>1.1000000000000001</v>
      </c>
    </row>
    <row r="7" spans="1:37" ht="15" thickBot="1" x14ac:dyDescent="0.35">
      <c r="A7" s="5" t="s">
        <v>480</v>
      </c>
      <c r="B7" s="6">
        <v>1.5</v>
      </c>
      <c r="C7" s="6">
        <v>2.8</v>
      </c>
      <c r="D7" s="6">
        <v>2.5</v>
      </c>
      <c r="E7" s="6">
        <v>2.6</v>
      </c>
      <c r="F7" s="6">
        <v>3.7</v>
      </c>
      <c r="G7" s="6">
        <v>0.3</v>
      </c>
      <c r="H7" s="6">
        <v>0</v>
      </c>
      <c r="I7" s="6">
        <v>0.9</v>
      </c>
      <c r="J7" s="6">
        <v>3.5</v>
      </c>
      <c r="K7" s="6">
        <v>2.8</v>
      </c>
      <c r="L7" s="6">
        <v>2</v>
      </c>
      <c r="M7" s="6">
        <v>3.7</v>
      </c>
      <c r="N7" s="6">
        <v>1.9</v>
      </c>
      <c r="O7" s="6">
        <v>-1.3</v>
      </c>
      <c r="P7" s="6">
        <v>2</v>
      </c>
      <c r="Q7" s="6">
        <v>2.6</v>
      </c>
      <c r="R7" s="6">
        <v>0.2</v>
      </c>
      <c r="S7" s="6">
        <v>0.1</v>
      </c>
      <c r="T7" s="6">
        <v>1.8</v>
      </c>
      <c r="U7" s="6">
        <v>1.9</v>
      </c>
      <c r="V7" s="6">
        <v>2.4</v>
      </c>
      <c r="W7" s="6">
        <v>1.3</v>
      </c>
      <c r="X7" s="6">
        <v>2.5</v>
      </c>
      <c r="Y7" s="6">
        <v>1.2</v>
      </c>
      <c r="Z7" s="6">
        <v>-5.4</v>
      </c>
      <c r="AA7" s="6">
        <v>4.7</v>
      </c>
      <c r="AB7" s="6">
        <v>4.4000000000000004</v>
      </c>
      <c r="AC7" s="6">
        <v>1.1000000000000001</v>
      </c>
      <c r="AD7" s="6">
        <v>1.4</v>
      </c>
      <c r="AE7" s="6">
        <v>1.3</v>
      </c>
      <c r="AF7" s="6">
        <v>0.9</v>
      </c>
      <c r="AG7" s="6">
        <v>1.1000000000000001</v>
      </c>
      <c r="AH7" s="6">
        <v>1.2</v>
      </c>
      <c r="AI7" s="6">
        <v>1.5</v>
      </c>
      <c r="AJ7" s="6">
        <v>1.4</v>
      </c>
      <c r="AK7" s="6">
        <v>1.2</v>
      </c>
    </row>
    <row r="8" spans="1:37" x14ac:dyDescent="0.3">
      <c r="A8" s="5" t="s">
        <v>481</v>
      </c>
      <c r="B8" s="6">
        <v>5</v>
      </c>
      <c r="C8" s="6">
        <v>9.5</v>
      </c>
      <c r="D8" s="6">
        <v>4.0999999999999996</v>
      </c>
      <c r="E8" s="6">
        <v>4.8</v>
      </c>
      <c r="F8" s="6">
        <v>12.4</v>
      </c>
      <c r="G8" s="6">
        <v>0.4</v>
      </c>
      <c r="H8" s="6">
        <v>3.4</v>
      </c>
      <c r="I8" s="6">
        <v>1.6</v>
      </c>
      <c r="J8" s="6">
        <v>6.2</v>
      </c>
      <c r="K8" s="6">
        <v>5.5</v>
      </c>
      <c r="L8" s="6">
        <v>5.7</v>
      </c>
      <c r="M8" s="6">
        <v>5.4</v>
      </c>
      <c r="N8" s="6">
        <v>1.8</v>
      </c>
      <c r="O8" s="6">
        <v>-11.3</v>
      </c>
      <c r="P8" s="6">
        <v>10.4</v>
      </c>
      <c r="Q8" s="6">
        <v>4.8</v>
      </c>
      <c r="R8" s="6">
        <v>-0.7</v>
      </c>
      <c r="S8" s="6">
        <v>0.3</v>
      </c>
      <c r="T8" s="6">
        <v>5.3</v>
      </c>
      <c r="U8" s="6">
        <v>3.7</v>
      </c>
      <c r="V8" s="6">
        <v>6.1</v>
      </c>
      <c r="W8" s="6">
        <v>5.5</v>
      </c>
      <c r="X8" s="6">
        <v>1.5</v>
      </c>
      <c r="Y8" s="6">
        <v>2.9</v>
      </c>
      <c r="Z8" s="6">
        <v>-6</v>
      </c>
      <c r="AA8" s="6">
        <v>14.7</v>
      </c>
      <c r="AB8" s="6">
        <v>3.1</v>
      </c>
      <c r="AC8" s="6">
        <v>-7.2</v>
      </c>
      <c r="AD8" s="6">
        <v>-1.7</v>
      </c>
      <c r="AE8" s="6">
        <v>-0.3</v>
      </c>
      <c r="AF8" s="6">
        <v>1.8</v>
      </c>
      <c r="AG8" s="6">
        <v>1.6</v>
      </c>
      <c r="AH8" s="6">
        <v>2.1</v>
      </c>
      <c r="AI8" s="6">
        <v>2.2999999999999998</v>
      </c>
      <c r="AJ8" s="6">
        <v>2.2999999999999998</v>
      </c>
      <c r="AK8" s="6">
        <v>2.2000000000000002</v>
      </c>
    </row>
    <row r="9" spans="1:37" x14ac:dyDescent="0.3">
      <c r="A9" s="3" t="s">
        <v>482</v>
      </c>
      <c r="B9" s="8">
        <v>5.6</v>
      </c>
      <c r="C9" s="8">
        <v>8.1999999999999993</v>
      </c>
      <c r="D9" s="8">
        <v>5.0999999999999996</v>
      </c>
      <c r="E9" s="8">
        <v>3.4</v>
      </c>
      <c r="F9" s="8">
        <v>13</v>
      </c>
      <c r="G9" s="8">
        <v>-0.8</v>
      </c>
      <c r="H9" s="8">
        <v>1.1000000000000001</v>
      </c>
      <c r="I9" s="8">
        <v>1.5</v>
      </c>
      <c r="J9" s="8">
        <v>6.3</v>
      </c>
      <c r="K9" s="8">
        <v>6.4</v>
      </c>
      <c r="L9" s="8">
        <v>5.0999999999999996</v>
      </c>
      <c r="M9" s="8">
        <v>5.6</v>
      </c>
      <c r="N9" s="8">
        <v>3.8</v>
      </c>
      <c r="O9" s="8">
        <v>-10.6</v>
      </c>
      <c r="P9" s="8">
        <v>9.6</v>
      </c>
      <c r="Q9" s="8">
        <v>5.7</v>
      </c>
      <c r="R9" s="8">
        <v>-0.6</v>
      </c>
      <c r="S9" s="8">
        <v>0</v>
      </c>
      <c r="T9" s="8">
        <v>5.4</v>
      </c>
      <c r="U9" s="8">
        <v>4.2</v>
      </c>
      <c r="V9" s="8">
        <v>7.8</v>
      </c>
      <c r="W9" s="8">
        <v>5.4</v>
      </c>
      <c r="X9" s="8">
        <v>2.2999999999999998</v>
      </c>
      <c r="Y9" s="8">
        <v>1.5</v>
      </c>
      <c r="Z9" s="8">
        <v>-6.7</v>
      </c>
      <c r="AA9" s="8">
        <v>12.8</v>
      </c>
      <c r="AB9" s="8">
        <v>3.5</v>
      </c>
      <c r="AC9" s="8">
        <v>-7.6</v>
      </c>
      <c r="AD9" s="8">
        <v>-1.3</v>
      </c>
      <c r="AE9" s="8">
        <v>0.1</v>
      </c>
      <c r="AF9" s="8">
        <v>2</v>
      </c>
      <c r="AG9" s="8">
        <v>1.8</v>
      </c>
      <c r="AH9" s="8">
        <v>2.2000000000000002</v>
      </c>
      <c r="AI9" s="8">
        <v>2.4</v>
      </c>
      <c r="AJ9" s="8">
        <v>2.4</v>
      </c>
      <c r="AK9" s="8">
        <v>2.2000000000000002</v>
      </c>
    </row>
    <row r="10" spans="1:37" ht="15" thickBot="1" x14ac:dyDescent="0.35">
      <c r="A10" s="3" t="s">
        <v>519</v>
      </c>
      <c r="B10" s="8">
        <v>-0.1</v>
      </c>
      <c r="C10" s="8">
        <v>1</v>
      </c>
      <c r="D10" s="8">
        <v>-0.4</v>
      </c>
      <c r="E10" s="8">
        <v>1.1000000000000001</v>
      </c>
      <c r="F10" s="8">
        <v>0.1</v>
      </c>
      <c r="G10" s="8">
        <v>0.8</v>
      </c>
      <c r="H10" s="8">
        <v>1.8</v>
      </c>
      <c r="I10" s="8">
        <v>0.2</v>
      </c>
      <c r="J10" s="8">
        <v>0.3</v>
      </c>
      <c r="K10" s="8">
        <v>-0.3</v>
      </c>
      <c r="L10" s="8">
        <v>0.6</v>
      </c>
      <c r="M10" s="8">
        <v>0.1</v>
      </c>
      <c r="N10" s="8">
        <v>-1.4</v>
      </c>
      <c r="O10" s="8">
        <v>-0.6</v>
      </c>
      <c r="P10" s="8">
        <v>0.8</v>
      </c>
      <c r="Q10" s="8">
        <v>-0.6</v>
      </c>
      <c r="R10" s="8">
        <v>0</v>
      </c>
      <c r="S10" s="8">
        <v>0.3</v>
      </c>
      <c r="T10" s="8">
        <v>-0.1</v>
      </c>
      <c r="U10" s="8">
        <v>-0.4</v>
      </c>
      <c r="V10" s="8">
        <v>-1.2</v>
      </c>
      <c r="W10" s="8">
        <v>0.1</v>
      </c>
      <c r="X10" s="8">
        <v>-0.7</v>
      </c>
      <c r="Y10" s="8">
        <v>1.2</v>
      </c>
      <c r="Z10" s="8">
        <v>0.6</v>
      </c>
      <c r="AA10" s="8">
        <v>1.6</v>
      </c>
      <c r="AB10" s="8">
        <v>-0.3</v>
      </c>
      <c r="AC10" s="8">
        <v>0.6</v>
      </c>
      <c r="AD10" s="8">
        <v>-0.3</v>
      </c>
      <c r="AE10" s="8">
        <v>-0.3</v>
      </c>
      <c r="AF10" s="8">
        <v>-0.2</v>
      </c>
      <c r="AG10" s="8">
        <v>-0.2</v>
      </c>
      <c r="AH10" s="8">
        <v>-0.1</v>
      </c>
      <c r="AI10" s="8">
        <v>-0.1</v>
      </c>
      <c r="AJ10" s="8">
        <v>-0.1</v>
      </c>
      <c r="AK10" s="8">
        <v>0</v>
      </c>
    </row>
    <row r="11" spans="1:37" ht="15" thickBot="1" x14ac:dyDescent="0.35">
      <c r="A11" s="5" t="s">
        <v>484</v>
      </c>
      <c r="B11" s="6">
        <v>1.3</v>
      </c>
      <c r="C11" s="6">
        <v>3.8</v>
      </c>
      <c r="D11" s="6">
        <v>2</v>
      </c>
      <c r="E11" s="6">
        <v>3.5</v>
      </c>
      <c r="F11" s="6">
        <v>3.7</v>
      </c>
      <c r="G11" s="6">
        <v>1.1000000000000001</v>
      </c>
      <c r="H11" s="6">
        <v>1.7</v>
      </c>
      <c r="I11" s="6">
        <v>1</v>
      </c>
      <c r="J11" s="6">
        <v>3.6</v>
      </c>
      <c r="K11" s="6">
        <v>2.2999999999999998</v>
      </c>
      <c r="L11" s="6">
        <v>2.6</v>
      </c>
      <c r="M11" s="6">
        <v>3.7</v>
      </c>
      <c r="N11" s="6">
        <v>0.4</v>
      </c>
      <c r="O11" s="6">
        <v>-1.9</v>
      </c>
      <c r="P11" s="6">
        <v>2.7</v>
      </c>
      <c r="Q11" s="6">
        <v>1.9</v>
      </c>
      <c r="R11" s="6">
        <v>0.2</v>
      </c>
      <c r="S11" s="6">
        <v>0.3</v>
      </c>
      <c r="T11" s="6">
        <v>1.8</v>
      </c>
      <c r="U11" s="6">
        <v>1.5</v>
      </c>
      <c r="V11" s="6">
        <v>1.2</v>
      </c>
      <c r="W11" s="6">
        <v>1.5</v>
      </c>
      <c r="X11" s="6">
        <v>1.9</v>
      </c>
      <c r="Y11" s="6">
        <v>2.4</v>
      </c>
      <c r="Z11" s="6">
        <v>-4.8</v>
      </c>
      <c r="AA11" s="6">
        <v>6.3</v>
      </c>
      <c r="AB11" s="6">
        <v>4</v>
      </c>
      <c r="AC11" s="6">
        <v>1.7</v>
      </c>
      <c r="AD11" s="6">
        <v>1.1000000000000001</v>
      </c>
      <c r="AE11" s="6">
        <v>1</v>
      </c>
      <c r="AF11" s="6">
        <v>0.7</v>
      </c>
      <c r="AG11" s="6">
        <v>1</v>
      </c>
      <c r="AH11" s="6">
        <v>1.2</v>
      </c>
      <c r="AI11" s="6">
        <v>1.4</v>
      </c>
      <c r="AJ11" s="6">
        <v>1.3</v>
      </c>
      <c r="AK11" s="6">
        <v>1.2</v>
      </c>
    </row>
    <row r="12" spans="1:37" x14ac:dyDescent="0.3">
      <c r="A12" s="5" t="s">
        <v>520</v>
      </c>
      <c r="B12" s="6">
        <v>2.1</v>
      </c>
      <c r="C12" s="6">
        <v>1.6</v>
      </c>
      <c r="D12" s="6">
        <v>0.9</v>
      </c>
      <c r="E12" s="6">
        <v>1.1000000000000001</v>
      </c>
      <c r="F12" s="6">
        <v>2.5</v>
      </c>
      <c r="G12" s="6">
        <v>2.5</v>
      </c>
      <c r="H12" s="6">
        <v>1.6</v>
      </c>
      <c r="I12" s="6">
        <v>1.6</v>
      </c>
      <c r="J12" s="6">
        <v>2.1</v>
      </c>
      <c r="K12" s="6">
        <v>2.8</v>
      </c>
      <c r="L12" s="6">
        <v>1.8</v>
      </c>
      <c r="M12" s="6">
        <v>1.8</v>
      </c>
      <c r="N12" s="6">
        <v>4.5</v>
      </c>
      <c r="O12" s="6">
        <v>-0.1</v>
      </c>
      <c r="P12" s="6">
        <v>2.2000000000000002</v>
      </c>
      <c r="Q12" s="6">
        <v>3.5</v>
      </c>
      <c r="R12" s="6">
        <v>2.8</v>
      </c>
      <c r="S12" s="6">
        <v>1.1000000000000001</v>
      </c>
      <c r="T12" s="6">
        <v>0.3</v>
      </c>
      <c r="U12" s="6">
        <v>0.6</v>
      </c>
      <c r="V12" s="6">
        <v>2</v>
      </c>
      <c r="W12" s="6">
        <v>2.1</v>
      </c>
      <c r="X12" s="6">
        <v>2.1</v>
      </c>
      <c r="Y12" s="6">
        <v>1.4</v>
      </c>
      <c r="Z12" s="6">
        <v>0.7</v>
      </c>
      <c r="AA12" s="6">
        <v>2.4</v>
      </c>
      <c r="AB12" s="6">
        <v>9.6</v>
      </c>
      <c r="AC12" s="6">
        <v>4.0999999999999996</v>
      </c>
      <c r="AD12" s="6">
        <v>3.1</v>
      </c>
      <c r="AE12" s="6">
        <v>2.5</v>
      </c>
      <c r="AF12" s="6">
        <v>3.4</v>
      </c>
      <c r="AG12" s="6">
        <v>2.9</v>
      </c>
      <c r="AH12" s="6">
        <v>2.2999999999999998</v>
      </c>
      <c r="AI12" s="6">
        <v>1.8</v>
      </c>
      <c r="AJ12" s="6">
        <v>1.7</v>
      </c>
      <c r="AK12" s="6">
        <v>1.7</v>
      </c>
    </row>
    <row r="13" spans="1:37" x14ac:dyDescent="0.3">
      <c r="A13" s="3" t="s">
        <v>521</v>
      </c>
      <c r="B13" s="8">
        <v>1.7</v>
      </c>
      <c r="C13" s="8">
        <v>1.3</v>
      </c>
      <c r="D13" s="8">
        <v>1.3</v>
      </c>
      <c r="E13" s="8">
        <v>0.9</v>
      </c>
      <c r="F13" s="8">
        <v>1.9</v>
      </c>
      <c r="G13" s="8">
        <v>2.7</v>
      </c>
      <c r="H13" s="8">
        <v>1.8</v>
      </c>
      <c r="I13" s="8">
        <v>1.5</v>
      </c>
      <c r="J13" s="8">
        <v>1.6</v>
      </c>
      <c r="K13" s="8">
        <v>2.2000000000000002</v>
      </c>
      <c r="L13" s="8">
        <v>1.8</v>
      </c>
      <c r="M13" s="8">
        <v>1.8</v>
      </c>
      <c r="N13" s="8">
        <v>4.2</v>
      </c>
      <c r="O13" s="8">
        <v>0.6</v>
      </c>
      <c r="P13" s="8">
        <v>1.7</v>
      </c>
      <c r="Q13" s="8">
        <v>3.1</v>
      </c>
      <c r="R13" s="8">
        <v>2.6</v>
      </c>
      <c r="S13" s="8">
        <v>1.2</v>
      </c>
      <c r="T13" s="8">
        <v>0.4</v>
      </c>
      <c r="U13" s="8">
        <v>1</v>
      </c>
      <c r="V13" s="8">
        <v>2.1</v>
      </c>
      <c r="W13" s="8">
        <v>1.8</v>
      </c>
      <c r="X13" s="8">
        <v>1.8</v>
      </c>
      <c r="Y13" s="8">
        <v>1.5</v>
      </c>
      <c r="Z13" s="8">
        <v>1</v>
      </c>
      <c r="AA13" s="8">
        <v>2</v>
      </c>
      <c r="AB13" s="8">
        <v>9.3000000000000007</v>
      </c>
      <c r="AC13" s="8">
        <v>4.3</v>
      </c>
      <c r="AD13" s="8">
        <v>3.3</v>
      </c>
      <c r="AE13" s="8">
        <v>2.6</v>
      </c>
      <c r="AF13" s="8">
        <v>3.2</v>
      </c>
      <c r="AG13" s="8">
        <v>3.1</v>
      </c>
      <c r="AH13" s="8">
        <v>2.2000000000000002</v>
      </c>
      <c r="AI13" s="8">
        <v>1.8</v>
      </c>
      <c r="AJ13" s="8">
        <v>1.8</v>
      </c>
      <c r="AK13" s="8">
        <v>1.7</v>
      </c>
    </row>
    <row r="14" spans="1:37" x14ac:dyDescent="0.3">
      <c r="A14" s="3" t="s">
        <v>522</v>
      </c>
      <c r="B14" s="8">
        <v>-0.2</v>
      </c>
      <c r="C14" s="8">
        <v>0.7</v>
      </c>
      <c r="D14" s="8">
        <v>2.1</v>
      </c>
      <c r="E14" s="8">
        <v>2.7</v>
      </c>
      <c r="F14" s="8">
        <v>1.5</v>
      </c>
      <c r="G14" s="8">
        <v>2.6</v>
      </c>
      <c r="H14" s="8">
        <v>0.2</v>
      </c>
      <c r="I14" s="8">
        <v>0.1</v>
      </c>
      <c r="J14" s="8">
        <v>-0.1</v>
      </c>
      <c r="K14" s="8">
        <v>1.1000000000000001</v>
      </c>
      <c r="L14" s="8">
        <v>2.7</v>
      </c>
      <c r="M14" s="8">
        <v>2.5</v>
      </c>
      <c r="N14" s="8">
        <v>2.2999999999999998</v>
      </c>
      <c r="O14" s="8">
        <v>1.6</v>
      </c>
      <c r="P14" s="8">
        <v>-0.4</v>
      </c>
      <c r="Q14" s="8">
        <v>0.6</v>
      </c>
      <c r="R14" s="8">
        <v>0.4</v>
      </c>
      <c r="S14" s="8">
        <v>0.1</v>
      </c>
      <c r="T14" s="8">
        <v>0.5</v>
      </c>
      <c r="U14" s="8">
        <v>0.5</v>
      </c>
      <c r="V14" s="8">
        <v>1.5</v>
      </c>
      <c r="W14" s="8">
        <v>1.7</v>
      </c>
      <c r="X14" s="8">
        <v>1.3</v>
      </c>
      <c r="Y14" s="8">
        <v>2.9</v>
      </c>
      <c r="Z14" s="8">
        <v>1</v>
      </c>
      <c r="AA14" s="8">
        <v>2.7</v>
      </c>
      <c r="AB14" s="8">
        <v>-0.8</v>
      </c>
      <c r="AC14" s="8">
        <v>2.5</v>
      </c>
      <c r="AD14" s="8">
        <v>1.1000000000000001</v>
      </c>
      <c r="AE14" s="8">
        <v>1.4</v>
      </c>
      <c r="AF14" s="8">
        <v>-0.7</v>
      </c>
      <c r="AG14" s="8">
        <v>1</v>
      </c>
      <c r="AH14" s="8">
        <v>1</v>
      </c>
      <c r="AI14" s="8">
        <v>1.7</v>
      </c>
      <c r="AJ14" s="8">
        <v>1.5</v>
      </c>
      <c r="AK14" s="8">
        <v>1.1000000000000001</v>
      </c>
    </row>
    <row r="15" spans="1:37" x14ac:dyDescent="0.3">
      <c r="A15" s="3" t="s">
        <v>523</v>
      </c>
      <c r="B15" s="8">
        <v>18.899999999999999</v>
      </c>
      <c r="C15" s="8">
        <v>18.3</v>
      </c>
      <c r="D15" s="8">
        <v>17.600000000000001</v>
      </c>
      <c r="E15" s="8">
        <v>17.899999999999999</v>
      </c>
      <c r="F15" s="8">
        <v>16.8</v>
      </c>
      <c r="G15" s="8">
        <v>18.100000000000001</v>
      </c>
      <c r="H15" s="8">
        <v>17.8</v>
      </c>
      <c r="I15" s="8">
        <v>17.399999999999999</v>
      </c>
      <c r="J15" s="8">
        <v>16.399999999999999</v>
      </c>
      <c r="K15" s="8">
        <v>16.2</v>
      </c>
      <c r="L15" s="8">
        <v>16.899999999999999</v>
      </c>
      <c r="M15" s="8">
        <v>17.3</v>
      </c>
      <c r="N15" s="8">
        <v>18.100000000000001</v>
      </c>
      <c r="O15" s="8">
        <v>18</v>
      </c>
      <c r="P15" s="8">
        <v>15</v>
      </c>
      <c r="Q15" s="8">
        <v>14.7</v>
      </c>
      <c r="R15" s="8">
        <v>14.1</v>
      </c>
      <c r="S15" s="8">
        <v>13.1</v>
      </c>
      <c r="T15" s="8">
        <v>12.6</v>
      </c>
      <c r="U15" s="8">
        <v>11.6</v>
      </c>
      <c r="V15" s="8">
        <v>11.5</v>
      </c>
      <c r="W15" s="8">
        <v>11.1</v>
      </c>
      <c r="X15" s="8">
        <v>10.9</v>
      </c>
      <c r="Y15" s="8">
        <v>12.1</v>
      </c>
      <c r="Z15" s="8">
        <v>19.100000000000001</v>
      </c>
      <c r="AA15" s="8">
        <v>16.600000000000001</v>
      </c>
      <c r="AB15" s="8">
        <v>12.9</v>
      </c>
      <c r="AC15" s="8">
        <v>14</v>
      </c>
      <c r="AD15" s="8">
        <v>12.9</v>
      </c>
      <c r="AE15" s="8">
        <v>12.6</v>
      </c>
      <c r="AF15" s="8">
        <v>11.1</v>
      </c>
      <c r="AG15" s="8">
        <v>11.1</v>
      </c>
      <c r="AH15" s="8">
        <v>11.2</v>
      </c>
      <c r="AI15" s="8">
        <v>11.6</v>
      </c>
      <c r="AJ15" s="8">
        <v>11.8</v>
      </c>
      <c r="AK15" s="8">
        <v>11.8</v>
      </c>
    </row>
    <row r="16" spans="1:37" x14ac:dyDescent="0.3">
      <c r="A16" s="3" t="s">
        <v>524</v>
      </c>
      <c r="B16" s="8">
        <v>10.199999999999999</v>
      </c>
      <c r="C16" s="8">
        <v>26.4</v>
      </c>
      <c r="D16" s="8">
        <v>68.5</v>
      </c>
      <c r="E16" s="8">
        <v>54.8</v>
      </c>
      <c r="F16" s="8">
        <v>81</v>
      </c>
      <c r="G16" s="8">
        <v>56.3</v>
      </c>
      <c r="H16" s="8">
        <v>9.5</v>
      </c>
      <c r="I16" s="8">
        <v>-3.9</v>
      </c>
      <c r="J16" s="8">
        <v>41.2</v>
      </c>
      <c r="K16" s="8">
        <v>60.4</v>
      </c>
      <c r="L16" s="8">
        <v>48.1</v>
      </c>
      <c r="M16" s="8">
        <v>72.099999999999994</v>
      </c>
      <c r="N16" s="8">
        <v>78.2</v>
      </c>
      <c r="O16" s="8">
        <v>-5.9</v>
      </c>
      <c r="P16" s="8">
        <v>31.1</v>
      </c>
      <c r="Q16" s="8">
        <v>55.4</v>
      </c>
      <c r="R16" s="8">
        <v>11.1</v>
      </c>
      <c r="S16" s="8">
        <v>-10.5</v>
      </c>
      <c r="T16" s="8">
        <v>16.5</v>
      </c>
      <c r="U16" s="8">
        <v>38.299999999999997</v>
      </c>
      <c r="V16" s="8">
        <v>57.7</v>
      </c>
      <c r="W16" s="8">
        <v>69.7</v>
      </c>
      <c r="X16" s="8">
        <v>69.599999999999994</v>
      </c>
      <c r="Y16" s="8">
        <v>75.900000000000006</v>
      </c>
      <c r="Z16" s="8">
        <v>-5.3</v>
      </c>
      <c r="AA16" s="8">
        <v>82.2</v>
      </c>
      <c r="AB16" s="8">
        <v>95.5</v>
      </c>
      <c r="AC16" s="8">
        <v>38.1</v>
      </c>
      <c r="AD16" s="8">
        <v>12.9</v>
      </c>
      <c r="AE16" s="8">
        <v>18.7</v>
      </c>
      <c r="AF16" s="8">
        <v>19.899999999999999</v>
      </c>
      <c r="AG16" s="8">
        <v>35.9</v>
      </c>
      <c r="AH16" s="8">
        <v>44.6</v>
      </c>
      <c r="AI16" s="8">
        <v>47.2</v>
      </c>
      <c r="AJ16" s="8">
        <v>51.4</v>
      </c>
      <c r="AK16" s="8">
        <v>50.1</v>
      </c>
    </row>
    <row r="17" spans="1:37" x14ac:dyDescent="0.3">
      <c r="A17" s="3" t="s">
        <v>525</v>
      </c>
      <c r="B17" s="8">
        <v>61.4</v>
      </c>
      <c r="C17" s="8">
        <v>62.3</v>
      </c>
      <c r="D17" s="8">
        <v>62.6</v>
      </c>
      <c r="E17" s="8">
        <v>64.5</v>
      </c>
      <c r="F17" s="8">
        <v>65.8</v>
      </c>
      <c r="G17" s="8">
        <v>65.3</v>
      </c>
      <c r="H17" s="8">
        <v>65</v>
      </c>
      <c r="I17" s="8">
        <v>64.7</v>
      </c>
      <c r="J17" s="8">
        <v>65.599999999999994</v>
      </c>
      <c r="K17" s="8">
        <v>66.5</v>
      </c>
      <c r="L17" s="8">
        <v>66.5</v>
      </c>
      <c r="M17" s="8">
        <v>67.7</v>
      </c>
      <c r="N17" s="8">
        <v>68</v>
      </c>
      <c r="O17" s="8">
        <v>67.099999999999994</v>
      </c>
      <c r="P17" s="8">
        <v>67.599999999999994</v>
      </c>
      <c r="Q17" s="8">
        <v>67.3</v>
      </c>
      <c r="R17" s="8">
        <v>67.2</v>
      </c>
      <c r="S17" s="8">
        <v>67.2</v>
      </c>
      <c r="T17" s="8">
        <v>67.3</v>
      </c>
      <c r="U17" s="8">
        <v>67.2</v>
      </c>
      <c r="V17" s="8">
        <v>67.7</v>
      </c>
      <c r="W17" s="8">
        <v>68.5</v>
      </c>
      <c r="X17" s="8">
        <v>69.7</v>
      </c>
      <c r="Y17" s="8">
        <v>70.5</v>
      </c>
      <c r="Z17" s="8">
        <v>70</v>
      </c>
      <c r="AA17" s="8">
        <v>70.599999999999994</v>
      </c>
      <c r="AB17" s="8">
        <v>71.900000000000006</v>
      </c>
      <c r="AC17" s="8">
        <v>72.099999999999994</v>
      </c>
      <c r="AD17" s="8">
        <v>72.3</v>
      </c>
      <c r="AE17" s="8">
        <v>72.8</v>
      </c>
      <c r="AF17" s="8">
        <v>72.8</v>
      </c>
      <c r="AG17" s="8">
        <v>73</v>
      </c>
      <c r="AH17" s="8">
        <v>73.400000000000006</v>
      </c>
      <c r="AI17" s="8">
        <v>73.900000000000006</v>
      </c>
      <c r="AJ17" s="8">
        <v>74.400000000000006</v>
      </c>
      <c r="AK17" s="8">
        <v>74.8</v>
      </c>
    </row>
    <row r="18" spans="1:37" x14ac:dyDescent="0.3">
      <c r="A18" s="3" t="s">
        <v>526</v>
      </c>
      <c r="B18" s="8">
        <v>9.6</v>
      </c>
      <c r="C18" s="8">
        <v>9.1999999999999993</v>
      </c>
      <c r="D18" s="8">
        <v>9.3000000000000007</v>
      </c>
      <c r="E18" s="8">
        <v>8.4</v>
      </c>
      <c r="F18" s="8">
        <v>6.9</v>
      </c>
      <c r="G18" s="8">
        <v>6.6</v>
      </c>
      <c r="H18" s="8">
        <v>7.5</v>
      </c>
      <c r="I18" s="8">
        <v>8.1999999999999993</v>
      </c>
      <c r="J18" s="8">
        <v>8.4</v>
      </c>
      <c r="K18" s="8">
        <v>8.5</v>
      </c>
      <c r="L18" s="8">
        <v>8.3000000000000007</v>
      </c>
      <c r="M18" s="8">
        <v>7.5</v>
      </c>
      <c r="N18" s="8">
        <v>7</v>
      </c>
      <c r="O18" s="8">
        <v>8</v>
      </c>
      <c r="P18" s="8">
        <v>8.4</v>
      </c>
      <c r="Q18" s="8">
        <v>7.2</v>
      </c>
      <c r="R18" s="8">
        <v>7.6</v>
      </c>
      <c r="S18" s="8">
        <v>8.6</v>
      </c>
      <c r="T18" s="8">
        <v>8.6999999999999993</v>
      </c>
      <c r="U18" s="8">
        <v>8.6999999999999993</v>
      </c>
      <c r="V18" s="8">
        <v>7.8</v>
      </c>
      <c r="W18" s="8">
        <v>7.1</v>
      </c>
      <c r="X18" s="8">
        <v>6</v>
      </c>
      <c r="Y18" s="8">
        <v>5.4</v>
      </c>
      <c r="Z18" s="8">
        <v>5.6</v>
      </c>
      <c r="AA18" s="8">
        <v>6.3</v>
      </c>
      <c r="AB18" s="8">
        <v>5.6</v>
      </c>
      <c r="AC18" s="8">
        <v>5.5</v>
      </c>
      <c r="AD18" s="8">
        <v>5.7</v>
      </c>
      <c r="AE18" s="8">
        <v>6.2</v>
      </c>
      <c r="AF18" s="8">
        <v>6.6</v>
      </c>
      <c r="AG18" s="8">
        <v>6.7</v>
      </c>
      <c r="AH18" s="8">
        <v>6.6</v>
      </c>
      <c r="AI18" s="8">
        <v>6.5</v>
      </c>
      <c r="AJ18" s="8">
        <v>6.3</v>
      </c>
      <c r="AK18" s="8">
        <v>6</v>
      </c>
    </row>
    <row r="19" spans="1:37" ht="15" thickBot="1" x14ac:dyDescent="0.35">
      <c r="A19" s="3" t="s">
        <v>527</v>
      </c>
      <c r="B19" s="8"/>
      <c r="C19" s="8"/>
      <c r="D19" s="8"/>
      <c r="E19" s="8"/>
      <c r="F19" s="8">
        <v>4.2</v>
      </c>
      <c r="G19" s="8">
        <v>3.5</v>
      </c>
      <c r="H19" s="8">
        <v>4.5999999999999996</v>
      </c>
      <c r="I19" s="8">
        <v>3.5</v>
      </c>
      <c r="J19" s="8">
        <v>3.3</v>
      </c>
      <c r="K19" s="8">
        <v>2.1</v>
      </c>
      <c r="L19" s="8">
        <v>1.9</v>
      </c>
      <c r="M19" s="8">
        <v>2</v>
      </c>
      <c r="N19" s="8">
        <v>-1</v>
      </c>
      <c r="O19" s="8">
        <v>1.7</v>
      </c>
      <c r="P19" s="8">
        <v>1.6</v>
      </c>
      <c r="Q19" s="8">
        <v>-1.9</v>
      </c>
      <c r="R19" s="8">
        <v>-0.1</v>
      </c>
      <c r="S19" s="8">
        <v>1</v>
      </c>
      <c r="T19" s="8">
        <v>0.8</v>
      </c>
      <c r="U19" s="8">
        <v>1.4</v>
      </c>
      <c r="V19" s="8">
        <v>0.6</v>
      </c>
      <c r="W19" s="8">
        <v>0.7</v>
      </c>
      <c r="X19" s="8">
        <v>-0.9</v>
      </c>
      <c r="Y19" s="8">
        <v>0.1</v>
      </c>
      <c r="Z19" s="8">
        <v>0.9</v>
      </c>
      <c r="AA19" s="8">
        <v>1.8</v>
      </c>
      <c r="AB19" s="8">
        <v>-1.9</v>
      </c>
      <c r="AC19" s="8">
        <v>0.2</v>
      </c>
      <c r="AD19" s="8">
        <v>-0.4</v>
      </c>
      <c r="AE19" s="8">
        <v>-1.9</v>
      </c>
      <c r="AF19" s="8">
        <v>-2.6</v>
      </c>
      <c r="AG19" s="8">
        <v>-2.4</v>
      </c>
      <c r="AH19" s="8">
        <v>-2.6</v>
      </c>
      <c r="AI19" s="8">
        <v>-2.8</v>
      </c>
      <c r="AJ19" s="8">
        <v>-2.8</v>
      </c>
      <c r="AK19" s="8">
        <v>-2.8</v>
      </c>
    </row>
    <row r="20" spans="1:37" x14ac:dyDescent="0.3">
      <c r="A20" s="5" t="s">
        <v>528</v>
      </c>
      <c r="B20" s="6">
        <v>-4</v>
      </c>
      <c r="C20" s="6">
        <v>-2.2000000000000002</v>
      </c>
      <c r="D20" s="6">
        <v>-1</v>
      </c>
      <c r="E20" s="6">
        <v>-0.6</v>
      </c>
      <c r="F20" s="6">
        <v>-0.1</v>
      </c>
      <c r="G20" s="6">
        <v>0.2</v>
      </c>
      <c r="H20" s="6">
        <v>0</v>
      </c>
      <c r="I20" s="6">
        <v>-1.9</v>
      </c>
      <c r="J20" s="6">
        <v>-0.2</v>
      </c>
      <c r="K20" s="6">
        <v>-2.7</v>
      </c>
      <c r="L20" s="6">
        <v>0.2</v>
      </c>
      <c r="M20" s="6">
        <v>0.1</v>
      </c>
      <c r="N20" s="6">
        <v>-1.1000000000000001</v>
      </c>
      <c r="O20" s="6">
        <v>-5.4</v>
      </c>
      <c r="P20" s="6">
        <v>-4.0999999999999996</v>
      </c>
      <c r="Q20" s="6">
        <v>-4.4000000000000004</v>
      </c>
      <c r="R20" s="6">
        <v>-4.3</v>
      </c>
      <c r="S20" s="6">
        <v>-3.2</v>
      </c>
      <c r="T20" s="6">
        <v>-3.2</v>
      </c>
      <c r="U20" s="6">
        <v>-2.5</v>
      </c>
      <c r="V20" s="6">
        <v>-2.4</v>
      </c>
      <c r="W20" s="6">
        <v>-0.8</v>
      </c>
      <c r="X20" s="6">
        <v>-1</v>
      </c>
      <c r="Y20" s="6">
        <v>-2</v>
      </c>
      <c r="Z20" s="6">
        <v>-9</v>
      </c>
      <c r="AA20" s="6">
        <v>-5.4</v>
      </c>
      <c r="AB20" s="6">
        <v>-3.6</v>
      </c>
      <c r="AC20" s="6">
        <v>-4</v>
      </c>
      <c r="AD20" s="6">
        <v>-4.4000000000000004</v>
      </c>
      <c r="AE20" s="6">
        <v>-5.0999999999999996</v>
      </c>
      <c r="AF20" s="6">
        <v>-5.0999999999999996</v>
      </c>
      <c r="AG20" s="6">
        <v>-5.2</v>
      </c>
      <c r="AH20" s="6">
        <v>-5.4</v>
      </c>
      <c r="AI20" s="6">
        <v>-6</v>
      </c>
      <c r="AJ20" s="6">
        <v>-6.2</v>
      </c>
      <c r="AK20" s="6">
        <v>-6.4</v>
      </c>
    </row>
    <row r="21" spans="1:37" ht="15" thickBot="1" x14ac:dyDescent="0.35">
      <c r="A21" s="3" t="s">
        <v>529</v>
      </c>
      <c r="B21" s="8">
        <v>129.19999999999999</v>
      </c>
      <c r="C21" s="8">
        <v>124.3</v>
      </c>
      <c r="D21" s="8">
        <v>119.3</v>
      </c>
      <c r="E21" s="8">
        <v>115.4</v>
      </c>
      <c r="F21" s="8">
        <v>109.7</v>
      </c>
      <c r="G21" s="8">
        <v>108.5</v>
      </c>
      <c r="H21" s="8">
        <v>105.6</v>
      </c>
      <c r="I21" s="8">
        <v>101.8</v>
      </c>
      <c r="J21" s="8">
        <v>97.2</v>
      </c>
      <c r="K21" s="8">
        <v>95.2</v>
      </c>
      <c r="L21" s="8">
        <v>91.5</v>
      </c>
      <c r="M21" s="8">
        <v>87.5</v>
      </c>
      <c r="N21" s="8">
        <v>93.2</v>
      </c>
      <c r="O21" s="8">
        <v>99.9</v>
      </c>
      <c r="P21" s="8">
        <v>100.3</v>
      </c>
      <c r="Q21" s="8">
        <v>102.8</v>
      </c>
      <c r="R21" s="8">
        <v>104.4</v>
      </c>
      <c r="S21" s="8">
        <v>105.1</v>
      </c>
      <c r="T21" s="8">
        <v>106.6</v>
      </c>
      <c r="U21" s="8">
        <v>105.7</v>
      </c>
      <c r="V21" s="8">
        <v>105.8</v>
      </c>
      <c r="W21" s="8">
        <v>102.6</v>
      </c>
      <c r="X21" s="8">
        <v>100.2</v>
      </c>
      <c r="Y21" s="8">
        <v>97.7</v>
      </c>
      <c r="Z21" s="8">
        <v>111.4</v>
      </c>
      <c r="AA21" s="8">
        <v>108.7</v>
      </c>
      <c r="AB21" s="8">
        <v>103.4</v>
      </c>
      <c r="AC21" s="8">
        <v>102.5</v>
      </c>
      <c r="AD21" s="8">
        <v>103.9</v>
      </c>
      <c r="AE21" s="8">
        <v>107.9</v>
      </c>
      <c r="AF21" s="8">
        <v>109.9</v>
      </c>
      <c r="AG21" s="8">
        <v>111.8</v>
      </c>
      <c r="AH21" s="8">
        <v>114</v>
      </c>
      <c r="AI21" s="8">
        <v>116.5</v>
      </c>
      <c r="AJ21" s="8">
        <v>119.2</v>
      </c>
      <c r="AK21" s="8">
        <v>122.3</v>
      </c>
    </row>
    <row r="22" spans="1:37" x14ac:dyDescent="0.3">
      <c r="A22" s="5" t="s">
        <v>530</v>
      </c>
      <c r="B22" s="6">
        <v>130.30000000000001</v>
      </c>
      <c r="C22" s="6">
        <v>112.8</v>
      </c>
      <c r="D22" s="6">
        <v>111.1</v>
      </c>
      <c r="E22" s="6">
        <v>106.7</v>
      </c>
      <c r="F22" s="6">
        <v>92.4</v>
      </c>
      <c r="G22" s="6">
        <v>89.5</v>
      </c>
      <c r="H22" s="6">
        <v>94.5</v>
      </c>
      <c r="I22" s="6">
        <v>113.2</v>
      </c>
      <c r="J22" s="6">
        <v>124.4</v>
      </c>
      <c r="K22" s="6">
        <v>124.4</v>
      </c>
      <c r="L22" s="6">
        <v>125.6</v>
      </c>
      <c r="M22" s="6">
        <v>137.1</v>
      </c>
      <c r="N22" s="6">
        <v>147.1</v>
      </c>
      <c r="O22" s="6">
        <v>139.30000000000001</v>
      </c>
      <c r="P22" s="6">
        <v>132.69999999999999</v>
      </c>
      <c r="Q22" s="6">
        <v>139.19999999999999</v>
      </c>
      <c r="R22" s="6">
        <v>128.6</v>
      </c>
      <c r="S22" s="6">
        <v>132.80000000000001</v>
      </c>
      <c r="T22" s="6">
        <v>132.9</v>
      </c>
      <c r="U22" s="6">
        <v>111</v>
      </c>
      <c r="V22" s="6">
        <v>110.6</v>
      </c>
      <c r="W22" s="6">
        <v>113</v>
      </c>
      <c r="X22" s="6">
        <v>118.1</v>
      </c>
      <c r="Y22" s="6">
        <v>112</v>
      </c>
      <c r="Z22" s="6">
        <v>114.1</v>
      </c>
      <c r="AA22" s="6">
        <v>118.3</v>
      </c>
      <c r="AB22" s="6">
        <v>105.4</v>
      </c>
      <c r="AC22" s="6">
        <v>108.2</v>
      </c>
      <c r="AD22" s="6">
        <v>108.2</v>
      </c>
      <c r="AE22" s="6">
        <v>113</v>
      </c>
      <c r="AF22" s="6">
        <v>117</v>
      </c>
      <c r="AG22" s="6">
        <v>118.4</v>
      </c>
      <c r="AH22" s="6">
        <v>118.4</v>
      </c>
      <c r="AI22" s="6">
        <v>118.4</v>
      </c>
      <c r="AJ22" s="6">
        <v>118.4</v>
      </c>
      <c r="AK22" s="6">
        <v>118.4</v>
      </c>
    </row>
    <row r="23" spans="1:37" x14ac:dyDescent="0.3">
      <c r="A23" s="3" t="s">
        <v>531</v>
      </c>
      <c r="B23" s="8"/>
      <c r="C23" s="8"/>
      <c r="D23" s="8"/>
      <c r="E23" s="8">
        <v>3</v>
      </c>
      <c r="F23" s="8">
        <v>4.4000000000000004</v>
      </c>
      <c r="G23" s="8">
        <v>4.3</v>
      </c>
      <c r="H23" s="8">
        <v>3.3</v>
      </c>
      <c r="I23" s="8">
        <v>2.2999999999999998</v>
      </c>
      <c r="J23" s="8">
        <v>2.1</v>
      </c>
      <c r="K23" s="8">
        <v>2.2000000000000002</v>
      </c>
      <c r="L23" s="8">
        <v>3.1</v>
      </c>
      <c r="M23" s="8">
        <v>4.3</v>
      </c>
      <c r="N23" s="8">
        <v>4.5999999999999996</v>
      </c>
      <c r="O23" s="8">
        <v>1.2</v>
      </c>
      <c r="P23" s="8">
        <v>0.8</v>
      </c>
      <c r="Q23" s="8">
        <v>1.4</v>
      </c>
      <c r="R23" s="8">
        <v>0.6</v>
      </c>
      <c r="S23" s="8">
        <v>0.2</v>
      </c>
      <c r="T23" s="8">
        <v>0.2</v>
      </c>
      <c r="U23" s="8">
        <v>0</v>
      </c>
      <c r="V23" s="8">
        <v>-0.3</v>
      </c>
      <c r="W23" s="8">
        <v>-0.3</v>
      </c>
      <c r="X23" s="8">
        <v>-0.3</v>
      </c>
      <c r="Y23" s="8">
        <v>-0.4</v>
      </c>
      <c r="Z23" s="8">
        <v>-0.4</v>
      </c>
      <c r="AA23" s="8">
        <v>-0.5</v>
      </c>
      <c r="AB23" s="8">
        <v>0.3</v>
      </c>
      <c r="AC23" s="8">
        <v>3.4</v>
      </c>
      <c r="AD23" s="8">
        <v>3.6</v>
      </c>
      <c r="AE23" s="8">
        <v>2.2000000000000002</v>
      </c>
      <c r="AF23" s="8">
        <v>2.4</v>
      </c>
      <c r="AG23" s="8">
        <v>2.8</v>
      </c>
      <c r="AH23" s="8">
        <v>2.6</v>
      </c>
      <c r="AI23" s="8">
        <v>2.4</v>
      </c>
      <c r="AJ23" s="8">
        <v>2.2000000000000002</v>
      </c>
      <c r="AK23" s="8">
        <v>2</v>
      </c>
    </row>
    <row r="24" spans="1:37" x14ac:dyDescent="0.3">
      <c r="A24" s="3" t="s">
        <v>532</v>
      </c>
      <c r="B24" s="8">
        <v>6.5</v>
      </c>
      <c r="C24" s="8">
        <v>5.8</v>
      </c>
      <c r="D24" s="8">
        <v>4.8</v>
      </c>
      <c r="E24" s="8">
        <v>4.9000000000000004</v>
      </c>
      <c r="F24" s="8">
        <v>5.6</v>
      </c>
      <c r="G24" s="8">
        <v>5.0999999999999996</v>
      </c>
      <c r="H24" s="8">
        <v>5</v>
      </c>
      <c r="I24" s="8">
        <v>4.0999999999999996</v>
      </c>
      <c r="J24" s="8">
        <v>4.0999999999999996</v>
      </c>
      <c r="K24" s="8">
        <v>3.4</v>
      </c>
      <c r="L24" s="8">
        <v>3.8</v>
      </c>
      <c r="M24" s="8">
        <v>4.3</v>
      </c>
      <c r="N24" s="8">
        <v>4.4000000000000004</v>
      </c>
      <c r="O24" s="8">
        <v>4</v>
      </c>
      <c r="P24" s="8">
        <v>3.5</v>
      </c>
      <c r="Q24" s="8">
        <v>4.2</v>
      </c>
      <c r="R24" s="8">
        <v>3</v>
      </c>
      <c r="S24" s="8">
        <v>2.4</v>
      </c>
      <c r="T24" s="8">
        <v>1.7</v>
      </c>
      <c r="U24" s="8">
        <v>0.8</v>
      </c>
      <c r="V24" s="8">
        <v>0.4</v>
      </c>
      <c r="W24" s="8">
        <v>0.7</v>
      </c>
      <c r="X24" s="8">
        <v>0.7</v>
      </c>
      <c r="Y24" s="8">
        <v>0.2</v>
      </c>
      <c r="Z24" s="8">
        <v>-0.1</v>
      </c>
      <c r="AA24" s="8">
        <v>-0.1</v>
      </c>
      <c r="AB24" s="8">
        <v>1.7</v>
      </c>
      <c r="AC24" s="8">
        <v>3.1</v>
      </c>
      <c r="AD24" s="8">
        <v>2.9</v>
      </c>
      <c r="AE24" s="8">
        <v>3.2</v>
      </c>
      <c r="AF24" s="8">
        <v>3.5</v>
      </c>
      <c r="AG24" s="8">
        <v>3.6</v>
      </c>
      <c r="AH24" s="8">
        <v>3.5</v>
      </c>
      <c r="AI24" s="8">
        <v>3.4</v>
      </c>
      <c r="AJ24" s="8">
        <v>3.3</v>
      </c>
      <c r="AK24" s="8">
        <v>3.2</v>
      </c>
    </row>
    <row r="25" spans="1:37" x14ac:dyDescent="0.3">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sheetData>
  <mergeCells count="2">
    <mergeCell ref="A1:AK1"/>
    <mergeCell ref="A2:AK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1C1A-4A3E-47A0-91E0-6749768196B4}">
  <dimension ref="A1:AK20"/>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5" width="5.5546875" style="1" bestFit="1" customWidth="1"/>
    <col min="6" max="8" width="5" style="1" bestFit="1" customWidth="1"/>
    <col min="9" max="37" width="5.5546875" style="1" bestFit="1" customWidth="1"/>
    <col min="38" max="16384" width="9.109375" style="1"/>
  </cols>
  <sheetData>
    <row r="1" spans="1:37" ht="15" customHeight="1" x14ac:dyDescent="0.3">
      <c r="A1" s="28" t="s">
        <v>500</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363</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501</v>
      </c>
      <c r="B4" s="6">
        <v>4.2</v>
      </c>
      <c r="C4" s="6">
        <v>11.1</v>
      </c>
      <c r="D4" s="6">
        <v>8.9</v>
      </c>
      <c r="E4" s="6">
        <v>7.4</v>
      </c>
      <c r="F4" s="6">
        <v>12.1</v>
      </c>
      <c r="G4" s="6">
        <v>2.1</v>
      </c>
      <c r="H4" s="6">
        <v>2.4</v>
      </c>
      <c r="I4" s="6">
        <v>3.9</v>
      </c>
      <c r="J4" s="6">
        <v>8.3000000000000007</v>
      </c>
      <c r="K4" s="6">
        <v>6.7</v>
      </c>
      <c r="L4" s="6">
        <v>8.6</v>
      </c>
      <c r="M4" s="6">
        <v>6.4</v>
      </c>
      <c r="N4" s="6">
        <v>1.3</v>
      </c>
      <c r="O4" s="6">
        <v>-10.4</v>
      </c>
      <c r="P4" s="6">
        <v>10.9</v>
      </c>
      <c r="Q4" s="6">
        <v>4.8</v>
      </c>
      <c r="R4" s="6">
        <v>0.8</v>
      </c>
      <c r="S4" s="6">
        <v>2.8</v>
      </c>
      <c r="T4" s="6">
        <v>3.4</v>
      </c>
      <c r="U4" s="6">
        <v>5.0999999999999996</v>
      </c>
      <c r="V4" s="6">
        <v>1.7</v>
      </c>
      <c r="W4" s="6">
        <v>4.5</v>
      </c>
      <c r="X4" s="6">
        <v>4.3</v>
      </c>
      <c r="Y4" s="6">
        <v>1.5</v>
      </c>
      <c r="Z4" s="6">
        <v>-8.1</v>
      </c>
      <c r="AA4" s="6">
        <v>9.5</v>
      </c>
      <c r="AB4" s="6">
        <v>6.9</v>
      </c>
      <c r="AC4" s="6">
        <v>-0.8</v>
      </c>
      <c r="AD4" s="6">
        <v>1.3</v>
      </c>
      <c r="AE4" s="6">
        <v>3.8</v>
      </c>
      <c r="AF4" s="6">
        <v>1.5</v>
      </c>
      <c r="AG4" s="6">
        <v>2.4</v>
      </c>
      <c r="AH4" s="6">
        <v>2.6</v>
      </c>
      <c r="AI4" s="6">
        <v>2.7</v>
      </c>
      <c r="AJ4" s="6">
        <v>2.6</v>
      </c>
      <c r="AK4" s="6">
        <v>2.5</v>
      </c>
    </row>
    <row r="5" spans="1:37" x14ac:dyDescent="0.3">
      <c r="A5" s="11" t="s">
        <v>502</v>
      </c>
      <c r="B5" s="8">
        <v>1.7</v>
      </c>
      <c r="C5" s="8">
        <v>2.7</v>
      </c>
      <c r="D5" s="8">
        <v>3</v>
      </c>
      <c r="E5" s="8">
        <v>3</v>
      </c>
      <c r="F5" s="8">
        <v>3.9</v>
      </c>
      <c r="G5" s="8">
        <v>2.2000000000000002</v>
      </c>
      <c r="H5" s="8">
        <v>0.9</v>
      </c>
      <c r="I5" s="8">
        <v>0.7</v>
      </c>
      <c r="J5" s="8">
        <v>2.2999999999999998</v>
      </c>
      <c r="K5" s="8">
        <v>1.8</v>
      </c>
      <c r="L5" s="8">
        <v>3.3</v>
      </c>
      <c r="M5" s="8">
        <v>3</v>
      </c>
      <c r="N5" s="8">
        <v>0.4</v>
      </c>
      <c r="O5" s="8">
        <v>-4.5</v>
      </c>
      <c r="P5" s="8">
        <v>2.1</v>
      </c>
      <c r="Q5" s="8">
        <v>1.7</v>
      </c>
      <c r="R5" s="8">
        <v>-1</v>
      </c>
      <c r="S5" s="8">
        <v>-0.2</v>
      </c>
      <c r="T5" s="8">
        <v>1.4</v>
      </c>
      <c r="U5" s="8">
        <v>2.1</v>
      </c>
      <c r="V5" s="8">
        <v>1.8</v>
      </c>
      <c r="W5" s="8">
        <v>2.6</v>
      </c>
      <c r="X5" s="8">
        <v>1.8</v>
      </c>
      <c r="Y5" s="8">
        <v>1.6</v>
      </c>
      <c r="Z5" s="8">
        <v>-6</v>
      </c>
      <c r="AA5" s="8">
        <v>6.4</v>
      </c>
      <c r="AB5" s="8">
        <v>3.6</v>
      </c>
      <c r="AC5" s="8">
        <v>0.4</v>
      </c>
      <c r="AD5" s="8">
        <v>0.9</v>
      </c>
      <c r="AE5" s="8">
        <v>1.4</v>
      </c>
      <c r="AF5" s="8">
        <v>0.9</v>
      </c>
      <c r="AG5" s="8">
        <v>1.2</v>
      </c>
      <c r="AH5" s="8">
        <v>1.4</v>
      </c>
      <c r="AI5" s="8">
        <v>1.2</v>
      </c>
      <c r="AJ5" s="8">
        <v>1.1000000000000001</v>
      </c>
      <c r="AK5" s="8">
        <v>1.1000000000000001</v>
      </c>
    </row>
    <row r="6" spans="1:37" x14ac:dyDescent="0.3">
      <c r="A6" s="11" t="s">
        <v>503</v>
      </c>
      <c r="B6" s="8">
        <v>-2.2000000000000002</v>
      </c>
      <c r="C6" s="8">
        <v>-4.2</v>
      </c>
      <c r="D6" s="8">
        <v>0.4</v>
      </c>
      <c r="E6" s="8">
        <v>-0.3</v>
      </c>
      <c r="F6" s="8">
        <v>-2.6</v>
      </c>
      <c r="G6" s="8">
        <v>1</v>
      </c>
      <c r="H6" s="8">
        <v>1.4</v>
      </c>
      <c r="I6" s="8">
        <v>3.9</v>
      </c>
      <c r="J6" s="8">
        <v>1.1000000000000001</v>
      </c>
      <c r="K6" s="8">
        <v>-0.5</v>
      </c>
      <c r="L6" s="8">
        <v>0.1</v>
      </c>
      <c r="M6" s="8">
        <v>0.9</v>
      </c>
      <c r="N6" s="8">
        <v>2.2000000000000002</v>
      </c>
      <c r="O6" s="8">
        <v>1.4</v>
      </c>
      <c r="P6" s="8">
        <v>-2.2000000000000002</v>
      </c>
      <c r="Q6" s="8">
        <v>0.5</v>
      </c>
      <c r="R6" s="8">
        <v>-1.5</v>
      </c>
      <c r="S6" s="8">
        <v>1.6</v>
      </c>
      <c r="T6" s="8">
        <v>0.3</v>
      </c>
      <c r="U6" s="8">
        <v>-2.6</v>
      </c>
      <c r="V6" s="8">
        <v>1.5</v>
      </c>
      <c r="W6" s="8">
        <v>1</v>
      </c>
      <c r="X6" s="8">
        <v>1.5</v>
      </c>
      <c r="Y6" s="8">
        <v>-0.5</v>
      </c>
      <c r="Z6" s="8">
        <v>1.1000000000000001</v>
      </c>
      <c r="AA6" s="8">
        <v>0.4</v>
      </c>
      <c r="AB6" s="8">
        <v>-0.9</v>
      </c>
      <c r="AC6" s="8">
        <v>1.5</v>
      </c>
      <c r="AD6" s="8">
        <v>0.4</v>
      </c>
      <c r="AE6" s="8">
        <v>1</v>
      </c>
      <c r="AF6" s="8">
        <v>0.8</v>
      </c>
      <c r="AG6" s="8">
        <v>0.7</v>
      </c>
      <c r="AH6" s="8">
        <v>0</v>
      </c>
      <c r="AI6" s="8">
        <v>0</v>
      </c>
      <c r="AJ6" s="8">
        <v>0</v>
      </c>
      <c r="AK6" s="8">
        <v>0</v>
      </c>
    </row>
    <row r="7" spans="1:37" x14ac:dyDescent="0.3">
      <c r="A7" s="11" t="s">
        <v>504</v>
      </c>
      <c r="B7" s="8">
        <v>130.30000000000001</v>
      </c>
      <c r="C7" s="8">
        <v>112.8</v>
      </c>
      <c r="D7" s="8">
        <v>111.1</v>
      </c>
      <c r="E7" s="8">
        <v>106.7</v>
      </c>
      <c r="F7" s="8">
        <v>92.4</v>
      </c>
      <c r="G7" s="8">
        <v>89.5</v>
      </c>
      <c r="H7" s="8">
        <v>94.5</v>
      </c>
      <c r="I7" s="8">
        <v>113.2</v>
      </c>
      <c r="J7" s="8">
        <v>124.4</v>
      </c>
      <c r="K7" s="8">
        <v>124.4</v>
      </c>
      <c r="L7" s="8">
        <v>125.6</v>
      </c>
      <c r="M7" s="8">
        <v>137.1</v>
      </c>
      <c r="N7" s="8">
        <v>147.1</v>
      </c>
      <c r="O7" s="8">
        <v>139.30000000000001</v>
      </c>
      <c r="P7" s="8">
        <v>132.69999999999999</v>
      </c>
      <c r="Q7" s="8">
        <v>139.19999999999999</v>
      </c>
      <c r="R7" s="8">
        <v>128.6</v>
      </c>
      <c r="S7" s="8">
        <v>132.80000000000001</v>
      </c>
      <c r="T7" s="8">
        <v>132.9</v>
      </c>
      <c r="U7" s="8">
        <v>111</v>
      </c>
      <c r="V7" s="8">
        <v>110.6</v>
      </c>
      <c r="W7" s="8">
        <v>113</v>
      </c>
      <c r="X7" s="8">
        <v>118.1</v>
      </c>
      <c r="Y7" s="8">
        <v>112</v>
      </c>
      <c r="Z7" s="8">
        <v>114.1</v>
      </c>
      <c r="AA7" s="8">
        <v>118.3</v>
      </c>
      <c r="AB7" s="8">
        <v>105.4</v>
      </c>
      <c r="AC7" s="8">
        <v>108.2</v>
      </c>
      <c r="AD7" s="8">
        <v>108.2</v>
      </c>
      <c r="AE7" s="8">
        <v>113</v>
      </c>
      <c r="AF7" s="8">
        <v>117</v>
      </c>
      <c r="AG7" s="8">
        <v>118.4</v>
      </c>
      <c r="AH7" s="8">
        <v>118.4</v>
      </c>
      <c r="AI7" s="8">
        <v>118.4</v>
      </c>
      <c r="AJ7" s="8">
        <v>118.4</v>
      </c>
      <c r="AK7" s="8">
        <v>118.4</v>
      </c>
    </row>
    <row r="8" spans="1:37" x14ac:dyDescent="0.3">
      <c r="A8" s="3" t="s">
        <v>505</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3">
      <c r="A9" s="11" t="s">
        <v>506</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3">
      <c r="A10" s="9" t="s">
        <v>507</v>
      </c>
      <c r="B10" s="8">
        <v>20.6</v>
      </c>
      <c r="C10" s="8">
        <v>19.100000000000001</v>
      </c>
      <c r="D10" s="8">
        <v>12.8</v>
      </c>
      <c r="E10" s="8">
        <v>17.8</v>
      </c>
      <c r="F10" s="8">
        <v>28.4</v>
      </c>
      <c r="G10" s="8">
        <v>24.4</v>
      </c>
      <c r="H10" s="8">
        <v>25</v>
      </c>
      <c r="I10" s="8">
        <v>28.8</v>
      </c>
      <c r="J10" s="8">
        <v>38.200000000000003</v>
      </c>
      <c r="K10" s="8">
        <v>54.4</v>
      </c>
      <c r="L10" s="8">
        <v>65.2</v>
      </c>
      <c r="M10" s="8">
        <v>72.5</v>
      </c>
      <c r="N10" s="8">
        <v>96.9</v>
      </c>
      <c r="O10" s="8">
        <v>61.5</v>
      </c>
      <c r="P10" s="8">
        <v>79.5</v>
      </c>
      <c r="Q10" s="8">
        <v>111.3</v>
      </c>
      <c r="R10" s="8">
        <v>111.7</v>
      </c>
      <c r="S10" s="8">
        <v>108.7</v>
      </c>
      <c r="T10" s="8">
        <v>99</v>
      </c>
      <c r="U10" s="8">
        <v>52.3</v>
      </c>
      <c r="V10" s="8">
        <v>43.6</v>
      </c>
      <c r="W10" s="8">
        <v>54.3</v>
      </c>
      <c r="X10" s="8">
        <v>70.900000000000006</v>
      </c>
      <c r="Y10" s="8">
        <v>64.3</v>
      </c>
      <c r="Z10" s="8">
        <v>42.1</v>
      </c>
      <c r="AA10" s="8">
        <v>70.8</v>
      </c>
      <c r="AB10" s="8">
        <v>102.3</v>
      </c>
      <c r="AC10" s="8">
        <v>83.7</v>
      </c>
      <c r="AD10" s="8">
        <v>81.2</v>
      </c>
      <c r="AE10" s="8">
        <v>69.099999999999994</v>
      </c>
      <c r="AF10" s="8">
        <v>92.7</v>
      </c>
      <c r="AG10" s="8">
        <v>79</v>
      </c>
      <c r="AH10" s="8">
        <v>81.400000000000006</v>
      </c>
      <c r="AI10" s="8">
        <v>83.9</v>
      </c>
      <c r="AJ10" s="8">
        <v>86.4</v>
      </c>
      <c r="AK10" s="8">
        <v>89</v>
      </c>
    </row>
    <row r="11" spans="1:37" x14ac:dyDescent="0.3">
      <c r="A11" s="9" t="s">
        <v>508</v>
      </c>
      <c r="B11" s="8">
        <v>-1.3</v>
      </c>
      <c r="C11" s="8">
        <v>-8.1</v>
      </c>
      <c r="D11" s="8">
        <v>-3.8</v>
      </c>
      <c r="E11" s="8">
        <v>-3.1</v>
      </c>
      <c r="F11" s="8">
        <v>-5.6</v>
      </c>
      <c r="G11" s="8">
        <v>-3.1</v>
      </c>
      <c r="H11" s="8">
        <v>3.4</v>
      </c>
      <c r="I11" s="8">
        <v>14.8</v>
      </c>
      <c r="J11" s="8">
        <v>10.199999999999999</v>
      </c>
      <c r="K11" s="8">
        <v>3.7</v>
      </c>
      <c r="L11" s="8">
        <v>4</v>
      </c>
      <c r="M11" s="8">
        <v>9.5</v>
      </c>
      <c r="N11" s="8">
        <v>9.8000000000000007</v>
      </c>
      <c r="O11" s="8">
        <v>-9.6999999999999993</v>
      </c>
      <c r="P11" s="8">
        <v>1.8</v>
      </c>
      <c r="Q11" s="8">
        <v>9.5</v>
      </c>
      <c r="R11" s="8">
        <v>-3.7</v>
      </c>
      <c r="S11" s="8">
        <v>1.2</v>
      </c>
      <c r="T11" s="8">
        <v>-0.9</v>
      </c>
      <c r="U11" s="8">
        <v>-14.4</v>
      </c>
      <c r="V11" s="8">
        <v>-2.7</v>
      </c>
      <c r="W11" s="8">
        <v>4</v>
      </c>
      <c r="X11" s="8">
        <v>6.5</v>
      </c>
      <c r="Y11" s="8">
        <v>-3.5</v>
      </c>
      <c r="Z11" s="8">
        <v>-0.1</v>
      </c>
      <c r="AA11" s="8">
        <v>13.2</v>
      </c>
      <c r="AB11" s="8">
        <v>6.1</v>
      </c>
      <c r="AC11" s="8">
        <v>-0.6</v>
      </c>
      <c r="AD11" s="8">
        <v>0.3</v>
      </c>
      <c r="AE11" s="8">
        <v>3.8</v>
      </c>
      <c r="AF11" s="8">
        <v>5.6</v>
      </c>
      <c r="AG11" s="8">
        <v>3.1</v>
      </c>
      <c r="AH11" s="8">
        <v>2</v>
      </c>
      <c r="AI11" s="8">
        <v>2</v>
      </c>
      <c r="AJ11" s="8">
        <v>2</v>
      </c>
      <c r="AK11" s="8">
        <v>2</v>
      </c>
    </row>
    <row r="12" spans="1:37" x14ac:dyDescent="0.3">
      <c r="A12" s="9" t="s">
        <v>509</v>
      </c>
      <c r="B12" s="8">
        <v>3.6</v>
      </c>
      <c r="C12" s="8">
        <v>6.2</v>
      </c>
      <c r="D12" s="8">
        <v>-2.4</v>
      </c>
      <c r="E12" s="8">
        <v>0.9</v>
      </c>
      <c r="F12" s="8">
        <v>9</v>
      </c>
      <c r="G12" s="8">
        <v>0</v>
      </c>
      <c r="H12" s="8">
        <v>-2.1</v>
      </c>
      <c r="I12" s="8">
        <v>-4.0999999999999996</v>
      </c>
      <c r="J12" s="8">
        <v>0.3</v>
      </c>
      <c r="K12" s="8">
        <v>3.6</v>
      </c>
      <c r="L12" s="8">
        <v>3.1</v>
      </c>
      <c r="M12" s="8">
        <v>0.3</v>
      </c>
      <c r="N12" s="8">
        <v>2.2999999999999998</v>
      </c>
      <c r="O12" s="8">
        <v>-4.7</v>
      </c>
      <c r="P12" s="8">
        <v>6.9</v>
      </c>
      <c r="Q12" s="8">
        <v>4.4000000000000004</v>
      </c>
      <c r="R12" s="8">
        <v>4.2</v>
      </c>
      <c r="S12" s="8">
        <v>-2</v>
      </c>
      <c r="T12" s="8">
        <v>-1</v>
      </c>
      <c r="U12" s="8">
        <v>2.5</v>
      </c>
      <c r="V12" s="8">
        <v>-2.4</v>
      </c>
      <c r="W12" s="8">
        <v>1.9</v>
      </c>
      <c r="X12" s="8">
        <v>1.8</v>
      </c>
      <c r="Y12" s="8">
        <v>1.8</v>
      </c>
      <c r="Z12" s="8">
        <v>-2</v>
      </c>
      <c r="AA12" s="8">
        <v>9.1999999999999993</v>
      </c>
      <c r="AB12" s="8">
        <v>19.100000000000001</v>
      </c>
      <c r="AC12" s="8">
        <v>-3.1</v>
      </c>
      <c r="AD12" s="8">
        <v>0.3</v>
      </c>
      <c r="AE12" s="8">
        <v>-0.6</v>
      </c>
      <c r="AF12" s="8">
        <v>2</v>
      </c>
      <c r="AG12" s="8">
        <v>1.9</v>
      </c>
      <c r="AH12" s="8">
        <v>2</v>
      </c>
      <c r="AI12" s="8">
        <v>2</v>
      </c>
      <c r="AJ12" s="8">
        <v>2</v>
      </c>
      <c r="AK12" s="8">
        <v>2</v>
      </c>
    </row>
    <row r="13" spans="1:37" x14ac:dyDescent="0.3">
      <c r="A13" s="11" t="s">
        <v>510</v>
      </c>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spans="1:37" x14ac:dyDescent="0.3">
      <c r="A14" s="9" t="s">
        <v>511</v>
      </c>
      <c r="B14" s="8"/>
      <c r="C14" s="8"/>
      <c r="D14" s="8"/>
      <c r="E14" s="8">
        <v>3</v>
      </c>
      <c r="F14" s="8">
        <v>4.4000000000000004</v>
      </c>
      <c r="G14" s="8">
        <v>4.3</v>
      </c>
      <c r="H14" s="8">
        <v>3.3</v>
      </c>
      <c r="I14" s="8">
        <v>2.2999999999999998</v>
      </c>
      <c r="J14" s="8">
        <v>2.1</v>
      </c>
      <c r="K14" s="8">
        <v>2.2000000000000002</v>
      </c>
      <c r="L14" s="8">
        <v>3.1</v>
      </c>
      <c r="M14" s="8">
        <v>4.3</v>
      </c>
      <c r="N14" s="8">
        <v>4.5999999999999996</v>
      </c>
      <c r="O14" s="8">
        <v>1.2</v>
      </c>
      <c r="P14" s="8">
        <v>0.8</v>
      </c>
      <c r="Q14" s="8">
        <v>1.4</v>
      </c>
      <c r="R14" s="8">
        <v>0.6</v>
      </c>
      <c r="S14" s="8">
        <v>0.2</v>
      </c>
      <c r="T14" s="8">
        <v>0.2</v>
      </c>
      <c r="U14" s="8">
        <v>0</v>
      </c>
      <c r="V14" s="8">
        <v>-0.3</v>
      </c>
      <c r="W14" s="8">
        <v>-0.3</v>
      </c>
      <c r="X14" s="8">
        <v>-0.3</v>
      </c>
      <c r="Y14" s="8">
        <v>-0.4</v>
      </c>
      <c r="Z14" s="8">
        <v>-0.4</v>
      </c>
      <c r="AA14" s="8">
        <v>-0.5</v>
      </c>
      <c r="AB14" s="8">
        <v>0.3</v>
      </c>
      <c r="AC14" s="8">
        <v>3.4</v>
      </c>
      <c r="AD14" s="8">
        <v>3.6</v>
      </c>
      <c r="AE14" s="8">
        <v>2.2000000000000002</v>
      </c>
      <c r="AF14" s="8">
        <v>2.4</v>
      </c>
      <c r="AG14" s="8">
        <v>2.8</v>
      </c>
      <c r="AH14" s="8">
        <v>2.6</v>
      </c>
      <c r="AI14" s="8">
        <v>2.4</v>
      </c>
      <c r="AJ14" s="8">
        <v>2.2000000000000002</v>
      </c>
      <c r="AK14" s="8">
        <v>2</v>
      </c>
    </row>
    <row r="15" spans="1:37" ht="15" thickBot="1" x14ac:dyDescent="0.35">
      <c r="A15" s="9" t="s">
        <v>512</v>
      </c>
      <c r="B15" s="8">
        <v>7.2</v>
      </c>
      <c r="C15" s="8">
        <v>6</v>
      </c>
      <c r="D15" s="8">
        <v>4.7</v>
      </c>
      <c r="E15" s="8">
        <v>4.5999999999999996</v>
      </c>
      <c r="F15" s="8">
        <v>5.4</v>
      </c>
      <c r="G15" s="8">
        <v>5</v>
      </c>
      <c r="H15" s="8">
        <v>4.9000000000000004</v>
      </c>
      <c r="I15" s="8">
        <v>4.0999999999999996</v>
      </c>
      <c r="J15" s="8">
        <v>4.0999999999999996</v>
      </c>
      <c r="K15" s="8">
        <v>3.4</v>
      </c>
      <c r="L15" s="8">
        <v>3.8</v>
      </c>
      <c r="M15" s="8">
        <v>4.3</v>
      </c>
      <c r="N15" s="8">
        <v>4.2</v>
      </c>
      <c r="O15" s="8">
        <v>3.7</v>
      </c>
      <c r="P15" s="8">
        <v>3.3</v>
      </c>
      <c r="Q15" s="8">
        <v>3.9</v>
      </c>
      <c r="R15" s="8">
        <v>3.2</v>
      </c>
      <c r="S15" s="8">
        <v>2.7</v>
      </c>
      <c r="T15" s="8">
        <v>1.9</v>
      </c>
      <c r="U15" s="8">
        <v>1</v>
      </c>
      <c r="V15" s="8">
        <v>0.7</v>
      </c>
      <c r="W15" s="8">
        <v>1</v>
      </c>
      <c r="X15" s="8">
        <v>1.1000000000000001</v>
      </c>
      <c r="Y15" s="8">
        <v>0.4</v>
      </c>
      <c r="Z15" s="8">
        <v>0</v>
      </c>
      <c r="AA15" s="8">
        <v>0</v>
      </c>
      <c r="AB15" s="8">
        <v>1.8</v>
      </c>
      <c r="AC15" s="8">
        <v>3.1</v>
      </c>
      <c r="AD15" s="8">
        <v>2.9</v>
      </c>
      <c r="AE15" s="8">
        <v>3.1</v>
      </c>
      <c r="AF15" s="8">
        <v>3.3</v>
      </c>
      <c r="AG15" s="8">
        <v>3.4</v>
      </c>
      <c r="AH15" s="8">
        <v>3.3</v>
      </c>
      <c r="AI15" s="8">
        <v>3.3</v>
      </c>
      <c r="AJ15" s="8">
        <v>3.2</v>
      </c>
      <c r="AK15" s="8">
        <v>3.1</v>
      </c>
    </row>
    <row r="16" spans="1:37" ht="15" customHeight="1" x14ac:dyDescent="0.3">
      <c r="A16" s="30" t="s">
        <v>513</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row>
    <row r="17" spans="1:37" ht="15" customHeight="1" x14ac:dyDescent="0.3">
      <c r="A17" s="32" t="s">
        <v>514</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row>
    <row r="18" spans="1:37" ht="15" customHeight="1" x14ac:dyDescent="0.3">
      <c r="A18" s="32" t="s">
        <v>515</v>
      </c>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row>
    <row r="19" spans="1:37" ht="15" customHeight="1" x14ac:dyDescent="0.3">
      <c r="A19" s="32" t="s">
        <v>516</v>
      </c>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row>
    <row r="20" spans="1:37" x14ac:dyDescent="0.3">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row>
  </sheetData>
  <mergeCells count="6">
    <mergeCell ref="A19:AK19"/>
    <mergeCell ref="A1:AK1"/>
    <mergeCell ref="A2:AK2"/>
    <mergeCell ref="A16:AK16"/>
    <mergeCell ref="A17:AK17"/>
    <mergeCell ref="A18:AK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8DAF-E84D-4FC1-8A16-AE9DCCC2BF78}">
  <dimension ref="A1:AK15"/>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7" style="1" bestFit="1" customWidth="1"/>
    <col min="38" max="16384" width="9.109375" style="1"/>
  </cols>
  <sheetData>
    <row r="1" spans="1:37" ht="15" customHeight="1" x14ac:dyDescent="0.3">
      <c r="A1" s="28" t="s">
        <v>499</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78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5" t="s">
        <v>475</v>
      </c>
      <c r="B4" s="5">
        <v>114598</v>
      </c>
      <c r="C4" s="5">
        <v>118021</v>
      </c>
      <c r="D4" s="5">
        <v>123097</v>
      </c>
      <c r="E4" s="5">
        <v>126176</v>
      </c>
      <c r="F4" s="5">
        <v>134116</v>
      </c>
      <c r="G4" s="5">
        <v>138526</v>
      </c>
      <c r="H4" s="5">
        <v>140826</v>
      </c>
      <c r="I4" s="5">
        <v>143956</v>
      </c>
      <c r="J4" s="5">
        <v>149127</v>
      </c>
      <c r="K4" s="5">
        <v>155603</v>
      </c>
      <c r="L4" s="5">
        <v>162732</v>
      </c>
      <c r="M4" s="5">
        <v>170592</v>
      </c>
      <c r="N4" s="5">
        <v>178419</v>
      </c>
      <c r="O4" s="5">
        <v>180100</v>
      </c>
      <c r="P4" s="5">
        <v>190228</v>
      </c>
      <c r="Q4" s="5">
        <v>196479</v>
      </c>
      <c r="R4" s="5">
        <v>203724</v>
      </c>
      <c r="S4" s="5">
        <v>208505</v>
      </c>
      <c r="T4" s="5">
        <v>212249</v>
      </c>
      <c r="U4" s="5">
        <v>217399</v>
      </c>
      <c r="V4" s="5">
        <v>224178</v>
      </c>
      <c r="W4" s="5">
        <v>233087</v>
      </c>
      <c r="X4" s="5">
        <v>241731</v>
      </c>
      <c r="Y4" s="5">
        <v>248826</v>
      </c>
      <c r="Z4" s="5">
        <v>233039</v>
      </c>
      <c r="AA4" s="5">
        <v>252605</v>
      </c>
      <c r="AB4" s="5">
        <v>289653</v>
      </c>
      <c r="AC4" s="5">
        <v>311157</v>
      </c>
      <c r="AD4" s="5">
        <v>322939</v>
      </c>
      <c r="AE4" s="5">
        <v>335951</v>
      </c>
      <c r="AF4" s="5">
        <v>350871</v>
      </c>
      <c r="AG4" s="5">
        <v>364896</v>
      </c>
      <c r="AH4" s="5">
        <v>376829</v>
      </c>
      <c r="AI4" s="5">
        <v>388407</v>
      </c>
      <c r="AJ4" s="5">
        <v>400321</v>
      </c>
      <c r="AK4" s="5">
        <v>412022</v>
      </c>
    </row>
    <row r="5" spans="1:37" x14ac:dyDescent="0.3">
      <c r="A5" s="3" t="s">
        <v>476</v>
      </c>
      <c r="B5" s="3">
        <v>46540</v>
      </c>
      <c r="C5" s="3">
        <v>47401</v>
      </c>
      <c r="D5" s="3">
        <v>49072</v>
      </c>
      <c r="E5" s="3">
        <v>51568</v>
      </c>
      <c r="F5" s="3">
        <v>53942</v>
      </c>
      <c r="G5" s="3">
        <v>56339</v>
      </c>
      <c r="H5" s="3">
        <v>60496</v>
      </c>
      <c r="I5" s="3">
        <v>63226</v>
      </c>
      <c r="J5" s="3">
        <v>65886</v>
      </c>
      <c r="K5" s="3">
        <v>68500</v>
      </c>
      <c r="L5" s="3">
        <v>71334</v>
      </c>
      <c r="M5" s="3">
        <v>74276</v>
      </c>
      <c r="N5" s="3">
        <v>79727</v>
      </c>
      <c r="O5" s="3">
        <v>83900</v>
      </c>
      <c r="P5" s="3">
        <v>86242</v>
      </c>
      <c r="Q5" s="3">
        <v>90395</v>
      </c>
      <c r="R5" s="3">
        <v>93811</v>
      </c>
      <c r="S5" s="3">
        <v>95515</v>
      </c>
      <c r="T5" s="3">
        <v>97626</v>
      </c>
      <c r="U5" s="3">
        <v>98372</v>
      </c>
      <c r="V5" s="3">
        <v>99914</v>
      </c>
      <c r="W5" s="3">
        <v>102499</v>
      </c>
      <c r="X5" s="3">
        <v>106380</v>
      </c>
      <c r="Y5" s="3">
        <v>110063</v>
      </c>
      <c r="Z5" s="3">
        <v>112399</v>
      </c>
      <c r="AA5" s="3">
        <v>120272</v>
      </c>
      <c r="AB5" s="3">
        <v>131608</v>
      </c>
      <c r="AC5" s="3">
        <v>140873</v>
      </c>
      <c r="AD5" s="3">
        <v>147786</v>
      </c>
      <c r="AE5" s="3">
        <v>153831</v>
      </c>
      <c r="AF5" s="3">
        <v>159646</v>
      </c>
      <c r="AG5" s="3">
        <v>165668</v>
      </c>
      <c r="AH5" s="3">
        <v>170852</v>
      </c>
      <c r="AI5" s="3">
        <v>175720</v>
      </c>
      <c r="AJ5" s="3">
        <v>179629</v>
      </c>
      <c r="AK5" s="3">
        <v>184813</v>
      </c>
    </row>
    <row r="6" spans="1:37" x14ac:dyDescent="0.3">
      <c r="A6" s="3" t="s">
        <v>470</v>
      </c>
      <c r="B6" s="3">
        <v>45396</v>
      </c>
      <c r="C6" s="3">
        <v>48976</v>
      </c>
      <c r="D6" s="3">
        <v>50667</v>
      </c>
      <c r="E6" s="3">
        <v>53711</v>
      </c>
      <c r="F6" s="3">
        <v>57703</v>
      </c>
      <c r="G6" s="3">
        <v>59185</v>
      </c>
      <c r="H6" s="3">
        <v>56554</v>
      </c>
      <c r="I6" s="3">
        <v>57630</v>
      </c>
      <c r="J6" s="3">
        <v>63703</v>
      </c>
      <c r="K6" s="3">
        <v>68685</v>
      </c>
      <c r="L6" s="3">
        <v>72592</v>
      </c>
      <c r="M6" s="3">
        <v>80039</v>
      </c>
      <c r="N6" s="3">
        <v>84834</v>
      </c>
      <c r="O6" s="3">
        <v>78414</v>
      </c>
      <c r="P6" s="3">
        <v>79689</v>
      </c>
      <c r="Q6" s="3">
        <v>86316</v>
      </c>
      <c r="R6" s="3">
        <v>88541</v>
      </c>
      <c r="S6" s="3">
        <v>87431</v>
      </c>
      <c r="T6" s="3">
        <v>92496</v>
      </c>
      <c r="U6" s="3">
        <v>96205</v>
      </c>
      <c r="V6" s="3">
        <v>100775</v>
      </c>
      <c r="W6" s="3">
        <v>104219</v>
      </c>
      <c r="X6" s="3">
        <v>109244</v>
      </c>
      <c r="Y6" s="3">
        <v>116175</v>
      </c>
      <c r="Z6" s="3">
        <v>111457</v>
      </c>
      <c r="AA6" s="3">
        <v>121028</v>
      </c>
      <c r="AB6" s="3">
        <v>134342</v>
      </c>
      <c r="AC6" s="3">
        <v>145571</v>
      </c>
      <c r="AD6" s="3">
        <v>150402</v>
      </c>
      <c r="AE6" s="3">
        <v>153217</v>
      </c>
      <c r="AF6" s="3">
        <v>159801</v>
      </c>
      <c r="AG6" s="3">
        <v>166324</v>
      </c>
      <c r="AH6" s="3">
        <v>173714</v>
      </c>
      <c r="AI6" s="3">
        <v>182100</v>
      </c>
      <c r="AJ6" s="3">
        <v>190721</v>
      </c>
      <c r="AK6" s="3">
        <v>196887</v>
      </c>
    </row>
    <row r="7" spans="1:37" x14ac:dyDescent="0.3">
      <c r="A7" s="7" t="s">
        <v>477</v>
      </c>
      <c r="B7" s="3">
        <v>29928</v>
      </c>
      <c r="C7" s="3">
        <v>32273</v>
      </c>
      <c r="D7" s="3">
        <v>34425</v>
      </c>
      <c r="E7" s="3">
        <v>36181</v>
      </c>
      <c r="F7" s="3">
        <v>39780</v>
      </c>
      <c r="G7" s="3">
        <v>41922</v>
      </c>
      <c r="H7" s="3">
        <v>39706</v>
      </c>
      <c r="I7" s="3">
        <v>39708</v>
      </c>
      <c r="J7" s="3">
        <v>44507</v>
      </c>
      <c r="K7" s="3">
        <v>46280</v>
      </c>
      <c r="L7" s="3">
        <v>48669</v>
      </c>
      <c r="M7" s="3">
        <v>53694</v>
      </c>
      <c r="N7" s="3">
        <v>57072</v>
      </c>
      <c r="O7" s="3">
        <v>51607</v>
      </c>
      <c r="P7" s="3">
        <v>51571</v>
      </c>
      <c r="Q7" s="3">
        <v>57196</v>
      </c>
      <c r="R7" s="3">
        <v>57701</v>
      </c>
      <c r="S7" s="3">
        <v>57293</v>
      </c>
      <c r="T7" s="3">
        <v>60014</v>
      </c>
      <c r="U7" s="3">
        <v>64189</v>
      </c>
      <c r="V7" s="3">
        <v>67814</v>
      </c>
      <c r="W7" s="3">
        <v>69924</v>
      </c>
      <c r="X7" s="3">
        <v>72754</v>
      </c>
      <c r="Y7" s="3">
        <v>77790</v>
      </c>
      <c r="Z7" s="3">
        <v>73774</v>
      </c>
      <c r="AA7" s="3">
        <v>79667</v>
      </c>
      <c r="AB7" s="3">
        <v>89714</v>
      </c>
      <c r="AC7" s="3">
        <v>97756</v>
      </c>
      <c r="AD7" s="3">
        <v>102099</v>
      </c>
      <c r="AE7" s="3">
        <v>106290</v>
      </c>
      <c r="AF7" s="3">
        <v>111389</v>
      </c>
      <c r="AG7" s="3">
        <v>116560</v>
      </c>
      <c r="AH7" s="3">
        <v>121528</v>
      </c>
      <c r="AI7" s="3">
        <v>127072</v>
      </c>
      <c r="AJ7" s="3">
        <v>132414</v>
      </c>
      <c r="AK7" s="3">
        <v>137640</v>
      </c>
    </row>
    <row r="8" spans="1:37" x14ac:dyDescent="0.3">
      <c r="A8" s="7" t="s">
        <v>478</v>
      </c>
      <c r="B8" s="3">
        <v>4455</v>
      </c>
      <c r="C8" s="3">
        <v>4731</v>
      </c>
      <c r="D8" s="3">
        <v>4789</v>
      </c>
      <c r="E8" s="3">
        <v>5696</v>
      </c>
      <c r="F8" s="3">
        <v>6098</v>
      </c>
      <c r="G8" s="3">
        <v>5606</v>
      </c>
      <c r="H8" s="3">
        <v>5642</v>
      </c>
      <c r="I8" s="3">
        <v>5890</v>
      </c>
      <c r="J8" s="3">
        <v>5976</v>
      </c>
      <c r="K8" s="3">
        <v>6402</v>
      </c>
      <c r="L8" s="3">
        <v>6212</v>
      </c>
      <c r="M8" s="3">
        <v>6818</v>
      </c>
      <c r="N8" s="3">
        <v>7175</v>
      </c>
      <c r="O8" s="3">
        <v>7850</v>
      </c>
      <c r="P8" s="3">
        <v>8141</v>
      </c>
      <c r="Q8" s="3">
        <v>8974</v>
      </c>
      <c r="R8" s="3">
        <v>9595</v>
      </c>
      <c r="S8" s="3">
        <v>9174</v>
      </c>
      <c r="T8" s="3">
        <v>10308</v>
      </c>
      <c r="U8" s="3">
        <v>10357</v>
      </c>
      <c r="V8" s="3">
        <v>10450</v>
      </c>
      <c r="W8" s="3">
        <v>10884</v>
      </c>
      <c r="X8" s="3">
        <v>12249</v>
      </c>
      <c r="Y8" s="3">
        <v>12638</v>
      </c>
      <c r="Z8" s="3">
        <v>12755</v>
      </c>
      <c r="AA8" s="3">
        <v>14017</v>
      </c>
      <c r="AB8" s="3">
        <v>15340</v>
      </c>
      <c r="AC8" s="3">
        <v>17253</v>
      </c>
      <c r="AD8" s="3">
        <v>19266</v>
      </c>
      <c r="AE8" s="3">
        <v>19776</v>
      </c>
      <c r="AF8" s="3">
        <v>20683</v>
      </c>
      <c r="AG8" s="3">
        <v>20675</v>
      </c>
      <c r="AH8" s="3">
        <v>21624</v>
      </c>
      <c r="AI8" s="3">
        <v>23079</v>
      </c>
      <c r="AJ8" s="3">
        <v>24875</v>
      </c>
      <c r="AK8" s="3">
        <v>24369</v>
      </c>
    </row>
    <row r="9" spans="1:37" x14ac:dyDescent="0.3">
      <c r="A9" s="7" t="s">
        <v>479</v>
      </c>
      <c r="B9" s="3">
        <v>11014</v>
      </c>
      <c r="C9" s="3">
        <v>11972</v>
      </c>
      <c r="D9" s="3">
        <v>11453</v>
      </c>
      <c r="E9" s="3">
        <v>11835</v>
      </c>
      <c r="F9" s="3">
        <v>11825</v>
      </c>
      <c r="G9" s="3">
        <v>11657</v>
      </c>
      <c r="H9" s="3">
        <v>11206</v>
      </c>
      <c r="I9" s="3">
        <v>12032</v>
      </c>
      <c r="J9" s="3">
        <v>13220</v>
      </c>
      <c r="K9" s="3">
        <v>16004</v>
      </c>
      <c r="L9" s="3">
        <v>17711</v>
      </c>
      <c r="M9" s="3">
        <v>19527</v>
      </c>
      <c r="N9" s="3">
        <v>20587</v>
      </c>
      <c r="O9" s="3">
        <v>18957</v>
      </c>
      <c r="P9" s="3">
        <v>19977</v>
      </c>
      <c r="Q9" s="3">
        <v>20146</v>
      </c>
      <c r="R9" s="3">
        <v>21244</v>
      </c>
      <c r="S9" s="3">
        <v>20964</v>
      </c>
      <c r="T9" s="3">
        <v>22174</v>
      </c>
      <c r="U9" s="3">
        <v>21659</v>
      </c>
      <c r="V9" s="3">
        <v>22511</v>
      </c>
      <c r="W9" s="3">
        <v>23411</v>
      </c>
      <c r="X9" s="3">
        <v>24241</v>
      </c>
      <c r="Y9" s="3">
        <v>25748</v>
      </c>
      <c r="Z9" s="3">
        <v>24928</v>
      </c>
      <c r="AA9" s="3">
        <v>27344</v>
      </c>
      <c r="AB9" s="3">
        <v>29287</v>
      </c>
      <c r="AC9" s="3">
        <v>30563</v>
      </c>
      <c r="AD9" s="3">
        <v>29037</v>
      </c>
      <c r="AE9" s="3">
        <v>27152</v>
      </c>
      <c r="AF9" s="3">
        <v>27730</v>
      </c>
      <c r="AG9" s="3">
        <v>29089</v>
      </c>
      <c r="AH9" s="3">
        <v>30562</v>
      </c>
      <c r="AI9" s="3">
        <v>31949</v>
      </c>
      <c r="AJ9" s="3">
        <v>33432</v>
      </c>
      <c r="AK9" s="3">
        <v>34878</v>
      </c>
    </row>
    <row r="10" spans="1:37" x14ac:dyDescent="0.3">
      <c r="A10" s="3" t="s">
        <v>471</v>
      </c>
      <c r="B10" s="3">
        <v>956</v>
      </c>
      <c r="C10" s="3">
        <v>1000</v>
      </c>
      <c r="D10" s="3">
        <v>1322</v>
      </c>
      <c r="E10" s="3">
        <v>1266</v>
      </c>
      <c r="F10" s="3">
        <v>3271</v>
      </c>
      <c r="G10" s="3">
        <v>644</v>
      </c>
      <c r="H10" s="3">
        <v>139</v>
      </c>
      <c r="I10" s="3">
        <v>1323</v>
      </c>
      <c r="J10" s="3">
        <v>3577</v>
      </c>
      <c r="K10" s="3">
        <v>4735</v>
      </c>
      <c r="L10" s="3">
        <v>5349</v>
      </c>
      <c r="M10" s="3">
        <v>4502</v>
      </c>
      <c r="N10" s="3">
        <v>6397</v>
      </c>
      <c r="O10" s="3">
        <v>-1821</v>
      </c>
      <c r="P10" s="3">
        <v>1656</v>
      </c>
      <c r="Q10" s="3">
        <v>6399</v>
      </c>
      <c r="R10" s="3">
        <v>2966</v>
      </c>
      <c r="S10" s="3">
        <v>2183</v>
      </c>
      <c r="T10" s="3">
        <v>1690</v>
      </c>
      <c r="U10" s="3">
        <v>708</v>
      </c>
      <c r="V10" s="3">
        <v>2835</v>
      </c>
      <c r="W10" s="3">
        <v>3670</v>
      </c>
      <c r="X10" s="3">
        <v>8163</v>
      </c>
      <c r="Y10" s="3">
        <v>2131</v>
      </c>
      <c r="Z10" s="3">
        <v>161</v>
      </c>
      <c r="AA10" s="3">
        <v>2685</v>
      </c>
      <c r="AB10" s="3">
        <v>18820</v>
      </c>
      <c r="AC10" s="3">
        <v>6948</v>
      </c>
      <c r="AD10" s="3">
        <v>1538</v>
      </c>
      <c r="AE10" s="3">
        <v>11797</v>
      </c>
      <c r="AF10" s="3">
        <v>10263</v>
      </c>
      <c r="AG10" s="3">
        <v>6314</v>
      </c>
      <c r="AH10" s="3">
        <v>6722</v>
      </c>
      <c r="AI10" s="3">
        <v>7015</v>
      </c>
      <c r="AJ10" s="3">
        <v>7382</v>
      </c>
      <c r="AK10" s="3">
        <v>7979</v>
      </c>
    </row>
    <row r="11" spans="1:37" x14ac:dyDescent="0.3">
      <c r="A11" s="3" t="s">
        <v>480</v>
      </c>
      <c r="B11" s="3">
        <v>207490</v>
      </c>
      <c r="C11" s="3">
        <v>215397</v>
      </c>
      <c r="D11" s="3">
        <v>224157</v>
      </c>
      <c r="E11" s="3">
        <v>232722</v>
      </c>
      <c r="F11" s="3">
        <v>249032</v>
      </c>
      <c r="G11" s="3">
        <v>254694</v>
      </c>
      <c r="H11" s="3">
        <v>258015</v>
      </c>
      <c r="I11" s="3">
        <v>266135</v>
      </c>
      <c r="J11" s="3">
        <v>282293</v>
      </c>
      <c r="K11" s="3">
        <v>297523</v>
      </c>
      <c r="L11" s="3">
        <v>312007</v>
      </c>
      <c r="M11" s="3">
        <v>329410</v>
      </c>
      <c r="N11" s="3">
        <v>349377</v>
      </c>
      <c r="O11" s="3">
        <v>340593</v>
      </c>
      <c r="P11" s="3">
        <v>357816</v>
      </c>
      <c r="Q11" s="3">
        <v>379589</v>
      </c>
      <c r="R11" s="3">
        <v>389042</v>
      </c>
      <c r="S11" s="3">
        <v>393633</v>
      </c>
      <c r="T11" s="3">
        <v>404062</v>
      </c>
      <c r="U11" s="3">
        <v>412684</v>
      </c>
      <c r="V11" s="3">
        <v>427702</v>
      </c>
      <c r="W11" s="3">
        <v>443475</v>
      </c>
      <c r="X11" s="3">
        <v>465518</v>
      </c>
      <c r="Y11" s="3">
        <v>477194</v>
      </c>
      <c r="Z11" s="3">
        <v>457056</v>
      </c>
      <c r="AA11" s="3">
        <v>496590</v>
      </c>
      <c r="AB11" s="3">
        <v>574423</v>
      </c>
      <c r="AC11" s="3">
        <v>604548</v>
      </c>
      <c r="AD11" s="3">
        <v>622664</v>
      </c>
      <c r="AE11" s="3">
        <v>654796</v>
      </c>
      <c r="AF11" s="3">
        <v>680582</v>
      </c>
      <c r="AG11" s="3">
        <v>703203</v>
      </c>
      <c r="AH11" s="3">
        <v>728118</v>
      </c>
      <c r="AI11" s="3">
        <v>753243</v>
      </c>
      <c r="AJ11" s="3">
        <v>778054</v>
      </c>
      <c r="AK11" s="3">
        <v>801701</v>
      </c>
    </row>
    <row r="12" spans="1:37" x14ac:dyDescent="0.3">
      <c r="A12" s="3" t="s">
        <v>481</v>
      </c>
      <c r="B12" s="3">
        <v>131127</v>
      </c>
      <c r="C12" s="3">
        <v>145188</v>
      </c>
      <c r="D12" s="3">
        <v>149285</v>
      </c>
      <c r="E12" s="3">
        <v>156441</v>
      </c>
      <c r="F12" s="3">
        <v>185994</v>
      </c>
      <c r="G12" s="3">
        <v>189295</v>
      </c>
      <c r="H12" s="3">
        <v>193551</v>
      </c>
      <c r="I12" s="3">
        <v>194131</v>
      </c>
      <c r="J12" s="3">
        <v>210464</v>
      </c>
      <c r="K12" s="3">
        <v>230305</v>
      </c>
      <c r="L12" s="3">
        <v>249733</v>
      </c>
      <c r="M12" s="3">
        <v>269060</v>
      </c>
      <c r="N12" s="3">
        <v>284492</v>
      </c>
      <c r="O12" s="3">
        <v>238532</v>
      </c>
      <c r="P12" s="3">
        <v>275440</v>
      </c>
      <c r="Q12" s="3">
        <v>304024</v>
      </c>
      <c r="R12" s="3">
        <v>310538</v>
      </c>
      <c r="S12" s="3">
        <v>311397</v>
      </c>
      <c r="T12" s="3">
        <v>321523</v>
      </c>
      <c r="U12" s="3">
        <v>323612</v>
      </c>
      <c r="V12" s="3">
        <v>341138</v>
      </c>
      <c r="W12" s="3">
        <v>369998</v>
      </c>
      <c r="X12" s="3">
        <v>383598</v>
      </c>
      <c r="Y12" s="3">
        <v>397783</v>
      </c>
      <c r="Z12" s="3">
        <v>367276</v>
      </c>
      <c r="AA12" s="3">
        <v>453547</v>
      </c>
      <c r="AB12" s="3">
        <v>529996</v>
      </c>
      <c r="AC12" s="3">
        <v>498425</v>
      </c>
      <c r="AD12" s="3">
        <v>491708</v>
      </c>
      <c r="AE12" s="3">
        <v>484445</v>
      </c>
      <c r="AF12" s="3">
        <v>499400</v>
      </c>
      <c r="AG12" s="3">
        <v>512281</v>
      </c>
      <c r="AH12" s="3">
        <v>531485</v>
      </c>
      <c r="AI12" s="3">
        <v>552369</v>
      </c>
      <c r="AJ12" s="3">
        <v>574566</v>
      </c>
      <c r="AK12" s="3">
        <v>597162</v>
      </c>
    </row>
    <row r="13" spans="1:37" x14ac:dyDescent="0.3">
      <c r="A13" s="3" t="s">
        <v>482</v>
      </c>
      <c r="B13" s="3">
        <v>124330</v>
      </c>
      <c r="C13" s="3">
        <v>136483</v>
      </c>
      <c r="D13" s="3">
        <v>140818</v>
      </c>
      <c r="E13" s="3">
        <v>146855</v>
      </c>
      <c r="F13" s="3">
        <v>178650</v>
      </c>
      <c r="G13" s="3">
        <v>179655</v>
      </c>
      <c r="H13" s="3">
        <v>178310</v>
      </c>
      <c r="I13" s="3">
        <v>179066</v>
      </c>
      <c r="J13" s="3">
        <v>195937</v>
      </c>
      <c r="K13" s="3">
        <v>217790</v>
      </c>
      <c r="L13" s="3">
        <v>236588</v>
      </c>
      <c r="M13" s="3">
        <v>254851</v>
      </c>
      <c r="N13" s="3">
        <v>282126</v>
      </c>
      <c r="O13" s="3">
        <v>231391</v>
      </c>
      <c r="P13" s="3">
        <v>270014</v>
      </c>
      <c r="Q13" s="3">
        <v>304868</v>
      </c>
      <c r="R13" s="3">
        <v>311645</v>
      </c>
      <c r="S13" s="3">
        <v>310414</v>
      </c>
      <c r="T13" s="3">
        <v>320626</v>
      </c>
      <c r="U13" s="3">
        <v>320758</v>
      </c>
      <c r="V13" s="3">
        <v>340372</v>
      </c>
      <c r="W13" s="3">
        <v>370066</v>
      </c>
      <c r="X13" s="3">
        <v>389624</v>
      </c>
      <c r="Y13" s="3">
        <v>395533</v>
      </c>
      <c r="Z13" s="3">
        <v>360581</v>
      </c>
      <c r="AA13" s="3">
        <v>444090</v>
      </c>
      <c r="AB13" s="3">
        <v>543110</v>
      </c>
      <c r="AC13" s="3">
        <v>500597</v>
      </c>
      <c r="AD13" s="3">
        <v>494101</v>
      </c>
      <c r="AE13" s="3">
        <v>497229</v>
      </c>
      <c r="AF13" s="3">
        <v>516655</v>
      </c>
      <c r="AG13" s="3">
        <v>528113</v>
      </c>
      <c r="AH13" s="3">
        <v>548962</v>
      </c>
      <c r="AI13" s="3">
        <v>572024</v>
      </c>
      <c r="AJ13" s="3">
        <v>596149</v>
      </c>
      <c r="AK13" s="3">
        <v>620017</v>
      </c>
    </row>
    <row r="14" spans="1:37" ht="15" thickBot="1" x14ac:dyDescent="0.35">
      <c r="A14" s="11" t="s">
        <v>484</v>
      </c>
      <c r="B14" s="3">
        <v>214287</v>
      </c>
      <c r="C14" s="3">
        <v>224101</v>
      </c>
      <c r="D14" s="3">
        <v>232624</v>
      </c>
      <c r="E14" s="3">
        <v>242308</v>
      </c>
      <c r="F14" s="3">
        <v>256376</v>
      </c>
      <c r="G14" s="3">
        <v>264335</v>
      </c>
      <c r="H14" s="3">
        <v>273256</v>
      </c>
      <c r="I14" s="3">
        <v>281200</v>
      </c>
      <c r="J14" s="3">
        <v>296820</v>
      </c>
      <c r="K14" s="3">
        <v>310038</v>
      </c>
      <c r="L14" s="3">
        <v>325152</v>
      </c>
      <c r="M14" s="3">
        <v>343619</v>
      </c>
      <c r="N14" s="3">
        <v>351743</v>
      </c>
      <c r="O14" s="3">
        <v>347735</v>
      </c>
      <c r="P14" s="3">
        <v>363242</v>
      </c>
      <c r="Q14" s="3">
        <v>378745</v>
      </c>
      <c r="R14" s="3">
        <v>387935</v>
      </c>
      <c r="S14" s="3">
        <v>394616</v>
      </c>
      <c r="T14" s="3">
        <v>404958</v>
      </c>
      <c r="U14" s="3">
        <v>415538</v>
      </c>
      <c r="V14" s="3">
        <v>428467</v>
      </c>
      <c r="W14" s="3">
        <v>443407</v>
      </c>
      <c r="X14" s="3">
        <v>459492</v>
      </c>
      <c r="Y14" s="3">
        <v>479445</v>
      </c>
      <c r="Z14" s="3">
        <v>463751</v>
      </c>
      <c r="AA14" s="3">
        <v>506047</v>
      </c>
      <c r="AB14" s="3">
        <v>561309</v>
      </c>
      <c r="AC14" s="3">
        <v>602376</v>
      </c>
      <c r="AD14" s="3">
        <v>620272</v>
      </c>
      <c r="AE14" s="3">
        <v>642012</v>
      </c>
      <c r="AF14" s="3">
        <v>663326</v>
      </c>
      <c r="AG14" s="3">
        <v>687370</v>
      </c>
      <c r="AH14" s="3">
        <v>710640</v>
      </c>
      <c r="AI14" s="3">
        <v>733587</v>
      </c>
      <c r="AJ14" s="3">
        <v>756470</v>
      </c>
      <c r="AK14" s="3">
        <v>778846</v>
      </c>
    </row>
    <row r="15" spans="1:37" ht="15" customHeight="1" x14ac:dyDescent="0.3">
      <c r="A15" s="30" t="s">
        <v>493</v>
      </c>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row>
  </sheetData>
  <mergeCells count="3">
    <mergeCell ref="A1:AK1"/>
    <mergeCell ref="A2:AK2"/>
    <mergeCell ref="A15:AK1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6EF45-7EF2-4BA8-BCF9-C75330C4DA58}">
  <dimension ref="A1:AK18"/>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14" width="5" style="1" bestFit="1" customWidth="1"/>
    <col min="15" max="15" width="5.33203125" style="1" bestFit="1" customWidth="1"/>
    <col min="16" max="37" width="5" style="1" bestFit="1" customWidth="1"/>
    <col min="38" max="16384" width="9.109375" style="1"/>
  </cols>
  <sheetData>
    <row r="1" spans="1:37" ht="15" customHeight="1" x14ac:dyDescent="0.3">
      <c r="A1" s="28" t="s">
        <v>495</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5" t="s">
        <v>475</v>
      </c>
      <c r="B4" s="6">
        <v>2</v>
      </c>
      <c r="C4" s="6">
        <v>1.5</v>
      </c>
      <c r="D4" s="6">
        <v>3.1</v>
      </c>
      <c r="E4" s="6">
        <v>2.1</v>
      </c>
      <c r="F4" s="6">
        <v>2.8</v>
      </c>
      <c r="G4" s="6">
        <v>0.9</v>
      </c>
      <c r="H4" s="6">
        <v>0.6</v>
      </c>
      <c r="I4" s="6">
        <v>0.7</v>
      </c>
      <c r="J4" s="6">
        <v>1.1000000000000001</v>
      </c>
      <c r="K4" s="6">
        <v>1.4</v>
      </c>
      <c r="L4" s="6">
        <v>1.8</v>
      </c>
      <c r="M4" s="6">
        <v>2.1</v>
      </c>
      <c r="N4" s="6">
        <v>1.4</v>
      </c>
      <c r="O4" s="6">
        <v>1.5</v>
      </c>
      <c r="P4" s="6">
        <v>3.8</v>
      </c>
      <c r="Q4" s="6">
        <v>0.6</v>
      </c>
      <c r="R4" s="6">
        <v>1.4</v>
      </c>
      <c r="S4" s="6">
        <v>1.3</v>
      </c>
      <c r="T4" s="6">
        <v>1</v>
      </c>
      <c r="U4" s="6">
        <v>1.6</v>
      </c>
      <c r="V4" s="6">
        <v>1.6</v>
      </c>
      <c r="W4" s="6">
        <v>1.9</v>
      </c>
      <c r="X4" s="6">
        <v>1.6</v>
      </c>
      <c r="Y4" s="6">
        <v>1.4</v>
      </c>
      <c r="Z4" s="6">
        <v>-7.2</v>
      </c>
      <c r="AA4" s="6">
        <v>5.6</v>
      </c>
      <c r="AB4" s="6">
        <v>3.7</v>
      </c>
      <c r="AC4" s="6">
        <v>1.1000000000000001</v>
      </c>
      <c r="AD4" s="6">
        <v>2</v>
      </c>
      <c r="AE4" s="6">
        <v>1.7</v>
      </c>
      <c r="AF4" s="6">
        <v>1</v>
      </c>
      <c r="AG4" s="6">
        <v>1.1000000000000001</v>
      </c>
      <c r="AH4" s="6">
        <v>1</v>
      </c>
      <c r="AI4" s="6">
        <v>1.2</v>
      </c>
      <c r="AJ4" s="6">
        <v>1.3</v>
      </c>
      <c r="AK4" s="6">
        <v>1.2</v>
      </c>
    </row>
    <row r="5" spans="1:37" x14ac:dyDescent="0.3">
      <c r="A5" s="3" t="s">
        <v>476</v>
      </c>
      <c r="B5" s="8">
        <v>1.5</v>
      </c>
      <c r="C5" s="8">
        <v>1.2</v>
      </c>
      <c r="D5" s="8">
        <v>1.7</v>
      </c>
      <c r="E5" s="8">
        <v>2.4</v>
      </c>
      <c r="F5" s="8">
        <v>2.4</v>
      </c>
      <c r="G5" s="8">
        <v>2.1</v>
      </c>
      <c r="H5" s="8">
        <v>3.3</v>
      </c>
      <c r="I5" s="8">
        <v>1.9</v>
      </c>
      <c r="J5" s="8">
        <v>2.4</v>
      </c>
      <c r="K5" s="8">
        <v>0.4</v>
      </c>
      <c r="L5" s="8">
        <v>0.7</v>
      </c>
      <c r="M5" s="8">
        <v>1.9</v>
      </c>
      <c r="N5" s="8">
        <v>3.1</v>
      </c>
      <c r="O5" s="8">
        <v>1.7</v>
      </c>
      <c r="P5" s="8">
        <v>0.2</v>
      </c>
      <c r="Q5" s="8">
        <v>0.4</v>
      </c>
      <c r="R5" s="8">
        <v>1.1000000000000001</v>
      </c>
      <c r="S5" s="8">
        <v>0.2</v>
      </c>
      <c r="T5" s="8">
        <v>1.3</v>
      </c>
      <c r="U5" s="8">
        <v>0.3</v>
      </c>
      <c r="V5" s="8">
        <v>-0.1</v>
      </c>
      <c r="W5" s="8">
        <v>0.4</v>
      </c>
      <c r="X5" s="8">
        <v>1.4</v>
      </c>
      <c r="Y5" s="8">
        <v>2</v>
      </c>
      <c r="Z5" s="8">
        <v>-0.2</v>
      </c>
      <c r="AA5" s="8">
        <v>4.2</v>
      </c>
      <c r="AB5" s="8">
        <v>3.2</v>
      </c>
      <c r="AC5" s="8">
        <v>2.7</v>
      </c>
      <c r="AD5" s="8">
        <v>1.8</v>
      </c>
      <c r="AE5" s="8">
        <v>1.6</v>
      </c>
      <c r="AF5" s="8">
        <v>1</v>
      </c>
      <c r="AG5" s="8">
        <v>0.6</v>
      </c>
      <c r="AH5" s="8">
        <v>0.8</v>
      </c>
      <c r="AI5" s="8">
        <v>1.1000000000000001</v>
      </c>
      <c r="AJ5" s="8">
        <v>0.3</v>
      </c>
      <c r="AK5" s="8">
        <v>1.1000000000000001</v>
      </c>
    </row>
    <row r="6" spans="1:37" x14ac:dyDescent="0.3">
      <c r="A6" s="3" t="s">
        <v>470</v>
      </c>
      <c r="B6" s="8">
        <v>0.6</v>
      </c>
      <c r="C6" s="8">
        <v>6.7</v>
      </c>
      <c r="D6" s="8">
        <v>2.2999999999999998</v>
      </c>
      <c r="E6" s="8">
        <v>4.0999999999999996</v>
      </c>
      <c r="F6" s="8">
        <v>5</v>
      </c>
      <c r="G6" s="8">
        <v>1.6</v>
      </c>
      <c r="H6" s="8">
        <v>-4.0999999999999996</v>
      </c>
      <c r="I6" s="8">
        <v>-0.1</v>
      </c>
      <c r="J6" s="8">
        <v>9</v>
      </c>
      <c r="K6" s="8">
        <v>5.7</v>
      </c>
      <c r="L6" s="8">
        <v>1.9</v>
      </c>
      <c r="M6" s="8">
        <v>7.3</v>
      </c>
      <c r="N6" s="8">
        <v>1.9</v>
      </c>
      <c r="O6" s="8">
        <v>-7.1</v>
      </c>
      <c r="P6" s="8">
        <v>-0.1</v>
      </c>
      <c r="Q6" s="8">
        <v>5.4</v>
      </c>
      <c r="R6" s="8">
        <v>0.7</v>
      </c>
      <c r="S6" s="8">
        <v>-2.2000000000000002</v>
      </c>
      <c r="T6" s="8">
        <v>5.7</v>
      </c>
      <c r="U6" s="8">
        <v>3.1</v>
      </c>
      <c r="V6" s="8">
        <v>4.3</v>
      </c>
      <c r="W6" s="8">
        <v>1.2</v>
      </c>
      <c r="X6" s="8">
        <v>3</v>
      </c>
      <c r="Y6" s="8">
        <v>4.4000000000000004</v>
      </c>
      <c r="Z6" s="8">
        <v>-5.0999999999999996</v>
      </c>
      <c r="AA6" s="8">
        <v>4.3</v>
      </c>
      <c r="AB6" s="8">
        <v>2.5</v>
      </c>
      <c r="AC6" s="8">
        <v>3.1</v>
      </c>
      <c r="AD6" s="8">
        <v>2</v>
      </c>
      <c r="AE6" s="8">
        <v>0</v>
      </c>
      <c r="AF6" s="8">
        <v>1.9</v>
      </c>
      <c r="AG6" s="8">
        <v>1.7</v>
      </c>
      <c r="AH6" s="8">
        <v>2.1</v>
      </c>
      <c r="AI6" s="8">
        <v>2.6</v>
      </c>
      <c r="AJ6" s="8">
        <v>2.5</v>
      </c>
      <c r="AK6" s="8">
        <v>1.1000000000000001</v>
      </c>
    </row>
    <row r="7" spans="1:37" x14ac:dyDescent="0.3">
      <c r="A7" s="7" t="s">
        <v>477</v>
      </c>
      <c r="B7" s="8">
        <v>5</v>
      </c>
      <c r="C7" s="8">
        <v>6.6</v>
      </c>
      <c r="D7" s="8">
        <v>5.5</v>
      </c>
      <c r="E7" s="8">
        <v>3.2</v>
      </c>
      <c r="F7" s="8">
        <v>7.8</v>
      </c>
      <c r="G7" s="8">
        <v>4.9000000000000004</v>
      </c>
      <c r="H7" s="8">
        <v>-4.2</v>
      </c>
      <c r="I7" s="8">
        <v>-1.9</v>
      </c>
      <c r="J7" s="8">
        <v>11.6</v>
      </c>
      <c r="K7" s="8">
        <v>2.8</v>
      </c>
      <c r="L7" s="8">
        <v>2.2000000000000002</v>
      </c>
      <c r="M7" s="8">
        <v>7.9</v>
      </c>
      <c r="N7" s="8">
        <v>3.4</v>
      </c>
      <c r="O7" s="8">
        <v>-8.6</v>
      </c>
      <c r="P7" s="8">
        <v>-1.7</v>
      </c>
      <c r="Q7" s="8">
        <v>8.3000000000000007</v>
      </c>
      <c r="R7" s="8">
        <v>-1</v>
      </c>
      <c r="S7" s="8">
        <v>-1.3</v>
      </c>
      <c r="T7" s="8">
        <v>4.5999999999999996</v>
      </c>
      <c r="U7" s="8">
        <v>5.9</v>
      </c>
      <c r="V7" s="8">
        <v>5.3</v>
      </c>
      <c r="W7" s="8">
        <v>1.4</v>
      </c>
      <c r="X7" s="8">
        <v>2.2999999999999998</v>
      </c>
      <c r="Y7" s="8">
        <v>5.4</v>
      </c>
      <c r="Z7" s="8">
        <v>-5.8</v>
      </c>
      <c r="AA7" s="8">
        <v>4.3</v>
      </c>
      <c r="AB7" s="8">
        <v>3.4</v>
      </c>
      <c r="AC7" s="8">
        <v>3.5</v>
      </c>
      <c r="AD7" s="8">
        <v>3.1</v>
      </c>
      <c r="AE7" s="8">
        <v>2.2999999999999998</v>
      </c>
      <c r="AF7" s="8">
        <v>2.4</v>
      </c>
      <c r="AG7" s="8">
        <v>2.2000000000000002</v>
      </c>
      <c r="AH7" s="8">
        <v>1.9</v>
      </c>
      <c r="AI7" s="8">
        <v>2.2999999999999998</v>
      </c>
      <c r="AJ7" s="8">
        <v>2</v>
      </c>
      <c r="AK7" s="8">
        <v>1.8</v>
      </c>
    </row>
    <row r="8" spans="1:37" x14ac:dyDescent="0.3">
      <c r="A8" s="7" t="s">
        <v>478</v>
      </c>
      <c r="B8" s="8">
        <v>-5.3</v>
      </c>
      <c r="C8" s="8">
        <v>5.5</v>
      </c>
      <c r="D8" s="8">
        <v>-0.6</v>
      </c>
      <c r="E8" s="8">
        <v>17</v>
      </c>
      <c r="F8" s="8">
        <v>3.7</v>
      </c>
      <c r="G8" s="8">
        <v>-9</v>
      </c>
      <c r="H8" s="8">
        <v>-0.4</v>
      </c>
      <c r="I8" s="8">
        <v>2.5</v>
      </c>
      <c r="J8" s="8">
        <v>1.5</v>
      </c>
      <c r="K8" s="8">
        <v>4.8</v>
      </c>
      <c r="L8" s="8">
        <v>-7.3</v>
      </c>
      <c r="M8" s="8">
        <v>6.9</v>
      </c>
      <c r="N8" s="8">
        <v>2.2999999999999998</v>
      </c>
      <c r="O8" s="8">
        <v>10.5</v>
      </c>
      <c r="P8" s="8">
        <v>1.1000000000000001</v>
      </c>
      <c r="Q8" s="8">
        <v>6.6</v>
      </c>
      <c r="R8" s="8">
        <v>4.7</v>
      </c>
      <c r="S8" s="8">
        <v>-4.9000000000000004</v>
      </c>
      <c r="T8" s="8">
        <v>12.5</v>
      </c>
      <c r="U8" s="8">
        <v>0.3</v>
      </c>
      <c r="V8" s="8">
        <v>0.4</v>
      </c>
      <c r="W8" s="8">
        <v>1.9</v>
      </c>
      <c r="X8" s="8">
        <v>9.9</v>
      </c>
      <c r="Y8" s="8">
        <v>1.5</v>
      </c>
      <c r="Z8" s="8">
        <v>0.7</v>
      </c>
      <c r="AA8" s="8">
        <v>4.7</v>
      </c>
      <c r="AB8" s="8">
        <v>-1.5</v>
      </c>
      <c r="AC8" s="8">
        <v>5.7</v>
      </c>
      <c r="AD8" s="8">
        <v>11.6</v>
      </c>
      <c r="AE8" s="8">
        <v>0.6</v>
      </c>
      <c r="AF8" s="8">
        <v>2.2000000000000002</v>
      </c>
      <c r="AG8" s="8">
        <v>-2.2999999999999998</v>
      </c>
      <c r="AH8" s="8">
        <v>2.5</v>
      </c>
      <c r="AI8" s="8">
        <v>4.7</v>
      </c>
      <c r="AJ8" s="8">
        <v>5.6</v>
      </c>
      <c r="AK8" s="8">
        <v>-4</v>
      </c>
    </row>
    <row r="9" spans="1:37" x14ac:dyDescent="0.3">
      <c r="A9" s="7" t="s">
        <v>479</v>
      </c>
      <c r="B9" s="8">
        <v>-7.8</v>
      </c>
      <c r="C9" s="8">
        <v>7.4</v>
      </c>
      <c r="D9" s="8">
        <v>-5.3</v>
      </c>
      <c r="E9" s="8">
        <v>1.5</v>
      </c>
      <c r="F9" s="8">
        <v>-2.9</v>
      </c>
      <c r="G9" s="8">
        <v>-3.9</v>
      </c>
      <c r="H9" s="8">
        <v>-5.7</v>
      </c>
      <c r="I9" s="8">
        <v>4.8</v>
      </c>
      <c r="J9" s="8">
        <v>4.2</v>
      </c>
      <c r="K9" s="8">
        <v>15.9</v>
      </c>
      <c r="L9" s="8">
        <v>4.8</v>
      </c>
      <c r="M9" s="8">
        <v>5.6</v>
      </c>
      <c r="N9" s="8">
        <v>-2.2000000000000002</v>
      </c>
      <c r="O9" s="8">
        <v>-8.9</v>
      </c>
      <c r="P9" s="8">
        <v>3.8</v>
      </c>
      <c r="Q9" s="8">
        <v>-2.4</v>
      </c>
      <c r="R9" s="8">
        <v>4</v>
      </c>
      <c r="S9" s="8">
        <v>-3.5</v>
      </c>
      <c r="T9" s="8">
        <v>5.8</v>
      </c>
      <c r="U9" s="8">
        <v>-2.9</v>
      </c>
      <c r="V9" s="8">
        <v>3.1</v>
      </c>
      <c r="W9" s="8">
        <v>0.6</v>
      </c>
      <c r="X9" s="8">
        <v>1.8</v>
      </c>
      <c r="Y9" s="8">
        <v>2.8</v>
      </c>
      <c r="Z9" s="8">
        <v>-5.9</v>
      </c>
      <c r="AA9" s="8">
        <v>4.2</v>
      </c>
      <c r="AB9" s="8">
        <v>1.9</v>
      </c>
      <c r="AC9" s="8">
        <v>0.6</v>
      </c>
      <c r="AD9" s="8">
        <v>-6.9</v>
      </c>
      <c r="AE9" s="8">
        <v>-8.1999999999999993</v>
      </c>
      <c r="AF9" s="8">
        <v>-0.2</v>
      </c>
      <c r="AG9" s="8">
        <v>2.5</v>
      </c>
      <c r="AH9" s="8">
        <v>2.8</v>
      </c>
      <c r="AI9" s="8">
        <v>2.2000000000000002</v>
      </c>
      <c r="AJ9" s="8">
        <v>2</v>
      </c>
      <c r="AK9" s="8">
        <v>1.8</v>
      </c>
    </row>
    <row r="10" spans="1:37" x14ac:dyDescent="0.3">
      <c r="A10" s="3" t="s">
        <v>496</v>
      </c>
      <c r="B10" s="8">
        <v>0</v>
      </c>
      <c r="C10" s="8">
        <v>0.2</v>
      </c>
      <c r="D10" s="8">
        <v>-0.1</v>
      </c>
      <c r="E10" s="8">
        <v>0</v>
      </c>
      <c r="F10" s="8">
        <v>0.5</v>
      </c>
      <c r="G10" s="8">
        <v>-1</v>
      </c>
      <c r="H10" s="8">
        <v>-0.1</v>
      </c>
      <c r="I10" s="8">
        <v>0.1</v>
      </c>
      <c r="J10" s="8">
        <v>0.4</v>
      </c>
      <c r="K10" s="8">
        <v>0.6</v>
      </c>
      <c r="L10" s="8">
        <v>0.5</v>
      </c>
      <c r="M10" s="8">
        <v>0.5</v>
      </c>
      <c r="N10" s="8">
        <v>0.1</v>
      </c>
      <c r="O10" s="8">
        <v>-0.7</v>
      </c>
      <c r="P10" s="8">
        <v>0</v>
      </c>
      <c r="Q10" s="8">
        <v>0.9</v>
      </c>
      <c r="R10" s="8">
        <v>-0.9</v>
      </c>
      <c r="S10" s="8">
        <v>-0.2</v>
      </c>
      <c r="T10" s="8">
        <v>-0.3</v>
      </c>
      <c r="U10" s="8">
        <v>0.2</v>
      </c>
      <c r="V10" s="8">
        <v>0.6</v>
      </c>
      <c r="W10" s="8">
        <v>0</v>
      </c>
      <c r="X10" s="8">
        <v>0.7</v>
      </c>
      <c r="Y10" s="8">
        <v>-1</v>
      </c>
      <c r="Z10" s="8">
        <v>-0.4</v>
      </c>
      <c r="AA10" s="8">
        <v>-0.2</v>
      </c>
      <c r="AB10" s="8">
        <v>1.1000000000000001</v>
      </c>
      <c r="AC10" s="8">
        <v>-0.8</v>
      </c>
      <c r="AD10" s="8">
        <v>-0.6</v>
      </c>
      <c r="AE10" s="8">
        <v>0</v>
      </c>
      <c r="AF10" s="8">
        <v>-0.3</v>
      </c>
      <c r="AG10" s="8">
        <v>0</v>
      </c>
      <c r="AH10" s="8">
        <v>0</v>
      </c>
      <c r="AI10" s="8">
        <v>0</v>
      </c>
      <c r="AJ10" s="8">
        <v>0</v>
      </c>
      <c r="AK10" s="8">
        <v>0</v>
      </c>
    </row>
    <row r="11" spans="1:37" x14ac:dyDescent="0.3">
      <c r="A11" s="3" t="s">
        <v>480</v>
      </c>
      <c r="B11" s="8">
        <v>1.5</v>
      </c>
      <c r="C11" s="8">
        <v>2.8</v>
      </c>
      <c r="D11" s="8">
        <v>2.5</v>
      </c>
      <c r="E11" s="8">
        <v>2.6</v>
      </c>
      <c r="F11" s="8">
        <v>3.7</v>
      </c>
      <c r="G11" s="8">
        <v>0.3</v>
      </c>
      <c r="H11" s="8">
        <v>0</v>
      </c>
      <c r="I11" s="8">
        <v>0.9</v>
      </c>
      <c r="J11" s="8">
        <v>3.5</v>
      </c>
      <c r="K11" s="8">
        <v>2.8</v>
      </c>
      <c r="L11" s="8">
        <v>2</v>
      </c>
      <c r="M11" s="8">
        <v>3.7</v>
      </c>
      <c r="N11" s="8">
        <v>1.9</v>
      </c>
      <c r="O11" s="8">
        <v>-1.3</v>
      </c>
      <c r="P11" s="8">
        <v>2</v>
      </c>
      <c r="Q11" s="8">
        <v>2.6</v>
      </c>
      <c r="R11" s="8">
        <v>0.2</v>
      </c>
      <c r="S11" s="8">
        <v>0.1</v>
      </c>
      <c r="T11" s="8">
        <v>1.8</v>
      </c>
      <c r="U11" s="8">
        <v>1.9</v>
      </c>
      <c r="V11" s="8">
        <v>2.4</v>
      </c>
      <c r="W11" s="8">
        <v>1.3</v>
      </c>
      <c r="X11" s="8">
        <v>2.5</v>
      </c>
      <c r="Y11" s="8">
        <v>1.2</v>
      </c>
      <c r="Z11" s="8">
        <v>-5.4</v>
      </c>
      <c r="AA11" s="8">
        <v>4.7</v>
      </c>
      <c r="AB11" s="8">
        <v>4.4000000000000004</v>
      </c>
      <c r="AC11" s="8">
        <v>1.1000000000000001</v>
      </c>
      <c r="AD11" s="8">
        <v>1.4</v>
      </c>
      <c r="AE11" s="8">
        <v>1.3</v>
      </c>
      <c r="AF11" s="8">
        <v>0.9</v>
      </c>
      <c r="AG11" s="8">
        <v>1.1000000000000001</v>
      </c>
      <c r="AH11" s="8">
        <v>1.2</v>
      </c>
      <c r="AI11" s="8">
        <v>1.5</v>
      </c>
      <c r="AJ11" s="8">
        <v>1.4</v>
      </c>
      <c r="AK11" s="8">
        <v>1.2</v>
      </c>
    </row>
    <row r="12" spans="1:37" x14ac:dyDescent="0.3">
      <c r="A12" s="3" t="s">
        <v>481</v>
      </c>
      <c r="B12" s="8">
        <v>5</v>
      </c>
      <c r="C12" s="8">
        <v>9.5</v>
      </c>
      <c r="D12" s="8">
        <v>4.0999999999999996</v>
      </c>
      <c r="E12" s="8">
        <v>4.8</v>
      </c>
      <c r="F12" s="8">
        <v>12.4</v>
      </c>
      <c r="G12" s="8">
        <v>0.4</v>
      </c>
      <c r="H12" s="8">
        <v>3.4</v>
      </c>
      <c r="I12" s="8">
        <v>1.6</v>
      </c>
      <c r="J12" s="8">
        <v>6.2</v>
      </c>
      <c r="K12" s="8">
        <v>5.5</v>
      </c>
      <c r="L12" s="8">
        <v>5.7</v>
      </c>
      <c r="M12" s="8">
        <v>5.4</v>
      </c>
      <c r="N12" s="8">
        <v>1.8</v>
      </c>
      <c r="O12" s="8">
        <v>-11.3</v>
      </c>
      <c r="P12" s="8">
        <v>10.4</v>
      </c>
      <c r="Q12" s="8">
        <v>4.8</v>
      </c>
      <c r="R12" s="8">
        <v>-0.7</v>
      </c>
      <c r="S12" s="8">
        <v>0.3</v>
      </c>
      <c r="T12" s="8">
        <v>5.3</v>
      </c>
      <c r="U12" s="8">
        <v>3.7</v>
      </c>
      <c r="V12" s="8">
        <v>6.1</v>
      </c>
      <c r="W12" s="8">
        <v>5.5</v>
      </c>
      <c r="X12" s="8">
        <v>1.5</v>
      </c>
      <c r="Y12" s="8">
        <v>2.9</v>
      </c>
      <c r="Z12" s="8">
        <v>-6</v>
      </c>
      <c r="AA12" s="8">
        <v>14.7</v>
      </c>
      <c r="AB12" s="8">
        <v>3.1</v>
      </c>
      <c r="AC12" s="8">
        <v>-7.2</v>
      </c>
      <c r="AD12" s="8">
        <v>-1.7</v>
      </c>
      <c r="AE12" s="8">
        <v>-0.3</v>
      </c>
      <c r="AF12" s="8">
        <v>1.8</v>
      </c>
      <c r="AG12" s="8">
        <v>1.6</v>
      </c>
      <c r="AH12" s="8">
        <v>2.1</v>
      </c>
      <c r="AI12" s="8">
        <v>2.2999999999999998</v>
      </c>
      <c r="AJ12" s="8">
        <v>2.2999999999999998</v>
      </c>
      <c r="AK12" s="8">
        <v>2.2000000000000002</v>
      </c>
    </row>
    <row r="13" spans="1:37" x14ac:dyDescent="0.3">
      <c r="A13" s="3" t="s">
        <v>482</v>
      </c>
      <c r="B13" s="8">
        <v>5.6</v>
      </c>
      <c r="C13" s="8">
        <v>8.1999999999999993</v>
      </c>
      <c r="D13" s="8">
        <v>5.0999999999999996</v>
      </c>
      <c r="E13" s="8">
        <v>3.4</v>
      </c>
      <c r="F13" s="8">
        <v>13</v>
      </c>
      <c r="G13" s="8">
        <v>-0.8</v>
      </c>
      <c r="H13" s="8">
        <v>1.1000000000000001</v>
      </c>
      <c r="I13" s="8">
        <v>1.5</v>
      </c>
      <c r="J13" s="8">
        <v>6.3</v>
      </c>
      <c r="K13" s="8">
        <v>6.4</v>
      </c>
      <c r="L13" s="8">
        <v>5.0999999999999996</v>
      </c>
      <c r="M13" s="8">
        <v>5.6</v>
      </c>
      <c r="N13" s="8">
        <v>3.8</v>
      </c>
      <c r="O13" s="8">
        <v>-10.6</v>
      </c>
      <c r="P13" s="8">
        <v>9.6</v>
      </c>
      <c r="Q13" s="8">
        <v>5.7</v>
      </c>
      <c r="R13" s="8">
        <v>-0.6</v>
      </c>
      <c r="S13" s="8">
        <v>0</v>
      </c>
      <c r="T13" s="8">
        <v>5.4</v>
      </c>
      <c r="U13" s="8">
        <v>4.2</v>
      </c>
      <c r="V13" s="8">
        <v>7.8</v>
      </c>
      <c r="W13" s="8">
        <v>5.4</v>
      </c>
      <c r="X13" s="8">
        <v>2.2999999999999998</v>
      </c>
      <c r="Y13" s="8">
        <v>1.5</v>
      </c>
      <c r="Z13" s="8">
        <v>-6.7</v>
      </c>
      <c r="AA13" s="8">
        <v>12.8</v>
      </c>
      <c r="AB13" s="8">
        <v>3.5</v>
      </c>
      <c r="AC13" s="8">
        <v>-7.6</v>
      </c>
      <c r="AD13" s="8">
        <v>-1.3</v>
      </c>
      <c r="AE13" s="8">
        <v>0.1</v>
      </c>
      <c r="AF13" s="8">
        <v>2</v>
      </c>
      <c r="AG13" s="8">
        <v>1.8</v>
      </c>
      <c r="AH13" s="8">
        <v>2.2000000000000002</v>
      </c>
      <c r="AI13" s="8">
        <v>2.4</v>
      </c>
      <c r="AJ13" s="8">
        <v>2.4</v>
      </c>
      <c r="AK13" s="8">
        <v>2.2000000000000002</v>
      </c>
    </row>
    <row r="14" spans="1:37" x14ac:dyDescent="0.3">
      <c r="A14" s="3" t="s">
        <v>497</v>
      </c>
      <c r="B14" s="8">
        <v>-0.1</v>
      </c>
      <c r="C14" s="8">
        <v>1</v>
      </c>
      <c r="D14" s="8">
        <v>-0.4</v>
      </c>
      <c r="E14" s="8">
        <v>1.1000000000000001</v>
      </c>
      <c r="F14" s="8">
        <v>0.1</v>
      </c>
      <c r="G14" s="8">
        <v>0.8</v>
      </c>
      <c r="H14" s="8">
        <v>1.8</v>
      </c>
      <c r="I14" s="8">
        <v>0.2</v>
      </c>
      <c r="J14" s="8">
        <v>0.3</v>
      </c>
      <c r="K14" s="8">
        <v>-0.3</v>
      </c>
      <c r="L14" s="8">
        <v>0.6</v>
      </c>
      <c r="M14" s="8">
        <v>0.1</v>
      </c>
      <c r="N14" s="8">
        <v>-1.4</v>
      </c>
      <c r="O14" s="8">
        <v>-0.6</v>
      </c>
      <c r="P14" s="8">
        <v>0.8</v>
      </c>
      <c r="Q14" s="8">
        <v>-0.6</v>
      </c>
      <c r="R14" s="8">
        <v>0</v>
      </c>
      <c r="S14" s="8">
        <v>0.3</v>
      </c>
      <c r="T14" s="8">
        <v>-0.1</v>
      </c>
      <c r="U14" s="8">
        <v>-0.4</v>
      </c>
      <c r="V14" s="8">
        <v>-1.2</v>
      </c>
      <c r="W14" s="8">
        <v>0.1</v>
      </c>
      <c r="X14" s="8">
        <v>-0.7</v>
      </c>
      <c r="Y14" s="8">
        <v>1.2</v>
      </c>
      <c r="Z14" s="8">
        <v>0.6</v>
      </c>
      <c r="AA14" s="8">
        <v>1.6</v>
      </c>
      <c r="AB14" s="8">
        <v>-0.3</v>
      </c>
      <c r="AC14" s="8">
        <v>0.6</v>
      </c>
      <c r="AD14" s="8">
        <v>-0.3</v>
      </c>
      <c r="AE14" s="8">
        <v>-0.3</v>
      </c>
      <c r="AF14" s="8">
        <v>-0.2</v>
      </c>
      <c r="AG14" s="8">
        <v>-0.2</v>
      </c>
      <c r="AH14" s="8">
        <v>-0.1</v>
      </c>
      <c r="AI14" s="8">
        <v>-0.1</v>
      </c>
      <c r="AJ14" s="8">
        <v>-0.1</v>
      </c>
      <c r="AK14" s="8">
        <v>0</v>
      </c>
    </row>
    <row r="15" spans="1:37" ht="15" thickBot="1" x14ac:dyDescent="0.35">
      <c r="A15" s="11" t="s">
        <v>484</v>
      </c>
      <c r="B15" s="8">
        <v>1.3</v>
      </c>
      <c r="C15" s="8">
        <v>3.8</v>
      </c>
      <c r="D15" s="8">
        <v>2</v>
      </c>
      <c r="E15" s="8">
        <v>3.5</v>
      </c>
      <c r="F15" s="8">
        <v>3.7</v>
      </c>
      <c r="G15" s="8">
        <v>1.1000000000000001</v>
      </c>
      <c r="H15" s="8">
        <v>1.7</v>
      </c>
      <c r="I15" s="8">
        <v>1</v>
      </c>
      <c r="J15" s="8">
        <v>3.6</v>
      </c>
      <c r="K15" s="8">
        <v>2.2999999999999998</v>
      </c>
      <c r="L15" s="8">
        <v>2.6</v>
      </c>
      <c r="M15" s="8">
        <v>3.7</v>
      </c>
      <c r="N15" s="8">
        <v>0.4</v>
      </c>
      <c r="O15" s="8">
        <v>-1.9</v>
      </c>
      <c r="P15" s="8">
        <v>2.7</v>
      </c>
      <c r="Q15" s="8">
        <v>1.9</v>
      </c>
      <c r="R15" s="8">
        <v>0.2</v>
      </c>
      <c r="S15" s="8">
        <v>0.3</v>
      </c>
      <c r="T15" s="8">
        <v>1.8</v>
      </c>
      <c r="U15" s="8">
        <v>1.5</v>
      </c>
      <c r="V15" s="8">
        <v>1.2</v>
      </c>
      <c r="W15" s="8">
        <v>1.5</v>
      </c>
      <c r="X15" s="8">
        <v>1.9</v>
      </c>
      <c r="Y15" s="8">
        <v>2.4</v>
      </c>
      <c r="Z15" s="8">
        <v>-4.8</v>
      </c>
      <c r="AA15" s="8">
        <v>6.3</v>
      </c>
      <c r="AB15" s="8">
        <v>4</v>
      </c>
      <c r="AC15" s="8">
        <v>1.7</v>
      </c>
      <c r="AD15" s="8">
        <v>1.1000000000000001</v>
      </c>
      <c r="AE15" s="8">
        <v>1</v>
      </c>
      <c r="AF15" s="8">
        <v>0.7</v>
      </c>
      <c r="AG15" s="8">
        <v>1</v>
      </c>
      <c r="AH15" s="8">
        <v>1.2</v>
      </c>
      <c r="AI15" s="8">
        <v>1.4</v>
      </c>
      <c r="AJ15" s="8">
        <v>1.3</v>
      </c>
      <c r="AK15" s="8">
        <v>1.2</v>
      </c>
    </row>
    <row r="16" spans="1:37" ht="15" customHeight="1" x14ac:dyDescent="0.3">
      <c r="A16" s="30" t="s">
        <v>493</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row>
    <row r="17" spans="1:37" ht="15" customHeight="1" x14ac:dyDescent="0.3">
      <c r="A17" s="32" t="s">
        <v>498</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row>
    <row r="18" spans="1:37" x14ac:dyDescent="0.3">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sheetData>
  <mergeCells count="4">
    <mergeCell ref="A1:AK1"/>
    <mergeCell ref="A2:AK2"/>
    <mergeCell ref="A16:AK16"/>
    <mergeCell ref="A17:AK1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7036-282C-488C-92C2-2DF5FA66FF24}">
  <dimension ref="A1:AK25"/>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5" style="1" bestFit="1" customWidth="1"/>
    <col min="38" max="16384" width="9.109375" style="1"/>
  </cols>
  <sheetData>
    <row r="1" spans="1:37" ht="15" customHeight="1" x14ac:dyDescent="0.3">
      <c r="A1" s="28" t="s">
        <v>474</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5" t="s">
        <v>475</v>
      </c>
      <c r="B4" s="6">
        <v>0.6</v>
      </c>
      <c r="C4" s="6">
        <v>1.4</v>
      </c>
      <c r="D4" s="6">
        <v>1.1000000000000001</v>
      </c>
      <c r="E4" s="6">
        <v>0.4</v>
      </c>
      <c r="F4" s="6">
        <v>3.4</v>
      </c>
      <c r="G4" s="6">
        <v>2.2999999999999998</v>
      </c>
      <c r="H4" s="6">
        <v>1</v>
      </c>
      <c r="I4" s="6">
        <v>1.5</v>
      </c>
      <c r="J4" s="6">
        <v>2.5</v>
      </c>
      <c r="K4" s="6">
        <v>2.9</v>
      </c>
      <c r="L4" s="6">
        <v>2.8</v>
      </c>
      <c r="M4" s="6">
        <v>2.7</v>
      </c>
      <c r="N4" s="6">
        <v>3.2</v>
      </c>
      <c r="O4" s="6">
        <v>-0.6</v>
      </c>
      <c r="P4" s="6">
        <v>1.8</v>
      </c>
      <c r="Q4" s="6">
        <v>2.7</v>
      </c>
      <c r="R4" s="6">
        <v>2.2999999999999998</v>
      </c>
      <c r="S4" s="6">
        <v>1</v>
      </c>
      <c r="T4" s="6">
        <v>0.8</v>
      </c>
      <c r="U4" s="6">
        <v>0.8</v>
      </c>
      <c r="V4" s="6">
        <v>1.5</v>
      </c>
      <c r="W4" s="6">
        <v>2</v>
      </c>
      <c r="X4" s="6">
        <v>2.1</v>
      </c>
      <c r="Y4" s="6">
        <v>1.5</v>
      </c>
      <c r="Z4" s="6">
        <v>0.9</v>
      </c>
      <c r="AA4" s="6">
        <v>2.7</v>
      </c>
      <c r="AB4" s="6">
        <v>10.6</v>
      </c>
      <c r="AC4" s="6">
        <v>6.3</v>
      </c>
      <c r="AD4" s="6">
        <v>1.7</v>
      </c>
      <c r="AE4" s="6">
        <v>2.2999999999999998</v>
      </c>
      <c r="AF4" s="6">
        <v>3.4</v>
      </c>
      <c r="AG4" s="6">
        <v>2.9</v>
      </c>
      <c r="AH4" s="6">
        <v>2.2999999999999998</v>
      </c>
      <c r="AI4" s="6">
        <v>1.8</v>
      </c>
      <c r="AJ4" s="6">
        <v>1.7</v>
      </c>
      <c r="AK4" s="6">
        <v>1.7</v>
      </c>
    </row>
    <row r="5" spans="1:37" x14ac:dyDescent="0.3">
      <c r="A5" s="3" t="s">
        <v>476</v>
      </c>
      <c r="B5" s="8">
        <v>2.2999999999999998</v>
      </c>
      <c r="C5" s="8">
        <v>0.6</v>
      </c>
      <c r="D5" s="8">
        <v>1.8</v>
      </c>
      <c r="E5" s="8">
        <v>2.6</v>
      </c>
      <c r="F5" s="8">
        <v>2.2000000000000002</v>
      </c>
      <c r="G5" s="8">
        <v>2.2999999999999998</v>
      </c>
      <c r="H5" s="8">
        <v>4</v>
      </c>
      <c r="I5" s="8">
        <v>2.6</v>
      </c>
      <c r="J5" s="8">
        <v>1.8</v>
      </c>
      <c r="K5" s="8">
        <v>3.6</v>
      </c>
      <c r="L5" s="8">
        <v>3.4</v>
      </c>
      <c r="M5" s="8">
        <v>2.2000000000000002</v>
      </c>
      <c r="N5" s="8">
        <v>4.0999999999999996</v>
      </c>
      <c r="O5" s="8">
        <v>3.5</v>
      </c>
      <c r="P5" s="8">
        <v>2.5</v>
      </c>
      <c r="Q5" s="8">
        <v>4.4000000000000004</v>
      </c>
      <c r="R5" s="8">
        <v>2.6</v>
      </c>
      <c r="S5" s="8">
        <v>1.6</v>
      </c>
      <c r="T5" s="8">
        <v>0.9</v>
      </c>
      <c r="U5" s="8">
        <v>0.4</v>
      </c>
      <c r="V5" s="8">
        <v>1.7</v>
      </c>
      <c r="W5" s="8">
        <v>2.2000000000000002</v>
      </c>
      <c r="X5" s="8">
        <v>2.2999999999999998</v>
      </c>
      <c r="Y5" s="8">
        <v>1.4</v>
      </c>
      <c r="Z5" s="8">
        <v>2.2999999999999998</v>
      </c>
      <c r="AA5" s="8">
        <v>2.7</v>
      </c>
      <c r="AB5" s="8">
        <v>6.1</v>
      </c>
      <c r="AC5" s="8">
        <v>4.2</v>
      </c>
      <c r="AD5" s="8">
        <v>3.1</v>
      </c>
      <c r="AE5" s="8">
        <v>2.4</v>
      </c>
      <c r="AF5" s="8">
        <v>2.8</v>
      </c>
      <c r="AG5" s="8">
        <v>3.2</v>
      </c>
      <c r="AH5" s="8">
        <v>2.2999999999999998</v>
      </c>
      <c r="AI5" s="8">
        <v>1.8</v>
      </c>
      <c r="AJ5" s="8">
        <v>1.9</v>
      </c>
      <c r="AK5" s="8">
        <v>1.7</v>
      </c>
    </row>
    <row r="6" spans="1:37" x14ac:dyDescent="0.3">
      <c r="A6" s="3" t="s">
        <v>470</v>
      </c>
      <c r="B6" s="8">
        <v>1</v>
      </c>
      <c r="C6" s="8">
        <v>1.1000000000000001</v>
      </c>
      <c r="D6" s="8">
        <v>1.2</v>
      </c>
      <c r="E6" s="8">
        <v>1.8</v>
      </c>
      <c r="F6" s="8">
        <v>2.2999999999999998</v>
      </c>
      <c r="G6" s="8">
        <v>0.9</v>
      </c>
      <c r="H6" s="8">
        <v>-0.3</v>
      </c>
      <c r="I6" s="8">
        <v>2</v>
      </c>
      <c r="J6" s="8">
        <v>1.4</v>
      </c>
      <c r="K6" s="8">
        <v>2</v>
      </c>
      <c r="L6" s="8">
        <v>3.7</v>
      </c>
      <c r="M6" s="8">
        <v>2.8</v>
      </c>
      <c r="N6" s="8">
        <v>4</v>
      </c>
      <c r="O6" s="8">
        <v>-0.5</v>
      </c>
      <c r="P6" s="8">
        <v>1.7</v>
      </c>
      <c r="Q6" s="8">
        <v>2.7</v>
      </c>
      <c r="R6" s="8">
        <v>1.8</v>
      </c>
      <c r="S6" s="8">
        <v>1</v>
      </c>
      <c r="T6" s="8">
        <v>0</v>
      </c>
      <c r="U6" s="8">
        <v>0.9</v>
      </c>
      <c r="V6" s="8">
        <v>0.4</v>
      </c>
      <c r="W6" s="8">
        <v>2.2000000000000002</v>
      </c>
      <c r="X6" s="8">
        <v>1.8</v>
      </c>
      <c r="Y6" s="8">
        <v>1.8</v>
      </c>
      <c r="Z6" s="8">
        <v>1.1000000000000001</v>
      </c>
      <c r="AA6" s="8">
        <v>4.0999999999999996</v>
      </c>
      <c r="AB6" s="8">
        <v>8.3000000000000007</v>
      </c>
      <c r="AC6" s="8">
        <v>5.0999999999999996</v>
      </c>
      <c r="AD6" s="8">
        <v>1.3</v>
      </c>
      <c r="AE6" s="8">
        <v>1.8</v>
      </c>
      <c r="AF6" s="8">
        <v>2.2999999999999998</v>
      </c>
      <c r="AG6" s="8">
        <v>2.4</v>
      </c>
      <c r="AH6" s="8">
        <v>2.2999999999999998</v>
      </c>
      <c r="AI6" s="8">
        <v>2.2000000000000002</v>
      </c>
      <c r="AJ6" s="8">
        <v>2.2000000000000002</v>
      </c>
      <c r="AK6" s="8">
        <v>2.1</v>
      </c>
    </row>
    <row r="7" spans="1:37" x14ac:dyDescent="0.3">
      <c r="A7" s="7" t="s">
        <v>477</v>
      </c>
      <c r="B7" s="8">
        <v>1.2</v>
      </c>
      <c r="C7" s="8">
        <v>1.1000000000000001</v>
      </c>
      <c r="D7" s="8">
        <v>1.2</v>
      </c>
      <c r="E7" s="8">
        <v>1.9</v>
      </c>
      <c r="F7" s="8">
        <v>2</v>
      </c>
      <c r="G7" s="8">
        <v>0.5</v>
      </c>
      <c r="H7" s="8">
        <v>-1.1000000000000001</v>
      </c>
      <c r="I7" s="8">
        <v>1.9</v>
      </c>
      <c r="J7" s="8">
        <v>0.4</v>
      </c>
      <c r="K7" s="8">
        <v>1.1000000000000001</v>
      </c>
      <c r="L7" s="8">
        <v>2.9</v>
      </c>
      <c r="M7" s="8">
        <v>2.2000000000000002</v>
      </c>
      <c r="N7" s="8">
        <v>2.8</v>
      </c>
      <c r="O7" s="8">
        <v>-1</v>
      </c>
      <c r="P7" s="8">
        <v>1.7</v>
      </c>
      <c r="Q7" s="8">
        <v>2.4</v>
      </c>
      <c r="R7" s="8">
        <v>1.9</v>
      </c>
      <c r="S7" s="8">
        <v>0.6</v>
      </c>
      <c r="T7" s="8">
        <v>0.1</v>
      </c>
      <c r="U7" s="8">
        <v>1</v>
      </c>
      <c r="V7" s="8">
        <v>0.3</v>
      </c>
      <c r="W7" s="8">
        <v>1.7</v>
      </c>
      <c r="X7" s="8">
        <v>1.7</v>
      </c>
      <c r="Y7" s="8">
        <v>1.4</v>
      </c>
      <c r="Z7" s="8">
        <v>0.6</v>
      </c>
      <c r="AA7" s="8">
        <v>3.5</v>
      </c>
      <c r="AB7" s="8">
        <v>9</v>
      </c>
      <c r="AC7" s="8">
        <v>5.3</v>
      </c>
      <c r="AD7" s="8">
        <v>1.3</v>
      </c>
      <c r="AE7" s="8">
        <v>1.8</v>
      </c>
      <c r="AF7" s="8">
        <v>2.2999999999999998</v>
      </c>
      <c r="AG7" s="8">
        <v>2.4</v>
      </c>
      <c r="AH7" s="8">
        <v>2.2999999999999998</v>
      </c>
      <c r="AI7" s="8">
        <v>2.2000000000000002</v>
      </c>
      <c r="AJ7" s="8">
        <v>2.1</v>
      </c>
      <c r="AK7" s="8">
        <v>2.1</v>
      </c>
    </row>
    <row r="8" spans="1:37" x14ac:dyDescent="0.3">
      <c r="A8" s="7" t="s">
        <v>478</v>
      </c>
      <c r="B8" s="8">
        <v>0.7</v>
      </c>
      <c r="C8" s="8">
        <v>0.7</v>
      </c>
      <c r="D8" s="8">
        <v>1.8</v>
      </c>
      <c r="E8" s="8">
        <v>1.7</v>
      </c>
      <c r="F8" s="8">
        <v>3.3</v>
      </c>
      <c r="G8" s="8">
        <v>1</v>
      </c>
      <c r="H8" s="8">
        <v>1</v>
      </c>
      <c r="I8" s="8">
        <v>1.8</v>
      </c>
      <c r="J8" s="8">
        <v>-0.1</v>
      </c>
      <c r="K8" s="8">
        <v>2.2000000000000002</v>
      </c>
      <c r="L8" s="8">
        <v>4.5999999999999996</v>
      </c>
      <c r="M8" s="8">
        <v>2.6</v>
      </c>
      <c r="N8" s="8">
        <v>2.9</v>
      </c>
      <c r="O8" s="8">
        <v>-0.9</v>
      </c>
      <c r="P8" s="8">
        <v>2.6</v>
      </c>
      <c r="Q8" s="8">
        <v>3.4</v>
      </c>
      <c r="R8" s="8">
        <v>2.1</v>
      </c>
      <c r="S8" s="8">
        <v>0.5</v>
      </c>
      <c r="T8" s="8">
        <v>-0.1</v>
      </c>
      <c r="U8" s="8">
        <v>0.2</v>
      </c>
      <c r="V8" s="8">
        <v>0.5</v>
      </c>
      <c r="W8" s="8">
        <v>2.2000000000000002</v>
      </c>
      <c r="X8" s="8">
        <v>2.4</v>
      </c>
      <c r="Y8" s="8">
        <v>1.6</v>
      </c>
      <c r="Z8" s="8">
        <v>0.3</v>
      </c>
      <c r="AA8" s="8">
        <v>5</v>
      </c>
      <c r="AB8" s="8">
        <v>11.1</v>
      </c>
      <c r="AC8" s="8">
        <v>6.4</v>
      </c>
      <c r="AD8" s="8">
        <v>0.1</v>
      </c>
      <c r="AE8" s="8">
        <v>2</v>
      </c>
      <c r="AF8" s="8">
        <v>2.2999999999999998</v>
      </c>
      <c r="AG8" s="8">
        <v>2.2999999999999998</v>
      </c>
      <c r="AH8" s="8">
        <v>2.1</v>
      </c>
      <c r="AI8" s="8">
        <v>2</v>
      </c>
      <c r="AJ8" s="8">
        <v>2.1</v>
      </c>
      <c r="AK8" s="8">
        <v>2.1</v>
      </c>
    </row>
    <row r="9" spans="1:37" x14ac:dyDescent="0.3">
      <c r="A9" s="7" t="s">
        <v>479</v>
      </c>
      <c r="B9" s="8">
        <v>0.7</v>
      </c>
      <c r="C9" s="8">
        <v>1.2</v>
      </c>
      <c r="D9" s="8">
        <v>1</v>
      </c>
      <c r="E9" s="8">
        <v>1.8</v>
      </c>
      <c r="F9" s="8">
        <v>2.9</v>
      </c>
      <c r="G9" s="8">
        <v>2.6</v>
      </c>
      <c r="H9" s="8">
        <v>2</v>
      </c>
      <c r="I9" s="8">
        <v>2.4</v>
      </c>
      <c r="J9" s="8">
        <v>5.5</v>
      </c>
      <c r="K9" s="8">
        <v>4.4000000000000004</v>
      </c>
      <c r="L9" s="8">
        <v>5.6</v>
      </c>
      <c r="M9" s="8">
        <v>4.4000000000000004</v>
      </c>
      <c r="N9" s="8">
        <v>7.9</v>
      </c>
      <c r="O9" s="8">
        <v>1</v>
      </c>
      <c r="P9" s="8">
        <v>1.5</v>
      </c>
      <c r="Q9" s="8">
        <v>3.3</v>
      </c>
      <c r="R9" s="8">
        <v>1.4</v>
      </c>
      <c r="S9" s="8">
        <v>2.2999999999999998</v>
      </c>
      <c r="T9" s="8">
        <v>-0.1</v>
      </c>
      <c r="U9" s="8">
        <v>0.6</v>
      </c>
      <c r="V9" s="8">
        <v>0.9</v>
      </c>
      <c r="W9" s="8">
        <v>3.4</v>
      </c>
      <c r="X9" s="8">
        <v>1.7</v>
      </c>
      <c r="Y9" s="8">
        <v>3.3</v>
      </c>
      <c r="Z9" s="8">
        <v>2.9</v>
      </c>
      <c r="AA9" s="8">
        <v>5.3</v>
      </c>
      <c r="AB9" s="8">
        <v>5.0999999999999996</v>
      </c>
      <c r="AC9" s="8">
        <v>3.8</v>
      </c>
      <c r="AD9" s="8">
        <v>2</v>
      </c>
      <c r="AE9" s="8">
        <v>1.8</v>
      </c>
      <c r="AF9" s="8">
        <v>2.4</v>
      </c>
      <c r="AG9" s="8">
        <v>2.4</v>
      </c>
      <c r="AH9" s="8">
        <v>2.2999999999999998</v>
      </c>
      <c r="AI9" s="8">
        <v>2.2999999999999998</v>
      </c>
      <c r="AJ9" s="8">
        <v>2.5</v>
      </c>
      <c r="AK9" s="8">
        <v>2.5</v>
      </c>
    </row>
    <row r="10" spans="1:37" x14ac:dyDescent="0.3">
      <c r="A10" s="3" t="s">
        <v>480</v>
      </c>
      <c r="B10" s="8">
        <v>1</v>
      </c>
      <c r="C10" s="8">
        <v>0.9</v>
      </c>
      <c r="D10" s="8">
        <v>1.6</v>
      </c>
      <c r="E10" s="8">
        <v>1.2</v>
      </c>
      <c r="F10" s="8">
        <v>3.1</v>
      </c>
      <c r="G10" s="8">
        <v>2</v>
      </c>
      <c r="H10" s="8">
        <v>1.4</v>
      </c>
      <c r="I10" s="8">
        <v>2.2000000000000002</v>
      </c>
      <c r="J10" s="8">
        <v>2.5</v>
      </c>
      <c r="K10" s="8">
        <v>2.5</v>
      </c>
      <c r="L10" s="8">
        <v>2.8</v>
      </c>
      <c r="M10" s="8">
        <v>1.8</v>
      </c>
      <c r="N10" s="8">
        <v>4</v>
      </c>
      <c r="O10" s="8">
        <v>-1.3</v>
      </c>
      <c r="P10" s="8">
        <v>3</v>
      </c>
      <c r="Q10" s="8">
        <v>3.4</v>
      </c>
      <c r="R10" s="8">
        <v>2.2000000000000002</v>
      </c>
      <c r="S10" s="8">
        <v>1.1000000000000001</v>
      </c>
      <c r="T10" s="8">
        <v>0.8</v>
      </c>
      <c r="U10" s="8">
        <v>0.2</v>
      </c>
      <c r="V10" s="8">
        <v>1.2</v>
      </c>
      <c r="W10" s="8">
        <v>2.2999999999999998</v>
      </c>
      <c r="X10" s="8">
        <v>2.4</v>
      </c>
      <c r="Y10" s="8">
        <v>1.3</v>
      </c>
      <c r="Z10" s="8">
        <v>1.3</v>
      </c>
      <c r="AA10" s="8">
        <v>3.8</v>
      </c>
      <c r="AB10" s="8">
        <v>10.8</v>
      </c>
      <c r="AC10" s="8">
        <v>4.0999999999999996</v>
      </c>
      <c r="AD10" s="8">
        <v>1.6</v>
      </c>
      <c r="AE10" s="8">
        <v>3.8</v>
      </c>
      <c r="AF10" s="8">
        <v>3</v>
      </c>
      <c r="AG10" s="8">
        <v>2.2000000000000002</v>
      </c>
      <c r="AH10" s="8">
        <v>2.2999999999999998</v>
      </c>
      <c r="AI10" s="8">
        <v>1.9</v>
      </c>
      <c r="AJ10" s="8">
        <v>1.9</v>
      </c>
      <c r="AK10" s="8">
        <v>1.9</v>
      </c>
    </row>
    <row r="11" spans="1:37" x14ac:dyDescent="0.3">
      <c r="A11" s="3" t="s">
        <v>481</v>
      </c>
      <c r="B11" s="8">
        <v>-1.3</v>
      </c>
      <c r="C11" s="8">
        <v>1.1000000000000001</v>
      </c>
      <c r="D11" s="8">
        <v>-1.3</v>
      </c>
      <c r="E11" s="8">
        <v>-0.1</v>
      </c>
      <c r="F11" s="8">
        <v>5.8</v>
      </c>
      <c r="G11" s="8">
        <v>1.4</v>
      </c>
      <c r="H11" s="8">
        <v>-1.2</v>
      </c>
      <c r="I11" s="8">
        <v>-1.3</v>
      </c>
      <c r="J11" s="8">
        <v>2.1</v>
      </c>
      <c r="K11" s="8">
        <v>3.7</v>
      </c>
      <c r="L11" s="8">
        <v>2.6</v>
      </c>
      <c r="M11" s="8">
        <v>2.2000000000000002</v>
      </c>
      <c r="N11" s="8">
        <v>3.9</v>
      </c>
      <c r="O11" s="8">
        <v>-5.5</v>
      </c>
      <c r="P11" s="8">
        <v>4.5999999999999996</v>
      </c>
      <c r="Q11" s="8">
        <v>5.3</v>
      </c>
      <c r="R11" s="8">
        <v>2.8</v>
      </c>
      <c r="S11" s="8">
        <v>0</v>
      </c>
      <c r="T11" s="8">
        <v>-2</v>
      </c>
      <c r="U11" s="8">
        <v>-2.9</v>
      </c>
      <c r="V11" s="8">
        <v>-0.7</v>
      </c>
      <c r="W11" s="8">
        <v>2.8</v>
      </c>
      <c r="X11" s="8">
        <v>2.1</v>
      </c>
      <c r="Y11" s="8">
        <v>0.7</v>
      </c>
      <c r="Z11" s="8">
        <v>-1.8</v>
      </c>
      <c r="AA11" s="8">
        <v>7.7</v>
      </c>
      <c r="AB11" s="8">
        <v>13.4</v>
      </c>
      <c r="AC11" s="8">
        <v>1.3</v>
      </c>
      <c r="AD11" s="8">
        <v>0.4</v>
      </c>
      <c r="AE11" s="8">
        <v>-1.2</v>
      </c>
      <c r="AF11" s="8">
        <v>1.3</v>
      </c>
      <c r="AG11" s="8">
        <v>0.9</v>
      </c>
      <c r="AH11" s="8">
        <v>1.6</v>
      </c>
      <c r="AI11" s="8">
        <v>1.6</v>
      </c>
      <c r="AJ11" s="8">
        <v>1.6</v>
      </c>
      <c r="AK11" s="8">
        <v>1.7</v>
      </c>
    </row>
    <row r="12" spans="1:37" x14ac:dyDescent="0.3">
      <c r="A12" s="3" t="s">
        <v>482</v>
      </c>
      <c r="B12" s="8">
        <v>-0.5</v>
      </c>
      <c r="C12" s="8">
        <v>1.5</v>
      </c>
      <c r="D12" s="8">
        <v>-1.8</v>
      </c>
      <c r="E12" s="8">
        <v>0.9</v>
      </c>
      <c r="F12" s="8">
        <v>7.6</v>
      </c>
      <c r="G12" s="8">
        <v>1.3</v>
      </c>
      <c r="H12" s="8">
        <v>-1.8</v>
      </c>
      <c r="I12" s="8">
        <v>-1</v>
      </c>
      <c r="J12" s="8">
        <v>2.9</v>
      </c>
      <c r="K12" s="8">
        <v>4.4000000000000004</v>
      </c>
      <c r="L12" s="8">
        <v>3.3</v>
      </c>
      <c r="M12" s="8">
        <v>2</v>
      </c>
      <c r="N12" s="8">
        <v>6.6</v>
      </c>
      <c r="O12" s="8">
        <v>-8.1999999999999993</v>
      </c>
      <c r="P12" s="8">
        <v>6.4</v>
      </c>
      <c r="Q12" s="8">
        <v>6.8</v>
      </c>
      <c r="R12" s="8">
        <v>2.9</v>
      </c>
      <c r="S12" s="8">
        <v>-0.4</v>
      </c>
      <c r="T12" s="8">
        <v>-2</v>
      </c>
      <c r="U12" s="8">
        <v>-4</v>
      </c>
      <c r="V12" s="8">
        <v>-1.5</v>
      </c>
      <c r="W12" s="8">
        <v>3.2</v>
      </c>
      <c r="X12" s="8">
        <v>2.9</v>
      </c>
      <c r="Y12" s="8">
        <v>0</v>
      </c>
      <c r="Z12" s="8">
        <v>-2.2999999999999998</v>
      </c>
      <c r="AA12" s="8">
        <v>9.1999999999999993</v>
      </c>
      <c r="AB12" s="8">
        <v>18.2</v>
      </c>
      <c r="AC12" s="8">
        <v>-0.2</v>
      </c>
      <c r="AD12" s="8">
        <v>0</v>
      </c>
      <c r="AE12" s="8">
        <v>0.5</v>
      </c>
      <c r="AF12" s="8">
        <v>1.9</v>
      </c>
      <c r="AG12" s="8">
        <v>0.4</v>
      </c>
      <c r="AH12" s="8">
        <v>1.7</v>
      </c>
      <c r="AI12" s="8">
        <v>1.8</v>
      </c>
      <c r="AJ12" s="8">
        <v>1.8</v>
      </c>
      <c r="AK12" s="8">
        <v>1.8</v>
      </c>
    </row>
    <row r="13" spans="1:37" x14ac:dyDescent="0.3">
      <c r="A13" s="3" t="s">
        <v>483</v>
      </c>
      <c r="B13" s="8">
        <v>-0.7</v>
      </c>
      <c r="C13" s="8">
        <v>-0.3</v>
      </c>
      <c r="D13" s="8">
        <v>0.5</v>
      </c>
      <c r="E13" s="8">
        <v>-0.9</v>
      </c>
      <c r="F13" s="8">
        <v>-1.7</v>
      </c>
      <c r="G13" s="8">
        <v>0.1</v>
      </c>
      <c r="H13" s="8">
        <v>0.6</v>
      </c>
      <c r="I13" s="8">
        <v>-0.3</v>
      </c>
      <c r="J13" s="8">
        <v>-0.8</v>
      </c>
      <c r="K13" s="8">
        <v>-0.7</v>
      </c>
      <c r="L13" s="8">
        <v>-0.7</v>
      </c>
      <c r="M13" s="8">
        <v>0.2</v>
      </c>
      <c r="N13" s="8">
        <v>-2.6</v>
      </c>
      <c r="O13" s="8">
        <v>3</v>
      </c>
      <c r="P13" s="8">
        <v>-1.8</v>
      </c>
      <c r="Q13" s="8">
        <v>-1.4</v>
      </c>
      <c r="R13" s="8">
        <v>0</v>
      </c>
      <c r="S13" s="8">
        <v>0.4</v>
      </c>
      <c r="T13" s="8">
        <v>0.1</v>
      </c>
      <c r="U13" s="8">
        <v>1.1000000000000001</v>
      </c>
      <c r="V13" s="8">
        <v>0.9</v>
      </c>
      <c r="W13" s="8">
        <v>-0.4</v>
      </c>
      <c r="X13" s="8">
        <v>-0.8</v>
      </c>
      <c r="Y13" s="8">
        <v>0.7</v>
      </c>
      <c r="Z13" s="8">
        <v>0.5</v>
      </c>
      <c r="AA13" s="8">
        <v>-1.3</v>
      </c>
      <c r="AB13" s="8">
        <v>-4.0999999999999996</v>
      </c>
      <c r="AC13" s="8">
        <v>1.5</v>
      </c>
      <c r="AD13" s="8">
        <v>0.4</v>
      </c>
      <c r="AE13" s="8">
        <v>-1.7</v>
      </c>
      <c r="AF13" s="8">
        <v>-0.6</v>
      </c>
      <c r="AG13" s="8">
        <v>0.5</v>
      </c>
      <c r="AH13" s="8">
        <v>-0.1</v>
      </c>
      <c r="AI13" s="8">
        <v>-0.1</v>
      </c>
      <c r="AJ13" s="8">
        <v>-0.1</v>
      </c>
      <c r="AK13" s="8">
        <v>-0.1</v>
      </c>
    </row>
    <row r="14" spans="1:37" ht="15" thickBot="1" x14ac:dyDescent="0.35">
      <c r="A14" s="11" t="s">
        <v>484</v>
      </c>
      <c r="B14" s="8">
        <v>0.5</v>
      </c>
      <c r="C14" s="8">
        <v>0.8</v>
      </c>
      <c r="D14" s="8">
        <v>1.8</v>
      </c>
      <c r="E14" s="8">
        <v>0.6</v>
      </c>
      <c r="F14" s="8">
        <v>2</v>
      </c>
      <c r="G14" s="8">
        <v>2</v>
      </c>
      <c r="H14" s="8">
        <v>1.6</v>
      </c>
      <c r="I14" s="8">
        <v>1.9</v>
      </c>
      <c r="J14" s="8">
        <v>1.9</v>
      </c>
      <c r="K14" s="8">
        <v>2.1</v>
      </c>
      <c r="L14" s="8">
        <v>2.2999999999999998</v>
      </c>
      <c r="M14" s="8">
        <v>1.9</v>
      </c>
      <c r="N14" s="8">
        <v>1.9</v>
      </c>
      <c r="O14" s="8">
        <v>0.8</v>
      </c>
      <c r="P14" s="8">
        <v>1.7</v>
      </c>
      <c r="Q14" s="8">
        <v>2.2999999999999998</v>
      </c>
      <c r="R14" s="8">
        <v>2.2000000000000002</v>
      </c>
      <c r="S14" s="8">
        <v>1.4</v>
      </c>
      <c r="T14" s="8">
        <v>0.8</v>
      </c>
      <c r="U14" s="8">
        <v>1.1000000000000001</v>
      </c>
      <c r="V14" s="8">
        <v>1.9</v>
      </c>
      <c r="W14" s="8">
        <v>2</v>
      </c>
      <c r="X14" s="8">
        <v>1.7</v>
      </c>
      <c r="Y14" s="8">
        <v>1.9</v>
      </c>
      <c r="Z14" s="8">
        <v>1.6</v>
      </c>
      <c r="AA14" s="8">
        <v>2.7</v>
      </c>
      <c r="AB14" s="8">
        <v>6.7</v>
      </c>
      <c r="AC14" s="8">
        <v>5.5</v>
      </c>
      <c r="AD14" s="8">
        <v>1.9</v>
      </c>
      <c r="AE14" s="8">
        <v>2.5</v>
      </c>
      <c r="AF14" s="8">
        <v>2.6</v>
      </c>
      <c r="AG14" s="8">
        <v>2.6</v>
      </c>
      <c r="AH14" s="8">
        <v>2.2000000000000002</v>
      </c>
      <c r="AI14" s="8">
        <v>1.8</v>
      </c>
      <c r="AJ14" s="8">
        <v>1.8</v>
      </c>
      <c r="AK14" s="8">
        <v>1.8</v>
      </c>
    </row>
    <row r="15" spans="1:37" x14ac:dyDescent="0.3">
      <c r="A15" s="24" t="s">
        <v>485</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row>
    <row r="16" spans="1:37" x14ac:dyDescent="0.3">
      <c r="A16" s="3" t="s">
        <v>486</v>
      </c>
      <c r="B16" s="8">
        <v>0.1</v>
      </c>
      <c r="C16" s="8">
        <v>1</v>
      </c>
      <c r="D16" s="8">
        <v>0.4</v>
      </c>
      <c r="E16" s="8">
        <v>0.7</v>
      </c>
      <c r="F16" s="8">
        <v>4.3</v>
      </c>
      <c r="G16" s="8">
        <v>1.7</v>
      </c>
      <c r="H16" s="8">
        <v>0.3</v>
      </c>
      <c r="I16" s="8">
        <v>0.7</v>
      </c>
      <c r="J16" s="8">
        <v>2.2999999999999998</v>
      </c>
      <c r="K16" s="8">
        <v>3</v>
      </c>
      <c r="L16" s="8">
        <v>2.7</v>
      </c>
      <c r="M16" s="8">
        <v>2</v>
      </c>
      <c r="N16" s="8">
        <v>4</v>
      </c>
      <c r="O16" s="8">
        <v>-3</v>
      </c>
      <c r="P16" s="8">
        <v>3.7</v>
      </c>
      <c r="Q16" s="8">
        <v>4.3</v>
      </c>
      <c r="R16" s="8">
        <v>2.5</v>
      </c>
      <c r="S16" s="8">
        <v>0.6</v>
      </c>
      <c r="T16" s="8">
        <v>-0.4</v>
      </c>
      <c r="U16" s="8">
        <v>-1.2</v>
      </c>
      <c r="V16" s="8">
        <v>0.3</v>
      </c>
      <c r="W16" s="8">
        <v>2.5</v>
      </c>
      <c r="X16" s="8">
        <v>2.2000000000000002</v>
      </c>
      <c r="Y16" s="8">
        <v>1</v>
      </c>
      <c r="Z16" s="8">
        <v>-0.1</v>
      </c>
      <c r="AA16" s="8">
        <v>5.6</v>
      </c>
      <c r="AB16" s="8">
        <v>12.1</v>
      </c>
      <c r="AC16" s="8">
        <v>2.8</v>
      </c>
      <c r="AD16" s="8">
        <v>1</v>
      </c>
      <c r="AE16" s="8">
        <v>1.6</v>
      </c>
      <c r="AF16" s="8">
        <v>2.2999999999999998</v>
      </c>
      <c r="AG16" s="8">
        <v>1.7</v>
      </c>
      <c r="AH16" s="8">
        <v>2</v>
      </c>
      <c r="AI16" s="8">
        <v>1.8</v>
      </c>
      <c r="AJ16" s="8">
        <v>1.8</v>
      </c>
      <c r="AK16" s="8">
        <v>1.8</v>
      </c>
    </row>
    <row r="17" spans="1:37" x14ac:dyDescent="0.3">
      <c r="A17" s="14" t="s">
        <v>487</v>
      </c>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spans="1:37" x14ac:dyDescent="0.3">
      <c r="A18" s="16" t="s">
        <v>488</v>
      </c>
      <c r="B18" s="8">
        <v>0.3</v>
      </c>
      <c r="C18" s="8">
        <v>0.5</v>
      </c>
      <c r="D18" s="8">
        <v>1.1000000000000001</v>
      </c>
      <c r="E18" s="8">
        <v>0.4</v>
      </c>
      <c r="F18" s="8">
        <v>1.2</v>
      </c>
      <c r="G18" s="8">
        <v>1.2</v>
      </c>
      <c r="H18" s="8">
        <v>1</v>
      </c>
      <c r="I18" s="8">
        <v>1.1000000000000001</v>
      </c>
      <c r="J18" s="8">
        <v>1.2</v>
      </c>
      <c r="K18" s="8">
        <v>1.2</v>
      </c>
      <c r="L18" s="8">
        <v>1.3</v>
      </c>
      <c r="M18" s="8">
        <v>1.1000000000000001</v>
      </c>
      <c r="N18" s="8">
        <v>1.1000000000000001</v>
      </c>
      <c r="O18" s="8">
        <v>0.5</v>
      </c>
      <c r="P18" s="8">
        <v>1</v>
      </c>
      <c r="Q18" s="8">
        <v>1.3</v>
      </c>
      <c r="R18" s="8">
        <v>1.2</v>
      </c>
      <c r="S18" s="8">
        <v>0.8</v>
      </c>
      <c r="T18" s="8">
        <v>0.5</v>
      </c>
      <c r="U18" s="8">
        <v>0.6</v>
      </c>
      <c r="V18" s="8">
        <v>1</v>
      </c>
      <c r="W18" s="8">
        <v>1.1000000000000001</v>
      </c>
      <c r="X18" s="8">
        <v>0.9</v>
      </c>
      <c r="Y18" s="8">
        <v>1</v>
      </c>
      <c r="Z18" s="8">
        <v>0.9</v>
      </c>
      <c r="AA18" s="8">
        <v>1.5</v>
      </c>
      <c r="AB18" s="8">
        <v>3.6</v>
      </c>
      <c r="AC18" s="8">
        <v>2.9</v>
      </c>
      <c r="AD18" s="8">
        <v>1</v>
      </c>
      <c r="AE18" s="8">
        <v>1.4</v>
      </c>
      <c r="AF18" s="8">
        <v>1.4</v>
      </c>
      <c r="AG18" s="8">
        <v>1.5</v>
      </c>
      <c r="AH18" s="8">
        <v>1.2</v>
      </c>
      <c r="AI18" s="8">
        <v>1</v>
      </c>
      <c r="AJ18" s="8">
        <v>1</v>
      </c>
      <c r="AK18" s="8">
        <v>1</v>
      </c>
    </row>
    <row r="19" spans="1:37" x14ac:dyDescent="0.3">
      <c r="A19" s="9" t="s">
        <v>489</v>
      </c>
      <c r="B19" s="8">
        <v>0.2</v>
      </c>
      <c r="C19" s="8">
        <v>0</v>
      </c>
      <c r="D19" s="8">
        <v>0.5</v>
      </c>
      <c r="E19" s="8">
        <v>0.5</v>
      </c>
      <c r="F19" s="8">
        <v>0.2</v>
      </c>
      <c r="G19" s="8">
        <v>1.3</v>
      </c>
      <c r="H19" s="8">
        <v>0.9</v>
      </c>
      <c r="I19" s="8">
        <v>0.3</v>
      </c>
      <c r="J19" s="8">
        <v>-0.2</v>
      </c>
      <c r="K19" s="8">
        <v>0.3</v>
      </c>
      <c r="L19" s="8">
        <v>0.6</v>
      </c>
      <c r="M19" s="8">
        <v>0.5</v>
      </c>
      <c r="N19" s="8">
        <v>1.4</v>
      </c>
      <c r="O19" s="8">
        <v>0.8</v>
      </c>
      <c r="P19" s="8">
        <v>-0.2</v>
      </c>
      <c r="Q19" s="8">
        <v>0.7</v>
      </c>
      <c r="R19" s="8">
        <v>0.9</v>
      </c>
      <c r="S19" s="8">
        <v>0.5</v>
      </c>
      <c r="T19" s="8">
        <v>-0.1</v>
      </c>
      <c r="U19" s="8">
        <v>-0.2</v>
      </c>
      <c r="V19" s="8">
        <v>0.2</v>
      </c>
      <c r="W19" s="8">
        <v>0.5</v>
      </c>
      <c r="X19" s="8">
        <v>0.4</v>
      </c>
      <c r="Y19" s="8">
        <v>0.3</v>
      </c>
      <c r="Z19" s="8">
        <v>0.9</v>
      </c>
      <c r="AA19" s="8">
        <v>0</v>
      </c>
      <c r="AB19" s="8">
        <v>1.4</v>
      </c>
      <c r="AC19" s="8">
        <v>1.6</v>
      </c>
      <c r="AD19" s="8">
        <v>0.6</v>
      </c>
      <c r="AE19" s="8">
        <v>0.6</v>
      </c>
      <c r="AF19" s="8">
        <v>0.6</v>
      </c>
      <c r="AG19" s="8">
        <v>0.8</v>
      </c>
      <c r="AH19" s="8">
        <v>0.5</v>
      </c>
      <c r="AI19" s="8">
        <v>0.4</v>
      </c>
      <c r="AJ19" s="8">
        <v>0.4</v>
      </c>
      <c r="AK19" s="8">
        <v>0.4</v>
      </c>
    </row>
    <row r="20" spans="1:37" x14ac:dyDescent="0.3">
      <c r="A20" s="9" t="s">
        <v>490</v>
      </c>
      <c r="B20" s="8">
        <v>0.3</v>
      </c>
      <c r="C20" s="8">
        <v>0.3</v>
      </c>
      <c r="D20" s="8">
        <v>0.1</v>
      </c>
      <c r="E20" s="8">
        <v>0.2</v>
      </c>
      <c r="F20" s="8">
        <v>0.1</v>
      </c>
      <c r="G20" s="8">
        <v>-0.1</v>
      </c>
      <c r="H20" s="8">
        <v>0.1</v>
      </c>
      <c r="I20" s="8">
        <v>0.1</v>
      </c>
      <c r="J20" s="8">
        <v>0.2</v>
      </c>
      <c r="K20" s="8">
        <v>-0.1</v>
      </c>
      <c r="L20" s="8">
        <v>0</v>
      </c>
      <c r="M20" s="8">
        <v>-0.1</v>
      </c>
      <c r="N20" s="8">
        <v>0</v>
      </c>
      <c r="O20" s="8">
        <v>-0.1</v>
      </c>
      <c r="P20" s="8">
        <v>0</v>
      </c>
      <c r="Q20" s="8">
        <v>0</v>
      </c>
      <c r="R20" s="8">
        <v>0.3</v>
      </c>
      <c r="S20" s="8">
        <v>0</v>
      </c>
      <c r="T20" s="8">
        <v>0</v>
      </c>
      <c r="U20" s="8">
        <v>0.1</v>
      </c>
      <c r="V20" s="8">
        <v>0.3</v>
      </c>
      <c r="W20" s="8">
        <v>0.1</v>
      </c>
      <c r="X20" s="8">
        <v>0.1</v>
      </c>
      <c r="Y20" s="8">
        <v>0</v>
      </c>
      <c r="Z20" s="8">
        <v>-0.9</v>
      </c>
      <c r="AA20" s="8">
        <v>0.7</v>
      </c>
      <c r="AB20" s="8">
        <v>0.2</v>
      </c>
      <c r="AC20" s="8">
        <v>0.2</v>
      </c>
      <c r="AD20" s="8">
        <v>0</v>
      </c>
      <c r="AE20" s="8">
        <v>0.1</v>
      </c>
      <c r="AF20" s="8">
        <v>0.1</v>
      </c>
      <c r="AG20" s="8">
        <v>0.1</v>
      </c>
      <c r="AH20" s="8">
        <v>0.2</v>
      </c>
      <c r="AI20" s="8">
        <v>0.1</v>
      </c>
      <c r="AJ20" s="8">
        <v>0.1</v>
      </c>
      <c r="AK20" s="8">
        <v>0</v>
      </c>
    </row>
    <row r="21" spans="1:37" x14ac:dyDescent="0.3">
      <c r="A21" s="9" t="s">
        <v>491</v>
      </c>
      <c r="B21" s="8">
        <v>-0.2</v>
      </c>
      <c r="C21" s="8">
        <v>0.1</v>
      </c>
      <c r="D21" s="8">
        <v>0.5</v>
      </c>
      <c r="E21" s="8">
        <v>-0.3</v>
      </c>
      <c r="F21" s="8">
        <v>0.8</v>
      </c>
      <c r="G21" s="8">
        <v>0</v>
      </c>
      <c r="H21" s="8">
        <v>0</v>
      </c>
      <c r="I21" s="8">
        <v>0.8</v>
      </c>
      <c r="J21" s="8">
        <v>1.1000000000000001</v>
      </c>
      <c r="K21" s="8">
        <v>1</v>
      </c>
      <c r="L21" s="8">
        <v>0.7</v>
      </c>
      <c r="M21" s="8">
        <v>0.7</v>
      </c>
      <c r="N21" s="8">
        <v>-0.3</v>
      </c>
      <c r="O21" s="8">
        <v>-0.2</v>
      </c>
      <c r="P21" s="8">
        <v>1.2</v>
      </c>
      <c r="Q21" s="8">
        <v>0.5</v>
      </c>
      <c r="R21" s="8">
        <v>0</v>
      </c>
      <c r="S21" s="8">
        <v>0.3</v>
      </c>
      <c r="T21" s="8">
        <v>0.6</v>
      </c>
      <c r="U21" s="8">
        <v>0.7</v>
      </c>
      <c r="V21" s="8">
        <v>0.5</v>
      </c>
      <c r="W21" s="8">
        <v>0.5</v>
      </c>
      <c r="X21" s="8">
        <v>0.5</v>
      </c>
      <c r="Y21" s="8">
        <v>0.7</v>
      </c>
      <c r="Z21" s="8">
        <v>0.9</v>
      </c>
      <c r="AA21" s="8">
        <v>0.8</v>
      </c>
      <c r="AB21" s="8">
        <v>2</v>
      </c>
      <c r="AC21" s="8">
        <v>1.1000000000000001</v>
      </c>
      <c r="AD21" s="8">
        <v>0.4</v>
      </c>
      <c r="AE21" s="8">
        <v>0.7</v>
      </c>
      <c r="AF21" s="8">
        <v>0.7</v>
      </c>
      <c r="AG21" s="8">
        <v>0.5</v>
      </c>
      <c r="AH21" s="8">
        <v>0.5</v>
      </c>
      <c r="AI21" s="8">
        <v>0.5</v>
      </c>
      <c r="AJ21" s="8">
        <v>0.5</v>
      </c>
      <c r="AK21" s="8">
        <v>0.5</v>
      </c>
    </row>
    <row r="22" spans="1:37" ht="15" thickBot="1" x14ac:dyDescent="0.35">
      <c r="A22" s="16" t="s">
        <v>492</v>
      </c>
      <c r="B22" s="8">
        <v>-0.2</v>
      </c>
      <c r="C22" s="8">
        <v>0.5</v>
      </c>
      <c r="D22" s="8">
        <v>-0.7</v>
      </c>
      <c r="E22" s="8">
        <v>0.3</v>
      </c>
      <c r="F22" s="8">
        <v>3</v>
      </c>
      <c r="G22" s="8">
        <v>0.5</v>
      </c>
      <c r="H22" s="8">
        <v>-0.7</v>
      </c>
      <c r="I22" s="8">
        <v>-0.4</v>
      </c>
      <c r="J22" s="8">
        <v>1.2</v>
      </c>
      <c r="K22" s="8">
        <v>1.8</v>
      </c>
      <c r="L22" s="8">
        <v>1.4</v>
      </c>
      <c r="M22" s="8">
        <v>0.9</v>
      </c>
      <c r="N22" s="8">
        <v>2.9</v>
      </c>
      <c r="O22" s="8">
        <v>-3.5</v>
      </c>
      <c r="P22" s="8">
        <v>2.7</v>
      </c>
      <c r="Q22" s="8">
        <v>3</v>
      </c>
      <c r="R22" s="8">
        <v>1.3</v>
      </c>
      <c r="S22" s="8">
        <v>-0.2</v>
      </c>
      <c r="T22" s="8">
        <v>-0.9</v>
      </c>
      <c r="U22" s="8">
        <v>-1.8</v>
      </c>
      <c r="V22" s="8">
        <v>-0.7</v>
      </c>
      <c r="W22" s="8">
        <v>1.4</v>
      </c>
      <c r="X22" s="8">
        <v>1.3</v>
      </c>
      <c r="Y22" s="8">
        <v>0</v>
      </c>
      <c r="Z22" s="8">
        <v>-1</v>
      </c>
      <c r="AA22" s="8">
        <v>4.0999999999999996</v>
      </c>
      <c r="AB22" s="8">
        <v>8.5</v>
      </c>
      <c r="AC22" s="8">
        <v>-0.1</v>
      </c>
      <c r="AD22" s="8">
        <v>0</v>
      </c>
      <c r="AE22" s="8">
        <v>0.2</v>
      </c>
      <c r="AF22" s="8">
        <v>0.8</v>
      </c>
      <c r="AG22" s="8">
        <v>0.2</v>
      </c>
      <c r="AH22" s="8">
        <v>0.8</v>
      </c>
      <c r="AI22" s="8">
        <v>0.8</v>
      </c>
      <c r="AJ22" s="8">
        <v>0.8</v>
      </c>
      <c r="AK22" s="8">
        <v>0.8</v>
      </c>
    </row>
    <row r="23" spans="1:37" ht="15" customHeight="1" x14ac:dyDescent="0.3">
      <c r="A23" s="30" t="s">
        <v>493</v>
      </c>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row>
    <row r="24" spans="1:37" ht="15" customHeight="1" x14ac:dyDescent="0.3">
      <c r="A24" s="32" t="s">
        <v>494</v>
      </c>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row>
    <row r="25" spans="1:37" x14ac:dyDescent="0.3">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sheetData>
  <mergeCells count="4">
    <mergeCell ref="A1:AK1"/>
    <mergeCell ref="A2:AK2"/>
    <mergeCell ref="A23:AK23"/>
    <mergeCell ref="A24:AK2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CFA7-85E5-4110-9668-05FDFB58BC83}">
  <dimension ref="A1:AK16"/>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7" style="1" bestFit="1" customWidth="1"/>
    <col min="38" max="16384" width="9.109375" style="1"/>
  </cols>
  <sheetData>
    <row r="1" spans="1:37" ht="15" customHeight="1" x14ac:dyDescent="0.3">
      <c r="A1" s="28" t="s">
        <v>460</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78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461</v>
      </c>
      <c r="B4" s="5">
        <v>214287</v>
      </c>
      <c r="C4" s="5">
        <v>224101</v>
      </c>
      <c r="D4" s="5">
        <v>232624</v>
      </c>
      <c r="E4" s="5">
        <v>242308</v>
      </c>
      <c r="F4" s="5">
        <v>256376</v>
      </c>
      <c r="G4" s="5">
        <v>264335</v>
      </c>
      <c r="H4" s="5">
        <v>273256</v>
      </c>
      <c r="I4" s="5">
        <v>281200</v>
      </c>
      <c r="J4" s="5">
        <v>296820</v>
      </c>
      <c r="K4" s="5">
        <v>310038</v>
      </c>
      <c r="L4" s="5">
        <v>325152</v>
      </c>
      <c r="M4" s="5">
        <v>343619</v>
      </c>
      <c r="N4" s="5">
        <v>351743</v>
      </c>
      <c r="O4" s="5">
        <v>347735</v>
      </c>
      <c r="P4" s="5">
        <v>363242</v>
      </c>
      <c r="Q4" s="5">
        <v>378745</v>
      </c>
      <c r="R4" s="5">
        <v>387935</v>
      </c>
      <c r="S4" s="5">
        <v>394616</v>
      </c>
      <c r="T4" s="5">
        <v>404958</v>
      </c>
      <c r="U4" s="5">
        <v>415538</v>
      </c>
      <c r="V4" s="5">
        <v>428467</v>
      </c>
      <c r="W4" s="5">
        <v>443407</v>
      </c>
      <c r="X4" s="5">
        <v>459492</v>
      </c>
      <c r="Y4" s="5">
        <v>479445</v>
      </c>
      <c r="Z4" s="5">
        <v>463751</v>
      </c>
      <c r="AA4" s="5">
        <v>506047</v>
      </c>
      <c r="AB4" s="5">
        <v>561309</v>
      </c>
      <c r="AC4" s="5">
        <v>602376</v>
      </c>
      <c r="AD4" s="5">
        <v>620272</v>
      </c>
      <c r="AE4" s="5">
        <v>642012</v>
      </c>
      <c r="AF4" s="5">
        <v>663326</v>
      </c>
      <c r="AG4" s="5">
        <v>687370</v>
      </c>
      <c r="AH4" s="5">
        <v>710640</v>
      </c>
      <c r="AI4" s="5">
        <v>733587</v>
      </c>
      <c r="AJ4" s="5">
        <v>756470</v>
      </c>
      <c r="AK4" s="5">
        <v>778846</v>
      </c>
    </row>
    <row r="5" spans="1:37" x14ac:dyDescent="0.3">
      <c r="A5" s="7" t="s">
        <v>462</v>
      </c>
      <c r="B5" s="3">
        <v>4984</v>
      </c>
      <c r="C5" s="3">
        <v>5453</v>
      </c>
      <c r="D5" s="3">
        <v>5650</v>
      </c>
      <c r="E5" s="3">
        <v>5645</v>
      </c>
      <c r="F5" s="3">
        <v>6607</v>
      </c>
      <c r="G5" s="3">
        <v>4945</v>
      </c>
      <c r="H5" s="3">
        <v>4722</v>
      </c>
      <c r="I5" s="3">
        <v>5369</v>
      </c>
      <c r="J5" s="3">
        <v>4122</v>
      </c>
      <c r="K5" s="3">
        <v>3873</v>
      </c>
      <c r="L5" s="3">
        <v>4676</v>
      </c>
      <c r="M5" s="3">
        <v>4780</v>
      </c>
      <c r="N5" s="3">
        <v>8555</v>
      </c>
      <c r="O5" s="3">
        <v>6812</v>
      </c>
      <c r="P5" s="3">
        <v>5534</v>
      </c>
      <c r="Q5" s="3">
        <v>598</v>
      </c>
      <c r="R5" s="3">
        <v>8758</v>
      </c>
      <c r="S5" s="3">
        <v>9065</v>
      </c>
      <c r="T5" s="3">
        <v>8216</v>
      </c>
      <c r="U5" s="3">
        <v>5849</v>
      </c>
      <c r="V5" s="3">
        <v>3842</v>
      </c>
      <c r="W5" s="3">
        <v>3954</v>
      </c>
      <c r="X5" s="3">
        <v>4641</v>
      </c>
      <c r="Y5" s="3">
        <v>4042</v>
      </c>
      <c r="Z5" s="3">
        <v>4151</v>
      </c>
      <c r="AA5" s="3">
        <v>6524</v>
      </c>
      <c r="AB5" s="3">
        <v>7579</v>
      </c>
      <c r="AC5" s="3">
        <v>10760</v>
      </c>
      <c r="AD5" s="3">
        <v>10130</v>
      </c>
      <c r="AE5" s="3">
        <v>8221</v>
      </c>
      <c r="AF5" s="3">
        <v>8557</v>
      </c>
      <c r="AG5" s="3">
        <v>9015</v>
      </c>
      <c r="AH5" s="3">
        <v>9198</v>
      </c>
      <c r="AI5" s="3">
        <v>9350</v>
      </c>
      <c r="AJ5" s="3">
        <v>9503</v>
      </c>
      <c r="AK5" s="3">
        <v>9641</v>
      </c>
    </row>
    <row r="6" spans="1:37" x14ac:dyDescent="0.3">
      <c r="A6" s="11" t="s">
        <v>463</v>
      </c>
      <c r="B6" s="3">
        <v>219271</v>
      </c>
      <c r="C6" s="3">
        <v>229555</v>
      </c>
      <c r="D6" s="3">
        <v>238273</v>
      </c>
      <c r="E6" s="3">
        <v>247952</v>
      </c>
      <c r="F6" s="3">
        <v>262984</v>
      </c>
      <c r="G6" s="3">
        <v>269280</v>
      </c>
      <c r="H6" s="3">
        <v>277978</v>
      </c>
      <c r="I6" s="3">
        <v>286570</v>
      </c>
      <c r="J6" s="3">
        <v>300941</v>
      </c>
      <c r="K6" s="3">
        <v>313911</v>
      </c>
      <c r="L6" s="3">
        <v>329828</v>
      </c>
      <c r="M6" s="3">
        <v>348399</v>
      </c>
      <c r="N6" s="3">
        <v>360298</v>
      </c>
      <c r="O6" s="3">
        <v>354547</v>
      </c>
      <c r="P6" s="3">
        <v>368777</v>
      </c>
      <c r="Q6" s="3">
        <v>379344</v>
      </c>
      <c r="R6" s="3">
        <v>396693</v>
      </c>
      <c r="S6" s="3">
        <v>403682</v>
      </c>
      <c r="T6" s="3">
        <v>413174</v>
      </c>
      <c r="U6" s="3">
        <v>421387</v>
      </c>
      <c r="V6" s="3">
        <v>432309</v>
      </c>
      <c r="W6" s="3">
        <v>447361</v>
      </c>
      <c r="X6" s="3">
        <v>464133</v>
      </c>
      <c r="Y6" s="3">
        <v>483487</v>
      </c>
      <c r="Z6" s="3">
        <v>467902</v>
      </c>
      <c r="AA6" s="3">
        <v>512572</v>
      </c>
      <c r="AB6" s="3">
        <v>568888</v>
      </c>
      <c r="AC6" s="3">
        <v>613136</v>
      </c>
      <c r="AD6" s="3">
        <v>630401</v>
      </c>
      <c r="AE6" s="3">
        <v>650233</v>
      </c>
      <c r="AF6" s="3">
        <v>671883</v>
      </c>
      <c r="AG6" s="3">
        <v>696385</v>
      </c>
      <c r="AH6" s="3">
        <v>719838</v>
      </c>
      <c r="AI6" s="3">
        <v>742937</v>
      </c>
      <c r="AJ6" s="3">
        <v>765973</v>
      </c>
      <c r="AK6" s="3">
        <v>788487</v>
      </c>
    </row>
    <row r="7" spans="1:37" x14ac:dyDescent="0.3">
      <c r="A7" s="7" t="s">
        <v>464</v>
      </c>
      <c r="B7" s="3">
        <v>34364</v>
      </c>
      <c r="C7" s="3">
        <v>36032</v>
      </c>
      <c r="D7" s="3">
        <v>37804</v>
      </c>
      <c r="E7" s="3">
        <v>40115</v>
      </c>
      <c r="F7" s="3">
        <v>42614</v>
      </c>
      <c r="G7" s="3">
        <v>44800</v>
      </c>
      <c r="H7" s="3">
        <v>46459</v>
      </c>
      <c r="I7" s="3">
        <v>49155</v>
      </c>
      <c r="J7" s="3">
        <v>51471</v>
      </c>
      <c r="K7" s="3">
        <v>54363</v>
      </c>
      <c r="L7" s="3">
        <v>58187</v>
      </c>
      <c r="M7" s="3">
        <v>61675</v>
      </c>
      <c r="N7" s="3">
        <v>65976</v>
      </c>
      <c r="O7" s="3">
        <v>64075</v>
      </c>
      <c r="P7" s="3">
        <v>66602</v>
      </c>
      <c r="Q7" s="3">
        <v>69677</v>
      </c>
      <c r="R7" s="3">
        <v>72341</v>
      </c>
      <c r="S7" s="3">
        <v>74045</v>
      </c>
      <c r="T7" s="3">
        <v>75109</v>
      </c>
      <c r="U7" s="3">
        <v>77056</v>
      </c>
      <c r="V7" s="3">
        <v>78912</v>
      </c>
      <c r="W7" s="3">
        <v>82580</v>
      </c>
      <c r="X7" s="3">
        <v>85880</v>
      </c>
      <c r="Y7" s="3">
        <v>89528</v>
      </c>
      <c r="Z7" s="3">
        <v>92639</v>
      </c>
      <c r="AA7" s="3">
        <v>97930</v>
      </c>
      <c r="AB7" s="3">
        <v>107882</v>
      </c>
      <c r="AC7" s="3">
        <v>115634</v>
      </c>
      <c r="AD7" s="3">
        <v>119560</v>
      </c>
      <c r="AE7" s="3">
        <v>122880</v>
      </c>
      <c r="AF7" s="3">
        <v>128446</v>
      </c>
      <c r="AG7" s="3">
        <v>134754</v>
      </c>
      <c r="AH7" s="3">
        <v>141053</v>
      </c>
      <c r="AI7" s="3">
        <v>147432</v>
      </c>
      <c r="AJ7" s="3">
        <v>154091</v>
      </c>
      <c r="AK7" s="3">
        <v>160872</v>
      </c>
    </row>
    <row r="8" spans="1:37" x14ac:dyDescent="0.3">
      <c r="A8" s="11" t="s">
        <v>465</v>
      </c>
      <c r="B8" s="3">
        <v>184907</v>
      </c>
      <c r="C8" s="3">
        <v>193523</v>
      </c>
      <c r="D8" s="3">
        <v>200470</v>
      </c>
      <c r="E8" s="3">
        <v>207837</v>
      </c>
      <c r="F8" s="3">
        <v>220370</v>
      </c>
      <c r="G8" s="3">
        <v>224479</v>
      </c>
      <c r="H8" s="3">
        <v>231519</v>
      </c>
      <c r="I8" s="3">
        <v>237415</v>
      </c>
      <c r="J8" s="3">
        <v>249470</v>
      </c>
      <c r="K8" s="3">
        <v>259548</v>
      </c>
      <c r="L8" s="3">
        <v>271640</v>
      </c>
      <c r="M8" s="3">
        <v>286724</v>
      </c>
      <c r="N8" s="3">
        <v>294322</v>
      </c>
      <c r="O8" s="3">
        <v>290472</v>
      </c>
      <c r="P8" s="3">
        <v>302175</v>
      </c>
      <c r="Q8" s="3">
        <v>309667</v>
      </c>
      <c r="R8" s="3">
        <v>324352</v>
      </c>
      <c r="S8" s="3">
        <v>329637</v>
      </c>
      <c r="T8" s="3">
        <v>338065</v>
      </c>
      <c r="U8" s="3">
        <v>344331</v>
      </c>
      <c r="V8" s="3">
        <v>353397</v>
      </c>
      <c r="W8" s="3">
        <v>364781</v>
      </c>
      <c r="X8" s="3">
        <v>378253</v>
      </c>
      <c r="Y8" s="3">
        <v>393959</v>
      </c>
      <c r="Z8" s="3">
        <v>375263</v>
      </c>
      <c r="AA8" s="3">
        <v>414641</v>
      </c>
      <c r="AB8" s="3">
        <v>461006</v>
      </c>
      <c r="AC8" s="3">
        <v>497502</v>
      </c>
      <c r="AD8" s="3">
        <v>510842</v>
      </c>
      <c r="AE8" s="3">
        <v>527353</v>
      </c>
      <c r="AF8" s="3">
        <v>543437</v>
      </c>
      <c r="AG8" s="3">
        <v>561631</v>
      </c>
      <c r="AH8" s="3">
        <v>578785</v>
      </c>
      <c r="AI8" s="3">
        <v>595505</v>
      </c>
      <c r="AJ8" s="3">
        <v>611883</v>
      </c>
      <c r="AK8" s="3">
        <v>627615</v>
      </c>
    </row>
    <row r="9" spans="1:37" x14ac:dyDescent="0.3">
      <c r="A9" s="7" t="s">
        <v>466</v>
      </c>
      <c r="B9" s="3">
        <v>-2702</v>
      </c>
      <c r="C9" s="3">
        <v>-2645</v>
      </c>
      <c r="D9" s="3">
        <v>-2909</v>
      </c>
      <c r="E9" s="3">
        <v>-2881</v>
      </c>
      <c r="F9" s="3">
        <v>-2891</v>
      </c>
      <c r="G9" s="3">
        <v>-2583</v>
      </c>
      <c r="H9" s="3">
        <v>-2796</v>
      </c>
      <c r="I9" s="3">
        <v>-3618</v>
      </c>
      <c r="J9" s="3">
        <v>-4126</v>
      </c>
      <c r="K9" s="3">
        <v>-4208</v>
      </c>
      <c r="L9" s="3">
        <v>-4309</v>
      </c>
      <c r="M9" s="3">
        <v>-3662</v>
      </c>
      <c r="N9" s="3">
        <v>-4878</v>
      </c>
      <c r="O9" s="3">
        <v>-4373</v>
      </c>
      <c r="P9" s="3">
        <v>-3497</v>
      </c>
      <c r="Q9" s="3">
        <v>-4285</v>
      </c>
      <c r="R9" s="3">
        <v>-3973</v>
      </c>
      <c r="S9" s="3">
        <v>-5262</v>
      </c>
      <c r="T9" s="3">
        <v>-4885</v>
      </c>
      <c r="U9" s="3">
        <v>-5784</v>
      </c>
      <c r="V9" s="3">
        <v>-5977</v>
      </c>
      <c r="W9" s="3">
        <v>-4657</v>
      </c>
      <c r="X9" s="3">
        <v>-5247</v>
      </c>
      <c r="Y9" s="3">
        <v>-5579</v>
      </c>
      <c r="Z9" s="3">
        <v>-6371</v>
      </c>
      <c r="AA9" s="3">
        <v>-6678</v>
      </c>
      <c r="AB9" s="3">
        <v>-5763</v>
      </c>
      <c r="AC9" s="3">
        <v>-8032</v>
      </c>
      <c r="AD9" s="3">
        <v>-10143</v>
      </c>
      <c r="AE9" s="3">
        <v>-8213</v>
      </c>
      <c r="AF9" s="3">
        <v>-9281</v>
      </c>
      <c r="AG9" s="3">
        <v>-10001</v>
      </c>
      <c r="AH9" s="3">
        <v>-10643</v>
      </c>
      <c r="AI9" s="3">
        <v>-10831</v>
      </c>
      <c r="AJ9" s="3">
        <v>-9284</v>
      </c>
      <c r="AK9" s="3">
        <v>-9409</v>
      </c>
    </row>
    <row r="10" spans="1:37" x14ac:dyDescent="0.3">
      <c r="A10" s="11" t="s">
        <v>467</v>
      </c>
      <c r="B10" s="3">
        <v>182205</v>
      </c>
      <c r="C10" s="3">
        <v>190878</v>
      </c>
      <c r="D10" s="3">
        <v>197561</v>
      </c>
      <c r="E10" s="3">
        <v>204957</v>
      </c>
      <c r="F10" s="3">
        <v>217479</v>
      </c>
      <c r="G10" s="3">
        <v>221896</v>
      </c>
      <c r="H10" s="3">
        <v>228723</v>
      </c>
      <c r="I10" s="3">
        <v>233797</v>
      </c>
      <c r="J10" s="3">
        <v>245344</v>
      </c>
      <c r="K10" s="3">
        <v>255340</v>
      </c>
      <c r="L10" s="3">
        <v>267331</v>
      </c>
      <c r="M10" s="3">
        <v>283062</v>
      </c>
      <c r="N10" s="3">
        <v>289444</v>
      </c>
      <c r="O10" s="3">
        <v>286100</v>
      </c>
      <c r="P10" s="3">
        <v>298678</v>
      </c>
      <c r="Q10" s="3">
        <v>305382</v>
      </c>
      <c r="R10" s="3">
        <v>320379</v>
      </c>
      <c r="S10" s="3">
        <v>324374</v>
      </c>
      <c r="T10" s="3">
        <v>333181</v>
      </c>
      <c r="U10" s="3">
        <v>338547</v>
      </c>
      <c r="V10" s="3">
        <v>347420</v>
      </c>
      <c r="W10" s="3">
        <v>360124</v>
      </c>
      <c r="X10" s="3">
        <v>373006</v>
      </c>
      <c r="Y10" s="3">
        <v>388379</v>
      </c>
      <c r="Z10" s="3">
        <v>368892</v>
      </c>
      <c r="AA10" s="3">
        <v>407963</v>
      </c>
      <c r="AB10" s="3">
        <v>455243</v>
      </c>
      <c r="AC10" s="3">
        <v>489470</v>
      </c>
      <c r="AD10" s="3">
        <v>500699</v>
      </c>
      <c r="AE10" s="3">
        <v>519140</v>
      </c>
      <c r="AF10" s="3">
        <v>534156</v>
      </c>
      <c r="AG10" s="3">
        <v>551630</v>
      </c>
      <c r="AH10" s="3">
        <v>568142</v>
      </c>
      <c r="AI10" s="3">
        <v>584674</v>
      </c>
      <c r="AJ10" s="3">
        <v>602599</v>
      </c>
      <c r="AK10" s="3">
        <v>618206</v>
      </c>
    </row>
    <row r="11" spans="1:37" x14ac:dyDescent="0.3">
      <c r="A11" s="7" t="s">
        <v>468</v>
      </c>
      <c r="B11" s="3">
        <v>161138</v>
      </c>
      <c r="C11" s="3">
        <v>165422</v>
      </c>
      <c r="D11" s="3">
        <v>172169</v>
      </c>
      <c r="E11" s="3">
        <v>177744</v>
      </c>
      <c r="F11" s="3">
        <v>188058</v>
      </c>
      <c r="G11" s="3">
        <v>194865</v>
      </c>
      <c r="H11" s="3">
        <v>201322</v>
      </c>
      <c r="I11" s="3">
        <v>207182</v>
      </c>
      <c r="J11" s="3">
        <v>215013</v>
      </c>
      <c r="K11" s="3">
        <v>224102</v>
      </c>
      <c r="L11" s="3">
        <v>234067</v>
      </c>
      <c r="M11" s="3">
        <v>244868</v>
      </c>
      <c r="N11" s="3">
        <v>258146</v>
      </c>
      <c r="O11" s="3">
        <v>264000</v>
      </c>
      <c r="P11" s="3">
        <v>276470</v>
      </c>
      <c r="Q11" s="3">
        <v>286874</v>
      </c>
      <c r="R11" s="3">
        <v>297535</v>
      </c>
      <c r="S11" s="3">
        <v>304020</v>
      </c>
      <c r="T11" s="3">
        <v>309875</v>
      </c>
      <c r="U11" s="3">
        <v>315771</v>
      </c>
      <c r="V11" s="3">
        <v>324092</v>
      </c>
      <c r="W11" s="3">
        <v>335586</v>
      </c>
      <c r="X11" s="3">
        <v>348111</v>
      </c>
      <c r="Y11" s="3">
        <v>358888</v>
      </c>
      <c r="Z11" s="3">
        <v>345438</v>
      </c>
      <c r="AA11" s="3">
        <v>372877</v>
      </c>
      <c r="AB11" s="3">
        <v>421262</v>
      </c>
      <c r="AC11" s="3">
        <v>452029</v>
      </c>
      <c r="AD11" s="3">
        <v>470724</v>
      </c>
      <c r="AE11" s="3">
        <v>489782</v>
      </c>
      <c r="AF11" s="3">
        <v>510517</v>
      </c>
      <c r="AG11" s="3">
        <v>530564</v>
      </c>
      <c r="AH11" s="3">
        <v>547681</v>
      </c>
      <c r="AI11" s="3">
        <v>564128</v>
      </c>
      <c r="AJ11" s="3">
        <v>579950</v>
      </c>
      <c r="AK11" s="3">
        <v>596835</v>
      </c>
    </row>
    <row r="12" spans="1:37" x14ac:dyDescent="0.3">
      <c r="A12" s="11" t="s">
        <v>469</v>
      </c>
      <c r="B12" s="3">
        <v>21067</v>
      </c>
      <c r="C12" s="3">
        <v>25457</v>
      </c>
      <c r="D12" s="3">
        <v>25392</v>
      </c>
      <c r="E12" s="3">
        <v>27212</v>
      </c>
      <c r="F12" s="3">
        <v>29420</v>
      </c>
      <c r="G12" s="3">
        <v>27031</v>
      </c>
      <c r="H12" s="3">
        <v>27401</v>
      </c>
      <c r="I12" s="3">
        <v>26614</v>
      </c>
      <c r="J12" s="3">
        <v>30332</v>
      </c>
      <c r="K12" s="3">
        <v>31238</v>
      </c>
      <c r="L12" s="3">
        <v>33264</v>
      </c>
      <c r="M12" s="3">
        <v>38193</v>
      </c>
      <c r="N12" s="3">
        <v>31298</v>
      </c>
      <c r="O12" s="3">
        <v>22100</v>
      </c>
      <c r="P12" s="3">
        <v>22208</v>
      </c>
      <c r="Q12" s="3">
        <v>18508</v>
      </c>
      <c r="R12" s="3">
        <v>22844</v>
      </c>
      <c r="S12" s="3">
        <v>20355</v>
      </c>
      <c r="T12" s="3">
        <v>23306</v>
      </c>
      <c r="U12" s="3">
        <v>22776</v>
      </c>
      <c r="V12" s="3">
        <v>23268</v>
      </c>
      <c r="W12" s="3">
        <v>24493</v>
      </c>
      <c r="X12" s="3">
        <v>24825</v>
      </c>
      <c r="Y12" s="3">
        <v>29380</v>
      </c>
      <c r="Z12" s="3">
        <v>23230</v>
      </c>
      <c r="AA12" s="3">
        <v>34935</v>
      </c>
      <c r="AB12" s="3">
        <v>33825</v>
      </c>
      <c r="AC12" s="3">
        <v>37252</v>
      </c>
      <c r="AD12" s="3">
        <v>30038</v>
      </c>
      <c r="AE12" s="3">
        <v>29422</v>
      </c>
      <c r="AF12" s="3">
        <v>23702</v>
      </c>
      <c r="AG12" s="3">
        <v>21130</v>
      </c>
      <c r="AH12" s="3">
        <v>20524</v>
      </c>
      <c r="AI12" s="3">
        <v>20610</v>
      </c>
      <c r="AJ12" s="3">
        <v>22712</v>
      </c>
      <c r="AK12" s="3">
        <v>21434</v>
      </c>
    </row>
    <row r="13" spans="1:37" x14ac:dyDescent="0.3">
      <c r="A13" s="7" t="s">
        <v>470</v>
      </c>
      <c r="B13" s="3">
        <v>45396</v>
      </c>
      <c r="C13" s="3">
        <v>48976</v>
      </c>
      <c r="D13" s="3">
        <v>50667</v>
      </c>
      <c r="E13" s="3">
        <v>53711</v>
      </c>
      <c r="F13" s="3">
        <v>57703</v>
      </c>
      <c r="G13" s="3">
        <v>59185</v>
      </c>
      <c r="H13" s="3">
        <v>56554</v>
      </c>
      <c r="I13" s="3">
        <v>57630</v>
      </c>
      <c r="J13" s="3">
        <v>63703</v>
      </c>
      <c r="K13" s="3">
        <v>68685</v>
      </c>
      <c r="L13" s="3">
        <v>72592</v>
      </c>
      <c r="M13" s="3">
        <v>80039</v>
      </c>
      <c r="N13" s="3">
        <v>84834</v>
      </c>
      <c r="O13" s="3">
        <v>78414</v>
      </c>
      <c r="P13" s="3">
        <v>79689</v>
      </c>
      <c r="Q13" s="3">
        <v>86316</v>
      </c>
      <c r="R13" s="3">
        <v>88541</v>
      </c>
      <c r="S13" s="3">
        <v>87431</v>
      </c>
      <c r="T13" s="3">
        <v>92496</v>
      </c>
      <c r="U13" s="3">
        <v>96205</v>
      </c>
      <c r="V13" s="3">
        <v>100775</v>
      </c>
      <c r="W13" s="3">
        <v>104219</v>
      </c>
      <c r="X13" s="3">
        <v>109244</v>
      </c>
      <c r="Y13" s="3">
        <v>116175</v>
      </c>
      <c r="Z13" s="3">
        <v>111457</v>
      </c>
      <c r="AA13" s="3">
        <v>121028</v>
      </c>
      <c r="AB13" s="3">
        <v>134342</v>
      </c>
      <c r="AC13" s="3">
        <v>145571</v>
      </c>
      <c r="AD13" s="3">
        <v>150402</v>
      </c>
      <c r="AE13" s="3">
        <v>153217</v>
      </c>
      <c r="AF13" s="3">
        <v>159801</v>
      </c>
      <c r="AG13" s="3">
        <v>166324</v>
      </c>
      <c r="AH13" s="3">
        <v>173714</v>
      </c>
      <c r="AI13" s="3">
        <v>182100</v>
      </c>
      <c r="AJ13" s="3">
        <v>190721</v>
      </c>
      <c r="AK13" s="3">
        <v>196887</v>
      </c>
    </row>
    <row r="14" spans="1:37" x14ac:dyDescent="0.3">
      <c r="A14" s="7" t="s">
        <v>471</v>
      </c>
      <c r="B14" s="3">
        <v>956</v>
      </c>
      <c r="C14" s="3">
        <v>1000</v>
      </c>
      <c r="D14" s="3">
        <v>1322</v>
      </c>
      <c r="E14" s="3">
        <v>1266</v>
      </c>
      <c r="F14" s="3">
        <v>3271</v>
      </c>
      <c r="G14" s="3">
        <v>644</v>
      </c>
      <c r="H14" s="3">
        <v>139</v>
      </c>
      <c r="I14" s="3">
        <v>1323</v>
      </c>
      <c r="J14" s="3">
        <v>3577</v>
      </c>
      <c r="K14" s="3">
        <v>4735</v>
      </c>
      <c r="L14" s="3">
        <v>5349</v>
      </c>
      <c r="M14" s="3">
        <v>4502</v>
      </c>
      <c r="N14" s="3">
        <v>6397</v>
      </c>
      <c r="O14" s="3">
        <v>-1821</v>
      </c>
      <c r="P14" s="3">
        <v>1656</v>
      </c>
      <c r="Q14" s="3">
        <v>6399</v>
      </c>
      <c r="R14" s="3">
        <v>2966</v>
      </c>
      <c r="S14" s="3">
        <v>2183</v>
      </c>
      <c r="T14" s="3">
        <v>1690</v>
      </c>
      <c r="U14" s="3">
        <v>708</v>
      </c>
      <c r="V14" s="3">
        <v>2835</v>
      </c>
      <c r="W14" s="3">
        <v>3670</v>
      </c>
      <c r="X14" s="3">
        <v>8163</v>
      </c>
      <c r="Y14" s="3">
        <v>2131</v>
      </c>
      <c r="Z14" s="3">
        <v>161</v>
      </c>
      <c r="AA14" s="3">
        <v>2685</v>
      </c>
      <c r="AB14" s="3">
        <v>18820</v>
      </c>
      <c r="AC14" s="3">
        <v>6948</v>
      </c>
      <c r="AD14" s="3">
        <v>1538</v>
      </c>
      <c r="AE14" s="3">
        <v>11797</v>
      </c>
      <c r="AF14" s="3">
        <v>10263</v>
      </c>
      <c r="AG14" s="3">
        <v>6314</v>
      </c>
      <c r="AH14" s="3">
        <v>6722</v>
      </c>
      <c r="AI14" s="3">
        <v>7015</v>
      </c>
      <c r="AJ14" s="3">
        <v>7382</v>
      </c>
      <c r="AK14" s="3">
        <v>7979</v>
      </c>
    </row>
    <row r="15" spans="1:37" x14ac:dyDescent="0.3">
      <c r="A15" s="7" t="s">
        <v>472</v>
      </c>
      <c r="B15" s="3">
        <v>-123</v>
      </c>
      <c r="C15" s="3">
        <v>341</v>
      </c>
      <c r="D15" s="3">
        <v>-158</v>
      </c>
      <c r="E15" s="3">
        <v>12</v>
      </c>
      <c r="F15" s="3">
        <v>-124</v>
      </c>
      <c r="G15" s="3">
        <v>-382</v>
      </c>
      <c r="H15" s="3">
        <v>-312</v>
      </c>
      <c r="I15" s="3">
        <v>-100</v>
      </c>
      <c r="J15" s="3">
        <v>111</v>
      </c>
      <c r="K15" s="3">
        <v>-123</v>
      </c>
      <c r="L15" s="3">
        <v>246</v>
      </c>
      <c r="M15" s="3">
        <v>-982</v>
      </c>
      <c r="N15" s="3">
        <v>-1305</v>
      </c>
      <c r="O15" s="3">
        <v>-466</v>
      </c>
      <c r="P15" s="3">
        <v>-53</v>
      </c>
      <c r="Q15" s="3">
        <v>-564</v>
      </c>
      <c r="R15" s="3">
        <v>2897</v>
      </c>
      <c r="S15" s="3">
        <v>48</v>
      </c>
      <c r="T15" s="3">
        <v>-968</v>
      </c>
      <c r="U15" s="3">
        <v>80</v>
      </c>
      <c r="V15" s="3">
        <v>499</v>
      </c>
      <c r="W15" s="3">
        <v>462</v>
      </c>
      <c r="X15" s="3">
        <v>-49</v>
      </c>
      <c r="Y15" s="3">
        <v>794</v>
      </c>
      <c r="Z15" s="3">
        <v>-587</v>
      </c>
      <c r="AA15" s="3">
        <v>1136</v>
      </c>
      <c r="AB15" s="3">
        <v>989</v>
      </c>
      <c r="AC15" s="3">
        <v>1144</v>
      </c>
      <c r="AD15" s="3">
        <v>-909</v>
      </c>
      <c r="AE15" s="3">
        <v>532</v>
      </c>
      <c r="AF15" s="3">
        <v>497</v>
      </c>
      <c r="AG15" s="3">
        <v>-94</v>
      </c>
      <c r="AH15" s="3">
        <v>-415</v>
      </c>
      <c r="AI15" s="3">
        <v>-231</v>
      </c>
      <c r="AJ15" s="3">
        <v>-270</v>
      </c>
      <c r="AK15" s="3">
        <v>-471</v>
      </c>
    </row>
    <row r="16" spans="1:37" x14ac:dyDescent="0.3">
      <c r="A16" s="11" t="s">
        <v>473</v>
      </c>
      <c r="B16" s="3">
        <v>8957</v>
      </c>
      <c r="C16" s="3">
        <v>11854</v>
      </c>
      <c r="D16" s="3">
        <v>11049</v>
      </c>
      <c r="E16" s="3">
        <v>12361</v>
      </c>
      <c r="F16" s="3">
        <v>10936</v>
      </c>
      <c r="G16" s="3">
        <v>11620</v>
      </c>
      <c r="H16" s="3">
        <v>16855</v>
      </c>
      <c r="I16" s="3">
        <v>16717</v>
      </c>
      <c r="J16" s="3">
        <v>14633</v>
      </c>
      <c r="K16" s="3">
        <v>12057</v>
      </c>
      <c r="L16" s="3">
        <v>13757</v>
      </c>
      <c r="M16" s="3">
        <v>14345</v>
      </c>
      <c r="N16" s="3">
        <v>4739</v>
      </c>
      <c r="O16" s="3">
        <v>9115</v>
      </c>
      <c r="P16" s="3">
        <v>7412</v>
      </c>
      <c r="Q16" s="3">
        <v>-5094</v>
      </c>
      <c r="R16" s="3">
        <v>6576</v>
      </c>
      <c r="S16" s="3">
        <v>4835</v>
      </c>
      <c r="T16" s="3">
        <v>3260</v>
      </c>
      <c r="U16" s="3">
        <v>2999</v>
      </c>
      <c r="V16" s="3">
        <v>-931</v>
      </c>
      <c r="W16" s="3">
        <v>-354</v>
      </c>
      <c r="X16" s="3">
        <v>-6751</v>
      </c>
      <c r="Y16" s="3">
        <v>1397</v>
      </c>
      <c r="Z16" s="3">
        <v>3664</v>
      </c>
      <c r="AA16" s="3">
        <v>10288</v>
      </c>
      <c r="AB16" s="3">
        <v>-10465</v>
      </c>
      <c r="AC16" s="3">
        <v>1511</v>
      </c>
      <c r="AD16" s="3">
        <v>-3251</v>
      </c>
      <c r="AE16" s="3">
        <v>-12180</v>
      </c>
      <c r="AF16" s="3">
        <v>-17419</v>
      </c>
      <c r="AG16" s="3">
        <v>-16848</v>
      </c>
      <c r="AH16" s="3">
        <v>-19275</v>
      </c>
      <c r="AI16" s="3">
        <v>-21304</v>
      </c>
      <c r="AJ16" s="3">
        <v>-21571</v>
      </c>
      <c r="AK16" s="3">
        <v>-23031</v>
      </c>
    </row>
  </sheetData>
  <mergeCells count="2">
    <mergeCell ref="A1:AK1"/>
    <mergeCell ref="A2:AK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3832-40F9-4329-84F9-D720C015FCAD}">
  <dimension ref="A1:AK26"/>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7.5546875" style="1" bestFit="1" customWidth="1"/>
    <col min="38" max="16384" width="9.109375" style="1"/>
  </cols>
  <sheetData>
    <row r="1" spans="1:37" ht="15" customHeight="1" x14ac:dyDescent="0.3">
      <c r="A1" s="28" t="s">
        <v>445</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397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398</v>
      </c>
      <c r="B4" s="6">
        <v>10156.5</v>
      </c>
      <c r="C4" s="6">
        <v>10181.200000000001</v>
      </c>
      <c r="D4" s="6">
        <v>10203</v>
      </c>
      <c r="E4" s="6">
        <v>10226.4</v>
      </c>
      <c r="F4" s="6">
        <v>10251.200000000001</v>
      </c>
      <c r="G4" s="6">
        <v>10286.6</v>
      </c>
      <c r="H4" s="6">
        <v>10332.799999999999</v>
      </c>
      <c r="I4" s="6">
        <v>10376.1</v>
      </c>
      <c r="J4" s="6">
        <v>10421.1</v>
      </c>
      <c r="K4" s="6">
        <v>10478.6</v>
      </c>
      <c r="L4" s="6">
        <v>10548</v>
      </c>
      <c r="M4" s="6">
        <v>10624.8</v>
      </c>
      <c r="N4" s="6">
        <v>10709.1</v>
      </c>
      <c r="O4" s="6">
        <v>10796.5</v>
      </c>
      <c r="P4" s="6">
        <v>10895.6</v>
      </c>
      <c r="Q4" s="6">
        <v>10993.6</v>
      </c>
      <c r="R4" s="6">
        <v>11067.8</v>
      </c>
      <c r="S4" s="6">
        <v>11125</v>
      </c>
      <c r="T4" s="6">
        <v>11179.8</v>
      </c>
      <c r="U4" s="6">
        <v>11238.5</v>
      </c>
      <c r="V4" s="6">
        <v>11295</v>
      </c>
      <c r="W4" s="6">
        <v>11349.1</v>
      </c>
      <c r="X4" s="6">
        <v>11403.7</v>
      </c>
      <c r="Y4" s="6">
        <v>11462</v>
      </c>
      <c r="Z4" s="6">
        <v>11506.9</v>
      </c>
      <c r="AA4" s="6">
        <v>11552.6</v>
      </c>
      <c r="AB4" s="6">
        <v>11640.8</v>
      </c>
      <c r="AC4" s="6">
        <v>11730.6</v>
      </c>
      <c r="AD4" s="6">
        <v>11794.6</v>
      </c>
      <c r="AE4" s="6">
        <v>11850.4</v>
      </c>
      <c r="AF4" s="6">
        <v>11896</v>
      </c>
      <c r="AG4" s="6">
        <v>11935.7</v>
      </c>
      <c r="AH4" s="6">
        <v>11971.9</v>
      </c>
      <c r="AI4" s="6">
        <v>12005.3</v>
      </c>
      <c r="AJ4" s="6">
        <v>12036.5</v>
      </c>
      <c r="AK4" s="6">
        <v>12066.2</v>
      </c>
    </row>
    <row r="5" spans="1:37" x14ac:dyDescent="0.3">
      <c r="A5" s="3" t="s">
        <v>399</v>
      </c>
      <c r="B5" s="8">
        <v>6703.1</v>
      </c>
      <c r="C5" s="8">
        <v>6706.1</v>
      </c>
      <c r="D5" s="8">
        <v>6708.7</v>
      </c>
      <c r="E5" s="8">
        <v>6715.1</v>
      </c>
      <c r="F5" s="8">
        <v>6723.9</v>
      </c>
      <c r="G5" s="8">
        <v>6743.3</v>
      </c>
      <c r="H5" s="8">
        <v>6774.4</v>
      </c>
      <c r="I5" s="8">
        <v>6804.8</v>
      </c>
      <c r="J5" s="8">
        <v>6835.2</v>
      </c>
      <c r="K5" s="8">
        <v>6878.9</v>
      </c>
      <c r="L5" s="8">
        <v>6941.5</v>
      </c>
      <c r="M5" s="8">
        <v>7010.6</v>
      </c>
      <c r="N5" s="8">
        <v>7072.9</v>
      </c>
      <c r="O5" s="8">
        <v>7124.5</v>
      </c>
      <c r="P5" s="8">
        <v>7179.7</v>
      </c>
      <c r="Q5" s="8">
        <v>7225</v>
      </c>
      <c r="R5" s="8">
        <v>7246.9</v>
      </c>
      <c r="S5" s="8">
        <v>7259</v>
      </c>
      <c r="T5" s="8">
        <v>7268.2</v>
      </c>
      <c r="U5" s="8">
        <v>7283.8</v>
      </c>
      <c r="V5" s="8">
        <v>7300.1</v>
      </c>
      <c r="W5" s="8">
        <v>7312.3</v>
      </c>
      <c r="X5" s="8">
        <v>7325.4</v>
      </c>
      <c r="Y5" s="8">
        <v>7342.7</v>
      </c>
      <c r="Z5" s="8">
        <v>7358</v>
      </c>
      <c r="AA5" s="8">
        <v>7376.4</v>
      </c>
      <c r="AB5" s="8">
        <v>7422.2</v>
      </c>
      <c r="AC5" s="8">
        <v>7472.9</v>
      </c>
      <c r="AD5" s="8">
        <v>7505.9</v>
      </c>
      <c r="AE5" s="8">
        <v>7530.4</v>
      </c>
      <c r="AF5" s="8">
        <v>7544.9</v>
      </c>
      <c r="AG5" s="8">
        <v>7553.2</v>
      </c>
      <c r="AH5" s="8">
        <v>7555.9</v>
      </c>
      <c r="AI5" s="8">
        <v>7552.6</v>
      </c>
      <c r="AJ5" s="8">
        <v>7547.2</v>
      </c>
      <c r="AK5" s="8">
        <v>7543.4</v>
      </c>
    </row>
    <row r="6" spans="1:37" x14ac:dyDescent="0.3">
      <c r="A6" s="11" t="s">
        <v>400</v>
      </c>
      <c r="B6" s="8">
        <v>5547.4</v>
      </c>
      <c r="C6" s="8">
        <v>5545.9</v>
      </c>
      <c r="D6" s="8">
        <v>5518.3</v>
      </c>
      <c r="E6" s="8">
        <v>5510.8</v>
      </c>
      <c r="F6" s="8">
        <v>5478.6</v>
      </c>
      <c r="G6" s="8">
        <v>5450.5</v>
      </c>
      <c r="H6" s="8">
        <v>5446.4</v>
      </c>
      <c r="I6" s="8">
        <v>5451.3</v>
      </c>
      <c r="J6" s="8">
        <v>5427.1</v>
      </c>
      <c r="K6" s="8">
        <v>5422.7</v>
      </c>
      <c r="L6" s="8">
        <v>5456.3</v>
      </c>
      <c r="M6" s="8">
        <v>5521.2</v>
      </c>
      <c r="N6" s="8">
        <v>5559.4</v>
      </c>
      <c r="O6" s="8">
        <v>5607.3</v>
      </c>
      <c r="P6" s="8">
        <v>5665.8</v>
      </c>
      <c r="Q6" s="8">
        <v>5734.1</v>
      </c>
      <c r="R6" s="8">
        <v>5788.5</v>
      </c>
      <c r="S6" s="8">
        <v>5838.9</v>
      </c>
      <c r="T6" s="8">
        <v>5875.1</v>
      </c>
      <c r="U6" s="8">
        <v>5923.5</v>
      </c>
      <c r="V6" s="8">
        <v>5953.5</v>
      </c>
      <c r="W6" s="8">
        <v>5976.1</v>
      </c>
      <c r="X6" s="8">
        <v>6002.1</v>
      </c>
      <c r="Y6" s="8">
        <v>6012</v>
      </c>
      <c r="Z6" s="8">
        <v>6052.7</v>
      </c>
      <c r="AA6" s="8">
        <v>6049.2</v>
      </c>
      <c r="AB6" s="8">
        <v>6052.6</v>
      </c>
      <c r="AC6" s="8">
        <v>6070.1</v>
      </c>
      <c r="AD6" s="8">
        <v>6086.5</v>
      </c>
      <c r="AE6" s="8">
        <v>6093.4</v>
      </c>
      <c r="AF6" s="8">
        <v>6115.8</v>
      </c>
      <c r="AG6" s="8">
        <v>6117.8</v>
      </c>
      <c r="AH6" s="8">
        <v>6116</v>
      </c>
      <c r="AI6" s="8">
        <v>6108.6</v>
      </c>
      <c r="AJ6" s="8">
        <v>6098.5</v>
      </c>
      <c r="AK6" s="8">
        <v>6094.4</v>
      </c>
    </row>
    <row r="7" spans="1:37" x14ac:dyDescent="0.3">
      <c r="A7" s="22" t="s">
        <v>446</v>
      </c>
      <c r="B7" s="8">
        <v>135.5</v>
      </c>
      <c r="C7" s="8">
        <v>130.69999999999999</v>
      </c>
      <c r="D7" s="8">
        <v>123.7</v>
      </c>
      <c r="E7" s="8">
        <v>118.6</v>
      </c>
      <c r="F7" s="8">
        <v>114.5</v>
      </c>
      <c r="G7" s="8">
        <v>110</v>
      </c>
      <c r="H7" s="8">
        <v>106.5</v>
      </c>
      <c r="I7" s="8">
        <v>107.9</v>
      </c>
      <c r="J7" s="8">
        <v>109.9</v>
      </c>
      <c r="K7" s="8">
        <v>109</v>
      </c>
      <c r="L7" s="8">
        <v>111.1</v>
      </c>
      <c r="M7" s="8">
        <v>113.6</v>
      </c>
      <c r="N7" s="8">
        <v>114.2</v>
      </c>
      <c r="O7" s="8">
        <v>115.6</v>
      </c>
      <c r="P7" s="8">
        <v>117.5</v>
      </c>
      <c r="Q7" s="8">
        <v>115.2</v>
      </c>
      <c r="R7" s="8">
        <v>110.8</v>
      </c>
      <c r="S7" s="8">
        <v>106.9</v>
      </c>
      <c r="T7" s="8">
        <v>102.3</v>
      </c>
      <c r="U7" s="8">
        <v>96.2</v>
      </c>
      <c r="V7" s="8">
        <v>88.1</v>
      </c>
      <c r="W7" s="8">
        <v>76.900000000000006</v>
      </c>
      <c r="X7" s="8">
        <v>65.7</v>
      </c>
      <c r="Y7" s="8">
        <v>47.1</v>
      </c>
      <c r="Z7" s="8">
        <v>32</v>
      </c>
      <c r="AA7" s="8">
        <v>21.4</v>
      </c>
      <c r="AB7" s="8">
        <v>13.5</v>
      </c>
      <c r="AC7" s="8">
        <v>8</v>
      </c>
      <c r="AD7" s="8">
        <v>5</v>
      </c>
      <c r="AE7" s="8">
        <v>4.0999999999999996</v>
      </c>
      <c r="AF7" s="8">
        <v>3.8</v>
      </c>
      <c r="AG7" s="8">
        <v>2.6</v>
      </c>
      <c r="AH7" s="8">
        <v>1.7</v>
      </c>
      <c r="AI7" s="8">
        <v>1</v>
      </c>
      <c r="AJ7" s="8">
        <v>1</v>
      </c>
      <c r="AK7" s="8">
        <v>0.9</v>
      </c>
    </row>
    <row r="8" spans="1:37" x14ac:dyDescent="0.3">
      <c r="A8" s="11" t="s">
        <v>412</v>
      </c>
      <c r="B8" s="8">
        <v>4609.1000000000004</v>
      </c>
      <c r="C8" s="8">
        <v>4635.3</v>
      </c>
      <c r="D8" s="8">
        <v>4684.8</v>
      </c>
      <c r="E8" s="8">
        <v>4715.6000000000004</v>
      </c>
      <c r="F8" s="8">
        <v>4772.6000000000004</v>
      </c>
      <c r="G8" s="8">
        <v>4836</v>
      </c>
      <c r="H8" s="8">
        <v>4886.3999999999996</v>
      </c>
      <c r="I8" s="8">
        <v>4924.8</v>
      </c>
      <c r="J8" s="8">
        <v>4994</v>
      </c>
      <c r="K8" s="8">
        <v>5055.8999999999996</v>
      </c>
      <c r="L8" s="8">
        <v>5091.6000000000004</v>
      </c>
      <c r="M8" s="8">
        <v>5103.7</v>
      </c>
      <c r="N8" s="8">
        <v>5149.7</v>
      </c>
      <c r="O8" s="8">
        <v>5189.2</v>
      </c>
      <c r="P8" s="8">
        <v>5229.8</v>
      </c>
      <c r="Q8" s="8">
        <v>5259.5</v>
      </c>
      <c r="R8" s="8">
        <v>5279.2</v>
      </c>
      <c r="S8" s="8">
        <v>5286.2</v>
      </c>
      <c r="T8" s="8">
        <v>5304.7</v>
      </c>
      <c r="U8" s="8">
        <v>5315</v>
      </c>
      <c r="V8" s="8">
        <v>5341.5</v>
      </c>
      <c r="W8" s="8">
        <v>5373</v>
      </c>
      <c r="X8" s="8">
        <v>5401.6</v>
      </c>
      <c r="Y8" s="8">
        <v>5450.1</v>
      </c>
      <c r="Z8" s="8">
        <v>5454.2</v>
      </c>
      <c r="AA8" s="8">
        <v>5503.5</v>
      </c>
      <c r="AB8" s="8">
        <v>5588.1</v>
      </c>
      <c r="AC8" s="8">
        <v>5660.5</v>
      </c>
      <c r="AD8" s="8">
        <v>5708.1</v>
      </c>
      <c r="AE8" s="8">
        <v>5757</v>
      </c>
      <c r="AF8" s="8">
        <v>5780.3</v>
      </c>
      <c r="AG8" s="8">
        <v>5817.8</v>
      </c>
      <c r="AH8" s="8">
        <v>5855.9</v>
      </c>
      <c r="AI8" s="8">
        <v>5896.8</v>
      </c>
      <c r="AJ8" s="8">
        <v>5938</v>
      </c>
      <c r="AK8" s="8">
        <v>5971.8</v>
      </c>
    </row>
    <row r="9" spans="1:37" x14ac:dyDescent="0.3">
      <c r="A9" s="11" t="s">
        <v>413</v>
      </c>
      <c r="B9" s="8">
        <v>3879</v>
      </c>
      <c r="C9" s="8">
        <v>3905.4</v>
      </c>
      <c r="D9" s="8">
        <v>3973.9</v>
      </c>
      <c r="E9" s="8">
        <v>4028.7</v>
      </c>
      <c r="F9" s="8">
        <v>4109.7</v>
      </c>
      <c r="G9" s="8">
        <v>4166</v>
      </c>
      <c r="H9" s="8">
        <v>4175.5</v>
      </c>
      <c r="I9" s="8">
        <v>4171.6000000000004</v>
      </c>
      <c r="J9" s="8">
        <v>4212.7</v>
      </c>
      <c r="K9" s="8">
        <v>4273.2</v>
      </c>
      <c r="L9" s="8">
        <v>4321.3</v>
      </c>
      <c r="M9" s="8">
        <v>4393.3999999999996</v>
      </c>
      <c r="N9" s="8">
        <v>4471.6000000000004</v>
      </c>
      <c r="O9" s="8">
        <v>4465.7</v>
      </c>
      <c r="P9" s="8">
        <v>4496.7</v>
      </c>
      <c r="Q9" s="8">
        <v>4552.1000000000004</v>
      </c>
      <c r="R9" s="8">
        <v>4563.2</v>
      </c>
      <c r="S9" s="8">
        <v>4552.7</v>
      </c>
      <c r="T9" s="8">
        <v>4569.1000000000004</v>
      </c>
      <c r="U9" s="8">
        <v>4607.3999999999996</v>
      </c>
      <c r="V9" s="8">
        <v>4665.1000000000004</v>
      </c>
      <c r="W9" s="8">
        <v>4734.8</v>
      </c>
      <c r="X9" s="8">
        <v>4804.3999999999996</v>
      </c>
      <c r="Y9" s="8">
        <v>4880.3</v>
      </c>
      <c r="Z9" s="8">
        <v>4875</v>
      </c>
      <c r="AA9" s="8">
        <v>4957.2</v>
      </c>
      <c r="AB9" s="8">
        <v>5052.8</v>
      </c>
      <c r="AC9" s="8">
        <v>5090.8999999999996</v>
      </c>
      <c r="AD9" s="8">
        <v>5103.7</v>
      </c>
      <c r="AE9" s="8">
        <v>5122.5</v>
      </c>
      <c r="AF9" s="8">
        <v>5142.3999999999996</v>
      </c>
      <c r="AG9" s="8">
        <v>5178.3</v>
      </c>
      <c r="AH9" s="8">
        <v>5222.8999999999996</v>
      </c>
      <c r="AI9" s="8">
        <v>5270</v>
      </c>
      <c r="AJ9" s="8">
        <v>5321.5</v>
      </c>
      <c r="AK9" s="8">
        <v>5371.6</v>
      </c>
    </row>
    <row r="10" spans="1:37" x14ac:dyDescent="0.3">
      <c r="A10" s="7" t="s">
        <v>447</v>
      </c>
      <c r="B10" s="8">
        <v>2459.4</v>
      </c>
      <c r="C10" s="8">
        <v>2488.6999999999998</v>
      </c>
      <c r="D10" s="8">
        <v>2550.1</v>
      </c>
      <c r="E10" s="8">
        <v>2592.6999999999998</v>
      </c>
      <c r="F10" s="8">
        <v>2672.5</v>
      </c>
      <c r="G10" s="8">
        <v>2728</v>
      </c>
      <c r="H10" s="8">
        <v>2729.1</v>
      </c>
      <c r="I10" s="8">
        <v>2717.4</v>
      </c>
      <c r="J10" s="8">
        <v>2742.8</v>
      </c>
      <c r="K10" s="8">
        <v>2782.4</v>
      </c>
      <c r="L10" s="8">
        <v>2818.1</v>
      </c>
      <c r="M10" s="8">
        <v>2875.4</v>
      </c>
      <c r="N10" s="8">
        <v>2933.6</v>
      </c>
      <c r="O10" s="8">
        <v>2898.6</v>
      </c>
      <c r="P10" s="8">
        <v>2917.4</v>
      </c>
      <c r="Q10" s="8">
        <v>2961.6</v>
      </c>
      <c r="R10" s="8">
        <v>2963.8</v>
      </c>
      <c r="S10" s="8">
        <v>2945.1</v>
      </c>
      <c r="T10" s="8">
        <v>2940.8</v>
      </c>
      <c r="U10" s="8">
        <v>2969</v>
      </c>
      <c r="V10" s="8">
        <v>3012.5</v>
      </c>
      <c r="W10" s="8">
        <v>3061.6</v>
      </c>
      <c r="X10" s="8">
        <v>3111.6</v>
      </c>
      <c r="Y10" s="8">
        <v>3163.5</v>
      </c>
      <c r="Z10" s="8">
        <v>3136.2</v>
      </c>
      <c r="AA10" s="8">
        <v>3182.1</v>
      </c>
      <c r="AB10" s="8">
        <v>3251.6</v>
      </c>
      <c r="AC10" s="8">
        <v>3272.4</v>
      </c>
      <c r="AD10" s="8">
        <v>3266.1</v>
      </c>
      <c r="AE10" s="8">
        <v>3263.6</v>
      </c>
      <c r="AF10" s="8">
        <v>3264.8</v>
      </c>
      <c r="AG10" s="8">
        <v>3290.2</v>
      </c>
      <c r="AH10" s="8">
        <v>3325.5</v>
      </c>
      <c r="AI10" s="8">
        <v>3364.3</v>
      </c>
      <c r="AJ10" s="8">
        <v>3400.9</v>
      </c>
      <c r="AK10" s="8">
        <v>3435.9</v>
      </c>
    </row>
    <row r="11" spans="1:37" x14ac:dyDescent="0.3">
      <c r="A11" s="7" t="s">
        <v>448</v>
      </c>
      <c r="B11" s="8">
        <v>704.4</v>
      </c>
      <c r="C11" s="8">
        <v>705.7</v>
      </c>
      <c r="D11" s="8">
        <v>704.9</v>
      </c>
      <c r="E11" s="8">
        <v>705</v>
      </c>
      <c r="F11" s="8">
        <v>701.8</v>
      </c>
      <c r="G11" s="8">
        <v>695.8</v>
      </c>
      <c r="H11" s="8">
        <v>689</v>
      </c>
      <c r="I11" s="8">
        <v>688.7</v>
      </c>
      <c r="J11" s="8">
        <v>691.6</v>
      </c>
      <c r="K11" s="8">
        <v>694.5</v>
      </c>
      <c r="L11" s="8">
        <v>699</v>
      </c>
      <c r="M11" s="8">
        <v>705.6</v>
      </c>
      <c r="N11" s="8">
        <v>715.6</v>
      </c>
      <c r="O11" s="8">
        <v>721.8</v>
      </c>
      <c r="P11" s="8">
        <v>727.4</v>
      </c>
      <c r="Q11" s="8">
        <v>734.8</v>
      </c>
      <c r="R11" s="8">
        <v>743</v>
      </c>
      <c r="S11" s="8">
        <v>749.8</v>
      </c>
      <c r="T11" s="8">
        <v>756.1</v>
      </c>
      <c r="U11" s="8">
        <v>766.1</v>
      </c>
      <c r="V11" s="8">
        <v>778.3</v>
      </c>
      <c r="W11" s="8">
        <v>791.1</v>
      </c>
      <c r="X11" s="8">
        <v>804.4</v>
      </c>
      <c r="Y11" s="8">
        <v>818.6</v>
      </c>
      <c r="Z11" s="8">
        <v>834.4</v>
      </c>
      <c r="AA11" s="8">
        <v>860.1</v>
      </c>
      <c r="AB11" s="8">
        <v>877.1</v>
      </c>
      <c r="AC11" s="8">
        <v>886.6</v>
      </c>
      <c r="AD11" s="8">
        <v>894.6</v>
      </c>
      <c r="AE11" s="8">
        <v>908.5</v>
      </c>
      <c r="AF11" s="8">
        <v>925.8</v>
      </c>
      <c r="AG11" s="8">
        <v>938</v>
      </c>
      <c r="AH11" s="8">
        <v>947.6</v>
      </c>
      <c r="AI11" s="8">
        <v>958.2</v>
      </c>
      <c r="AJ11" s="8">
        <v>972</v>
      </c>
      <c r="AK11" s="8">
        <v>986.2</v>
      </c>
    </row>
    <row r="12" spans="1:37" x14ac:dyDescent="0.3">
      <c r="A12" s="7" t="s">
        <v>449</v>
      </c>
      <c r="B12" s="8">
        <v>715.2</v>
      </c>
      <c r="C12" s="8">
        <v>711</v>
      </c>
      <c r="D12" s="8">
        <v>718.9</v>
      </c>
      <c r="E12" s="8">
        <v>730.9</v>
      </c>
      <c r="F12" s="8">
        <v>735.3</v>
      </c>
      <c r="G12" s="8">
        <v>742.3</v>
      </c>
      <c r="H12" s="8">
        <v>757.4</v>
      </c>
      <c r="I12" s="8">
        <v>765.5</v>
      </c>
      <c r="J12" s="8">
        <v>778.3</v>
      </c>
      <c r="K12" s="8">
        <v>796.2</v>
      </c>
      <c r="L12" s="8">
        <v>804.2</v>
      </c>
      <c r="M12" s="8">
        <v>812.4</v>
      </c>
      <c r="N12" s="8">
        <v>822.4</v>
      </c>
      <c r="O12" s="8">
        <v>845.3</v>
      </c>
      <c r="P12" s="8">
        <v>851.9</v>
      </c>
      <c r="Q12" s="8">
        <v>855.7</v>
      </c>
      <c r="R12" s="8">
        <v>856.3</v>
      </c>
      <c r="S12" s="8">
        <v>857.7</v>
      </c>
      <c r="T12" s="8">
        <v>872.2</v>
      </c>
      <c r="U12" s="8">
        <v>872.3</v>
      </c>
      <c r="V12" s="8">
        <v>874.3</v>
      </c>
      <c r="W12" s="8">
        <v>882.1</v>
      </c>
      <c r="X12" s="8">
        <v>888.3</v>
      </c>
      <c r="Y12" s="8">
        <v>898.2</v>
      </c>
      <c r="Z12" s="8">
        <v>904.4</v>
      </c>
      <c r="AA12" s="8">
        <v>915</v>
      </c>
      <c r="AB12" s="8">
        <v>924.1</v>
      </c>
      <c r="AC12" s="8">
        <v>931.9</v>
      </c>
      <c r="AD12" s="8">
        <v>943</v>
      </c>
      <c r="AE12" s="8">
        <v>950.3</v>
      </c>
      <c r="AF12" s="8">
        <v>951.8</v>
      </c>
      <c r="AG12" s="8">
        <v>950</v>
      </c>
      <c r="AH12" s="8">
        <v>949.7</v>
      </c>
      <c r="AI12" s="8">
        <v>947.6</v>
      </c>
      <c r="AJ12" s="8">
        <v>948.6</v>
      </c>
      <c r="AK12" s="8">
        <v>949.6</v>
      </c>
    </row>
    <row r="13" spans="1:37" x14ac:dyDescent="0.3">
      <c r="A13" s="11" t="s">
        <v>427</v>
      </c>
      <c r="B13" s="8">
        <v>59.5</v>
      </c>
      <c r="C13" s="8">
        <v>61</v>
      </c>
      <c r="D13" s="8">
        <v>62.4</v>
      </c>
      <c r="E13" s="8">
        <v>62.7</v>
      </c>
      <c r="F13" s="8">
        <v>63.4</v>
      </c>
      <c r="G13" s="8">
        <v>65.3</v>
      </c>
      <c r="H13" s="8">
        <v>67.099999999999994</v>
      </c>
      <c r="I13" s="8">
        <v>68.7</v>
      </c>
      <c r="J13" s="8">
        <v>71.2</v>
      </c>
      <c r="K13" s="8">
        <v>72.7</v>
      </c>
      <c r="L13" s="8">
        <v>75</v>
      </c>
      <c r="M13" s="8">
        <v>76.8</v>
      </c>
      <c r="N13" s="8">
        <v>77.5</v>
      </c>
      <c r="O13" s="8">
        <v>77.8</v>
      </c>
      <c r="P13" s="8">
        <v>79.2</v>
      </c>
      <c r="Q13" s="8">
        <v>79.7</v>
      </c>
      <c r="R13" s="8">
        <v>79.8</v>
      </c>
      <c r="S13" s="8">
        <v>79</v>
      </c>
      <c r="T13" s="8">
        <v>79.599999999999994</v>
      </c>
      <c r="U13" s="8">
        <v>79.7</v>
      </c>
      <c r="V13" s="8">
        <v>80.099999999999994</v>
      </c>
      <c r="W13" s="8">
        <v>80.8</v>
      </c>
      <c r="X13" s="8">
        <v>81.7</v>
      </c>
      <c r="Y13" s="8">
        <v>82.4</v>
      </c>
      <c r="Z13" s="8">
        <v>81.2</v>
      </c>
      <c r="AA13" s="8">
        <v>80.8</v>
      </c>
      <c r="AB13" s="8">
        <v>80.8</v>
      </c>
      <c r="AC13" s="8">
        <v>79.8</v>
      </c>
      <c r="AD13" s="8">
        <v>80.7</v>
      </c>
      <c r="AE13" s="8">
        <v>80.900000000000006</v>
      </c>
      <c r="AF13" s="8">
        <v>80.900000000000006</v>
      </c>
      <c r="AG13" s="8">
        <v>80.900000000000006</v>
      </c>
      <c r="AH13" s="8">
        <v>80.900000000000006</v>
      </c>
      <c r="AI13" s="8">
        <v>80.900000000000006</v>
      </c>
      <c r="AJ13" s="8">
        <v>80.900000000000006</v>
      </c>
      <c r="AK13" s="8">
        <v>80.900000000000006</v>
      </c>
    </row>
    <row r="14" spans="1:37" x14ac:dyDescent="0.3">
      <c r="A14" s="11" t="s">
        <v>428</v>
      </c>
      <c r="B14" s="8">
        <v>670.6</v>
      </c>
      <c r="C14" s="8">
        <v>668.9</v>
      </c>
      <c r="D14" s="8">
        <v>648.5</v>
      </c>
      <c r="E14" s="8">
        <v>624.20000000000005</v>
      </c>
      <c r="F14" s="8">
        <v>599.5</v>
      </c>
      <c r="G14" s="8">
        <v>604.70000000000005</v>
      </c>
      <c r="H14" s="8">
        <v>643.79999999999995</v>
      </c>
      <c r="I14" s="8">
        <v>684.6</v>
      </c>
      <c r="J14" s="8">
        <v>710.1</v>
      </c>
      <c r="K14" s="8">
        <v>710.1</v>
      </c>
      <c r="L14" s="8">
        <v>695.3</v>
      </c>
      <c r="M14" s="8">
        <v>633.5</v>
      </c>
      <c r="N14" s="8">
        <v>600.70000000000005</v>
      </c>
      <c r="O14" s="8">
        <v>645.70000000000005</v>
      </c>
      <c r="P14" s="8">
        <v>653.79999999999995</v>
      </c>
      <c r="Q14" s="8">
        <v>627.70000000000005</v>
      </c>
      <c r="R14" s="8">
        <v>636.29999999999995</v>
      </c>
      <c r="S14" s="8">
        <v>654.5</v>
      </c>
      <c r="T14" s="8">
        <v>656.1</v>
      </c>
      <c r="U14" s="8">
        <v>627.79999999999995</v>
      </c>
      <c r="V14" s="8">
        <v>596.29999999999995</v>
      </c>
      <c r="W14" s="8">
        <v>557.4</v>
      </c>
      <c r="X14" s="8">
        <v>515.6</v>
      </c>
      <c r="Y14" s="8">
        <v>487.4</v>
      </c>
      <c r="Z14" s="8">
        <v>498.1</v>
      </c>
      <c r="AA14" s="8">
        <v>465.4</v>
      </c>
      <c r="AB14" s="8">
        <v>454.6</v>
      </c>
      <c r="AC14" s="8">
        <v>489.8</v>
      </c>
      <c r="AD14" s="8">
        <v>523.79999999999995</v>
      </c>
      <c r="AE14" s="8">
        <v>553.6</v>
      </c>
      <c r="AF14" s="8">
        <v>556.9</v>
      </c>
      <c r="AG14" s="8">
        <v>558.6</v>
      </c>
      <c r="AH14" s="8">
        <v>552.1</v>
      </c>
      <c r="AI14" s="8">
        <v>545.79999999999995</v>
      </c>
      <c r="AJ14" s="8">
        <v>535.6</v>
      </c>
      <c r="AK14" s="8">
        <v>519.20000000000005</v>
      </c>
    </row>
    <row r="15" spans="1:37" x14ac:dyDescent="0.3">
      <c r="A15" s="9" t="s">
        <v>450</v>
      </c>
      <c r="B15" s="8">
        <v>571</v>
      </c>
      <c r="C15" s="8">
        <v>553</v>
      </c>
      <c r="D15" s="8">
        <v>524.20000000000005</v>
      </c>
      <c r="E15" s="8">
        <v>491.4</v>
      </c>
      <c r="F15" s="8">
        <v>458.7</v>
      </c>
      <c r="G15" s="8">
        <v>456.8</v>
      </c>
      <c r="H15" s="8">
        <v>491.5</v>
      </c>
      <c r="I15" s="8">
        <v>538.1</v>
      </c>
      <c r="J15" s="8">
        <v>573.20000000000005</v>
      </c>
      <c r="K15" s="8">
        <v>584.4</v>
      </c>
      <c r="L15" s="8">
        <v>579.1</v>
      </c>
      <c r="M15" s="8">
        <v>525.6</v>
      </c>
      <c r="N15" s="8">
        <v>499.8</v>
      </c>
      <c r="O15" s="8">
        <v>550.9</v>
      </c>
      <c r="P15" s="8">
        <v>564.6</v>
      </c>
      <c r="Q15" s="8">
        <v>544.6</v>
      </c>
      <c r="R15" s="8">
        <v>559.20000000000005</v>
      </c>
      <c r="S15" s="8">
        <v>583.70000000000005</v>
      </c>
      <c r="T15" s="8">
        <v>597.70000000000005</v>
      </c>
      <c r="U15" s="8">
        <v>578.70000000000005</v>
      </c>
      <c r="V15" s="8">
        <v>553.5</v>
      </c>
      <c r="W15" s="8">
        <v>526.29999999999995</v>
      </c>
      <c r="X15" s="8">
        <v>496</v>
      </c>
      <c r="Y15" s="8">
        <v>477.3</v>
      </c>
      <c r="Z15" s="8">
        <v>494.7</v>
      </c>
      <c r="AA15" s="8">
        <v>465</v>
      </c>
      <c r="AB15" s="8">
        <v>454.3</v>
      </c>
      <c r="AC15" s="8">
        <v>489.7</v>
      </c>
      <c r="AD15" s="8">
        <v>523.70000000000005</v>
      </c>
      <c r="AE15" s="8">
        <v>553.5</v>
      </c>
      <c r="AF15" s="8">
        <v>556.9</v>
      </c>
      <c r="AG15" s="8">
        <v>558.5</v>
      </c>
      <c r="AH15" s="8">
        <v>552</v>
      </c>
      <c r="AI15" s="8">
        <v>545.70000000000005</v>
      </c>
      <c r="AJ15" s="8">
        <v>535.5</v>
      </c>
      <c r="AK15" s="8">
        <v>519.1</v>
      </c>
    </row>
    <row r="16" spans="1:37" x14ac:dyDescent="0.3">
      <c r="A16" s="22" t="s">
        <v>430</v>
      </c>
      <c r="B16" s="8">
        <v>0</v>
      </c>
      <c r="C16" s="8">
        <v>0</v>
      </c>
      <c r="D16" s="8">
        <v>0</v>
      </c>
      <c r="E16" s="8">
        <v>0</v>
      </c>
      <c r="F16" s="8">
        <v>0</v>
      </c>
      <c r="G16" s="8">
        <v>0</v>
      </c>
      <c r="H16" s="8">
        <v>0</v>
      </c>
      <c r="I16" s="8">
        <v>0</v>
      </c>
      <c r="J16" s="8">
        <v>0</v>
      </c>
      <c r="K16" s="8">
        <v>0</v>
      </c>
      <c r="L16" s="8">
        <v>0</v>
      </c>
      <c r="M16" s="8">
        <v>0</v>
      </c>
      <c r="N16" s="8">
        <v>1.2</v>
      </c>
      <c r="O16" s="8">
        <v>2</v>
      </c>
      <c r="P16" s="8">
        <v>2.8</v>
      </c>
      <c r="Q16" s="8">
        <v>4</v>
      </c>
      <c r="R16" s="8">
        <v>4.2</v>
      </c>
      <c r="S16" s="8">
        <v>4.4000000000000004</v>
      </c>
      <c r="T16" s="8">
        <v>4.8</v>
      </c>
      <c r="U16" s="8">
        <v>5.7</v>
      </c>
      <c r="V16" s="8">
        <v>6.4</v>
      </c>
      <c r="W16" s="8">
        <v>7.1</v>
      </c>
      <c r="X16" s="8">
        <v>8.8000000000000007</v>
      </c>
      <c r="Y16" s="8">
        <v>9.9</v>
      </c>
      <c r="Z16" s="8">
        <v>10.6</v>
      </c>
      <c r="AA16" s="8">
        <v>10.9</v>
      </c>
      <c r="AB16" s="8">
        <v>9.6999999999999993</v>
      </c>
      <c r="AC16" s="8">
        <v>7.5</v>
      </c>
      <c r="AD16" s="8">
        <v>5.4</v>
      </c>
      <c r="AE16" s="8">
        <v>4.4000000000000004</v>
      </c>
      <c r="AF16" s="8">
        <v>4.3</v>
      </c>
      <c r="AG16" s="8">
        <v>3.2</v>
      </c>
      <c r="AH16" s="8">
        <v>2.1</v>
      </c>
      <c r="AI16" s="8">
        <v>1.4</v>
      </c>
      <c r="AJ16" s="8">
        <v>1.4</v>
      </c>
      <c r="AK16" s="8">
        <v>1.3</v>
      </c>
    </row>
    <row r="17" spans="1:37" x14ac:dyDescent="0.3">
      <c r="A17" s="9" t="s">
        <v>451</v>
      </c>
      <c r="B17" s="8">
        <v>99.6</v>
      </c>
      <c r="C17" s="8">
        <v>116</v>
      </c>
      <c r="D17" s="8">
        <v>124.2</v>
      </c>
      <c r="E17" s="8">
        <v>132.80000000000001</v>
      </c>
      <c r="F17" s="8">
        <v>140.80000000000001</v>
      </c>
      <c r="G17" s="8">
        <v>147.9</v>
      </c>
      <c r="H17" s="8">
        <v>152.30000000000001</v>
      </c>
      <c r="I17" s="8">
        <v>146.4</v>
      </c>
      <c r="J17" s="8">
        <v>136.9</v>
      </c>
      <c r="K17" s="8">
        <v>125.7</v>
      </c>
      <c r="L17" s="8">
        <v>116.2</v>
      </c>
      <c r="M17" s="8">
        <v>107.9</v>
      </c>
      <c r="N17" s="8">
        <v>100.8</v>
      </c>
      <c r="O17" s="8">
        <v>94.8</v>
      </c>
      <c r="P17" s="8">
        <v>89.2</v>
      </c>
      <c r="Q17" s="8">
        <v>83.1</v>
      </c>
      <c r="R17" s="8">
        <v>77.099999999999994</v>
      </c>
      <c r="S17" s="8">
        <v>70.8</v>
      </c>
      <c r="T17" s="8">
        <v>58.4</v>
      </c>
      <c r="U17" s="8">
        <v>49.1</v>
      </c>
      <c r="V17" s="8">
        <v>42.8</v>
      </c>
      <c r="W17" s="8">
        <v>31.1</v>
      </c>
      <c r="X17" s="8">
        <v>19.5</v>
      </c>
      <c r="Y17" s="8">
        <v>10.1</v>
      </c>
      <c r="Z17" s="8">
        <v>3.3</v>
      </c>
      <c r="AA17" s="8">
        <v>0.4</v>
      </c>
      <c r="AB17" s="8">
        <v>0.3</v>
      </c>
      <c r="AC17" s="8">
        <v>0.1</v>
      </c>
      <c r="AD17" s="8">
        <v>0.1</v>
      </c>
      <c r="AE17" s="8">
        <v>0.1</v>
      </c>
      <c r="AF17" s="8">
        <v>0.1</v>
      </c>
      <c r="AG17" s="8">
        <v>0.1</v>
      </c>
      <c r="AH17" s="8">
        <v>0.1</v>
      </c>
      <c r="AI17" s="8">
        <v>0.1</v>
      </c>
      <c r="AJ17" s="8">
        <v>0.1</v>
      </c>
      <c r="AK17" s="8">
        <v>0.1</v>
      </c>
    </row>
    <row r="18" spans="1:37" x14ac:dyDescent="0.3">
      <c r="A18" s="7" t="s">
        <v>452</v>
      </c>
      <c r="B18" s="8">
        <v>14.5</v>
      </c>
      <c r="C18" s="8">
        <v>14.4</v>
      </c>
      <c r="D18" s="8">
        <v>13.8</v>
      </c>
      <c r="E18" s="8">
        <v>13.2</v>
      </c>
      <c r="F18" s="8">
        <v>12.6</v>
      </c>
      <c r="G18" s="8">
        <v>12.5</v>
      </c>
      <c r="H18" s="8">
        <v>13.2</v>
      </c>
      <c r="I18" s="8">
        <v>13.9</v>
      </c>
      <c r="J18" s="8">
        <v>14.2</v>
      </c>
      <c r="K18" s="8">
        <v>14</v>
      </c>
      <c r="L18" s="8">
        <v>13.7</v>
      </c>
      <c r="M18" s="8">
        <v>12.4</v>
      </c>
      <c r="N18" s="8">
        <v>11.7</v>
      </c>
      <c r="O18" s="8">
        <v>12.4</v>
      </c>
      <c r="P18" s="8">
        <v>12.5</v>
      </c>
      <c r="Q18" s="8">
        <v>11.9</v>
      </c>
      <c r="R18" s="8">
        <v>12.1</v>
      </c>
      <c r="S18" s="8">
        <v>12.4</v>
      </c>
      <c r="T18" s="8">
        <v>12.4</v>
      </c>
      <c r="U18" s="8">
        <v>11.8</v>
      </c>
      <c r="V18" s="8">
        <v>11.2</v>
      </c>
      <c r="W18" s="8">
        <v>10.4</v>
      </c>
      <c r="X18" s="8">
        <v>9.5</v>
      </c>
      <c r="Y18" s="8">
        <v>8.9</v>
      </c>
      <c r="Z18" s="8">
        <v>9.1</v>
      </c>
      <c r="AA18" s="8">
        <v>8.5</v>
      </c>
      <c r="AB18" s="8">
        <v>8.1</v>
      </c>
      <c r="AC18" s="8">
        <v>8.6999999999999993</v>
      </c>
      <c r="AD18" s="8">
        <v>9.1999999999999993</v>
      </c>
      <c r="AE18" s="8">
        <v>9.6</v>
      </c>
      <c r="AF18" s="8">
        <v>9.6</v>
      </c>
      <c r="AG18" s="8">
        <v>9.6</v>
      </c>
      <c r="AH18" s="8">
        <v>9.4</v>
      </c>
      <c r="AI18" s="8">
        <v>9.3000000000000007</v>
      </c>
      <c r="AJ18" s="8">
        <v>9</v>
      </c>
      <c r="AK18" s="8">
        <v>8.6999999999999993</v>
      </c>
    </row>
    <row r="19" spans="1:37" x14ac:dyDescent="0.3">
      <c r="A19" s="7" t="s">
        <v>453</v>
      </c>
      <c r="B19" s="8">
        <v>68.8</v>
      </c>
      <c r="C19" s="8">
        <v>69.099999999999994</v>
      </c>
      <c r="D19" s="8">
        <v>69.8</v>
      </c>
      <c r="E19" s="8">
        <v>70.2</v>
      </c>
      <c r="F19" s="8">
        <v>71</v>
      </c>
      <c r="G19" s="8">
        <v>71.7</v>
      </c>
      <c r="H19" s="8">
        <v>72.099999999999994</v>
      </c>
      <c r="I19" s="8">
        <v>72.400000000000006</v>
      </c>
      <c r="J19" s="8">
        <v>73.099999999999994</v>
      </c>
      <c r="K19" s="8">
        <v>73.5</v>
      </c>
      <c r="L19" s="8">
        <v>73.400000000000006</v>
      </c>
      <c r="M19" s="8">
        <v>72.8</v>
      </c>
      <c r="N19" s="8">
        <v>72.8</v>
      </c>
      <c r="O19" s="8">
        <v>72.8</v>
      </c>
      <c r="P19" s="8">
        <v>72.8</v>
      </c>
      <c r="Q19" s="8">
        <v>72.8</v>
      </c>
      <c r="R19" s="8">
        <v>72.8</v>
      </c>
      <c r="S19" s="8">
        <v>72.8</v>
      </c>
      <c r="T19" s="8">
        <v>73</v>
      </c>
      <c r="U19" s="8">
        <v>73</v>
      </c>
      <c r="V19" s="8">
        <v>73.2</v>
      </c>
      <c r="W19" s="8">
        <v>73.5</v>
      </c>
      <c r="X19" s="8">
        <v>73.7</v>
      </c>
      <c r="Y19" s="8">
        <v>74.2</v>
      </c>
      <c r="Z19" s="8">
        <v>74.099999999999994</v>
      </c>
      <c r="AA19" s="8">
        <v>74.599999999999994</v>
      </c>
      <c r="AB19" s="8">
        <v>75.3</v>
      </c>
      <c r="AC19" s="8">
        <v>75.7</v>
      </c>
      <c r="AD19" s="8">
        <v>76</v>
      </c>
      <c r="AE19" s="8">
        <v>76.5</v>
      </c>
      <c r="AF19" s="8">
        <v>76.599999999999994</v>
      </c>
      <c r="AG19" s="8">
        <v>77</v>
      </c>
      <c r="AH19" s="8">
        <v>77.5</v>
      </c>
      <c r="AI19" s="8">
        <v>78.099999999999994</v>
      </c>
      <c r="AJ19" s="8">
        <v>78.7</v>
      </c>
      <c r="AK19" s="8">
        <v>79.2</v>
      </c>
    </row>
    <row r="20" spans="1:37" x14ac:dyDescent="0.3">
      <c r="A20" s="7" t="s">
        <v>454</v>
      </c>
      <c r="B20" s="8">
        <v>58.8</v>
      </c>
      <c r="C20" s="8">
        <v>59.1</v>
      </c>
      <c r="D20" s="8">
        <v>60.2</v>
      </c>
      <c r="E20" s="8">
        <v>60.9</v>
      </c>
      <c r="F20" s="8">
        <v>62.1</v>
      </c>
      <c r="G20" s="8">
        <v>62.7</v>
      </c>
      <c r="H20" s="8">
        <v>62.6</v>
      </c>
      <c r="I20" s="8">
        <v>62.3</v>
      </c>
      <c r="J20" s="8">
        <v>62.7</v>
      </c>
      <c r="K20" s="8">
        <v>63.2</v>
      </c>
      <c r="L20" s="8">
        <v>63.3</v>
      </c>
      <c r="M20" s="8">
        <v>63.8</v>
      </c>
      <c r="N20" s="8">
        <v>64.3</v>
      </c>
      <c r="O20" s="8">
        <v>63.8</v>
      </c>
      <c r="P20" s="8">
        <v>63.7</v>
      </c>
      <c r="Q20" s="8">
        <v>64.099999999999994</v>
      </c>
      <c r="R20" s="8">
        <v>64.099999999999994</v>
      </c>
      <c r="S20" s="8">
        <v>63.8</v>
      </c>
      <c r="T20" s="8">
        <v>64</v>
      </c>
      <c r="U20" s="8">
        <v>64.400000000000006</v>
      </c>
      <c r="V20" s="8">
        <v>65</v>
      </c>
      <c r="W20" s="8">
        <v>65.900000000000006</v>
      </c>
      <c r="X20" s="8">
        <v>66.7</v>
      </c>
      <c r="Y20" s="8">
        <v>67.599999999999994</v>
      </c>
      <c r="Z20" s="8">
        <v>67.400000000000006</v>
      </c>
      <c r="AA20" s="8">
        <v>68.3</v>
      </c>
      <c r="AB20" s="8">
        <v>69.2</v>
      </c>
      <c r="AC20" s="8">
        <v>69.2</v>
      </c>
      <c r="AD20" s="8">
        <v>69.099999999999994</v>
      </c>
      <c r="AE20" s="8">
        <v>69.099999999999994</v>
      </c>
      <c r="AF20" s="8">
        <v>69.2</v>
      </c>
      <c r="AG20" s="8">
        <v>69.599999999999994</v>
      </c>
      <c r="AH20" s="8">
        <v>70.2</v>
      </c>
      <c r="AI20" s="8">
        <v>70.8</v>
      </c>
      <c r="AJ20" s="8">
        <v>71.599999999999994</v>
      </c>
      <c r="AK20" s="8">
        <v>72.3</v>
      </c>
    </row>
    <row r="21" spans="1:37" ht="15" customHeight="1" x14ac:dyDescent="0.3">
      <c r="A21" s="34" t="s">
        <v>455</v>
      </c>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row>
    <row r="22" spans="1:37" x14ac:dyDescent="0.3">
      <c r="A22" s="16" t="s">
        <v>456</v>
      </c>
      <c r="B22" s="8">
        <v>9.6</v>
      </c>
      <c r="C22" s="8">
        <v>9.1999999999999993</v>
      </c>
      <c r="D22" s="8">
        <v>9.3000000000000007</v>
      </c>
      <c r="E22" s="8">
        <v>8.4</v>
      </c>
      <c r="F22" s="8">
        <v>6.9</v>
      </c>
      <c r="G22" s="8">
        <v>6.6</v>
      </c>
      <c r="H22" s="8">
        <v>7.5</v>
      </c>
      <c r="I22" s="8">
        <v>8.1999999999999993</v>
      </c>
      <c r="J22" s="8">
        <v>8.4</v>
      </c>
      <c r="K22" s="8">
        <v>8.5</v>
      </c>
      <c r="L22" s="8">
        <v>8.3000000000000007</v>
      </c>
      <c r="M22" s="8">
        <v>7.5</v>
      </c>
      <c r="N22" s="8">
        <v>7</v>
      </c>
      <c r="O22" s="8">
        <v>8</v>
      </c>
      <c r="P22" s="8">
        <v>8.4</v>
      </c>
      <c r="Q22" s="8">
        <v>7.2</v>
      </c>
      <c r="R22" s="8">
        <v>7.6</v>
      </c>
      <c r="S22" s="8">
        <v>8.6</v>
      </c>
      <c r="T22" s="8">
        <v>8.6999999999999993</v>
      </c>
      <c r="U22" s="8">
        <v>8.6999999999999993</v>
      </c>
      <c r="V22" s="8">
        <v>7.8</v>
      </c>
      <c r="W22" s="8">
        <v>7.1</v>
      </c>
      <c r="X22" s="8">
        <v>6</v>
      </c>
      <c r="Y22" s="8">
        <v>5.4</v>
      </c>
      <c r="Z22" s="8">
        <v>5.6</v>
      </c>
      <c r="AA22" s="8">
        <v>6.3</v>
      </c>
      <c r="AB22" s="8">
        <v>5.6</v>
      </c>
      <c r="AC22" s="8">
        <v>5.5</v>
      </c>
      <c r="AD22" s="8">
        <v>5.7</v>
      </c>
      <c r="AE22" s="8">
        <v>6.2</v>
      </c>
      <c r="AF22" s="8">
        <v>6.6</v>
      </c>
      <c r="AG22" s="8">
        <v>6.7</v>
      </c>
      <c r="AH22" s="8">
        <v>6.6</v>
      </c>
      <c r="AI22" s="8">
        <v>6.5</v>
      </c>
      <c r="AJ22" s="8">
        <v>6.3</v>
      </c>
      <c r="AK22" s="8">
        <v>6</v>
      </c>
    </row>
    <row r="23" spans="1:37" ht="15" thickBot="1" x14ac:dyDescent="0.35">
      <c r="A23" s="16" t="s">
        <v>457</v>
      </c>
      <c r="B23" s="8">
        <v>61.4</v>
      </c>
      <c r="C23" s="8">
        <v>62.3</v>
      </c>
      <c r="D23" s="8">
        <v>62.6</v>
      </c>
      <c r="E23" s="8">
        <v>64.5</v>
      </c>
      <c r="F23" s="8">
        <v>65.8</v>
      </c>
      <c r="G23" s="8">
        <v>65.3</v>
      </c>
      <c r="H23" s="8">
        <v>65</v>
      </c>
      <c r="I23" s="8">
        <v>64.7</v>
      </c>
      <c r="J23" s="8">
        <v>65.599999999999994</v>
      </c>
      <c r="K23" s="8">
        <v>66.5</v>
      </c>
      <c r="L23" s="8">
        <v>66.5</v>
      </c>
      <c r="M23" s="8">
        <v>67.7</v>
      </c>
      <c r="N23" s="8">
        <v>68</v>
      </c>
      <c r="O23" s="8">
        <v>67.099999999999994</v>
      </c>
      <c r="P23" s="8">
        <v>67.599999999999994</v>
      </c>
      <c r="Q23" s="8">
        <v>67.3</v>
      </c>
      <c r="R23" s="8">
        <v>67.2</v>
      </c>
      <c r="S23" s="8">
        <v>67.2</v>
      </c>
      <c r="T23" s="8">
        <v>67.3</v>
      </c>
      <c r="U23" s="8">
        <v>67.2</v>
      </c>
      <c r="V23" s="8">
        <v>67.7</v>
      </c>
      <c r="W23" s="8">
        <v>68.5</v>
      </c>
      <c r="X23" s="8">
        <v>69.7</v>
      </c>
      <c r="Y23" s="8">
        <v>70.5</v>
      </c>
      <c r="Z23" s="8">
        <v>70</v>
      </c>
      <c r="AA23" s="8">
        <v>70.599999999999994</v>
      </c>
      <c r="AB23" s="8">
        <v>71.900000000000006</v>
      </c>
      <c r="AC23" s="8">
        <v>72.099999999999994</v>
      </c>
      <c r="AD23" s="8">
        <v>72.3</v>
      </c>
      <c r="AE23" s="8">
        <v>72.8</v>
      </c>
      <c r="AF23" s="8">
        <v>72.8</v>
      </c>
      <c r="AG23" s="8">
        <v>73</v>
      </c>
      <c r="AH23" s="8">
        <v>73.400000000000006</v>
      </c>
      <c r="AI23" s="8">
        <v>73.900000000000006</v>
      </c>
      <c r="AJ23" s="8">
        <v>74.400000000000006</v>
      </c>
      <c r="AK23" s="8">
        <v>74.8</v>
      </c>
    </row>
    <row r="24" spans="1:37" ht="15" customHeight="1" x14ac:dyDescent="0.3">
      <c r="A24" s="30" t="s">
        <v>458</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row>
    <row r="25" spans="1:37" ht="15" customHeight="1" x14ac:dyDescent="0.3">
      <c r="A25" s="32" t="s">
        <v>459</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row>
    <row r="26" spans="1:37" x14ac:dyDescent="0.3">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sheetData>
  <mergeCells count="5">
    <mergeCell ref="A1:AK1"/>
    <mergeCell ref="A2:AK2"/>
    <mergeCell ref="A21:AK21"/>
    <mergeCell ref="A24:AK24"/>
    <mergeCell ref="A25:AK2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A1E94-0773-48C8-A1DE-6FB0F2E3130D}">
  <dimension ref="A1:AK50"/>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7.5546875" style="1" bestFit="1" customWidth="1"/>
    <col min="38" max="16384" width="9.109375" style="1"/>
  </cols>
  <sheetData>
    <row r="1" spans="1:37" ht="15" customHeight="1" x14ac:dyDescent="0.3">
      <c r="A1" s="28" t="s">
        <v>396</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397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398</v>
      </c>
      <c r="B4" s="6">
        <v>10156.5</v>
      </c>
      <c r="C4" s="6">
        <v>10181.200000000001</v>
      </c>
      <c r="D4" s="6">
        <v>10203</v>
      </c>
      <c r="E4" s="6">
        <v>10226.4</v>
      </c>
      <c r="F4" s="6">
        <v>10251.200000000001</v>
      </c>
      <c r="G4" s="6">
        <v>10286.6</v>
      </c>
      <c r="H4" s="6">
        <v>10332.799999999999</v>
      </c>
      <c r="I4" s="6">
        <v>10376.1</v>
      </c>
      <c r="J4" s="6">
        <v>10421.1</v>
      </c>
      <c r="K4" s="6">
        <v>10478.6</v>
      </c>
      <c r="L4" s="6">
        <v>10548</v>
      </c>
      <c r="M4" s="6">
        <v>10624.8</v>
      </c>
      <c r="N4" s="6">
        <v>10709.1</v>
      </c>
      <c r="O4" s="6">
        <v>10796.5</v>
      </c>
      <c r="P4" s="6">
        <v>10895.6</v>
      </c>
      <c r="Q4" s="6">
        <v>10993.6</v>
      </c>
      <c r="R4" s="6">
        <v>11067.8</v>
      </c>
      <c r="S4" s="6">
        <v>11125</v>
      </c>
      <c r="T4" s="6">
        <v>11179.8</v>
      </c>
      <c r="U4" s="6">
        <v>11238.5</v>
      </c>
      <c r="V4" s="6">
        <v>11295</v>
      </c>
      <c r="W4" s="6">
        <v>11349.1</v>
      </c>
      <c r="X4" s="6">
        <v>11403.7</v>
      </c>
      <c r="Y4" s="6">
        <v>11462</v>
      </c>
      <c r="Z4" s="6">
        <v>11506.9</v>
      </c>
      <c r="AA4" s="6">
        <v>11552.6</v>
      </c>
      <c r="AB4" s="6">
        <v>11640.8</v>
      </c>
      <c r="AC4" s="6">
        <v>11730.6</v>
      </c>
      <c r="AD4" s="6">
        <v>11794.6</v>
      </c>
      <c r="AE4" s="6">
        <v>11850.4</v>
      </c>
      <c r="AF4" s="6">
        <v>11896</v>
      </c>
      <c r="AG4" s="6">
        <v>11935.7</v>
      </c>
      <c r="AH4" s="6">
        <v>11971.9</v>
      </c>
      <c r="AI4" s="6">
        <v>12005.3</v>
      </c>
      <c r="AJ4" s="6">
        <v>12036.5</v>
      </c>
      <c r="AK4" s="6">
        <v>12066.2</v>
      </c>
    </row>
    <row r="5" spans="1:37" x14ac:dyDescent="0.3">
      <c r="A5" s="3" t="s">
        <v>399</v>
      </c>
      <c r="B5" s="8">
        <v>6703.1</v>
      </c>
      <c r="C5" s="8">
        <v>6706.1</v>
      </c>
      <c r="D5" s="8">
        <v>6708.7</v>
      </c>
      <c r="E5" s="8">
        <v>6715.1</v>
      </c>
      <c r="F5" s="8">
        <v>6723.9</v>
      </c>
      <c r="G5" s="8">
        <v>6743.3</v>
      </c>
      <c r="H5" s="8">
        <v>6774.4</v>
      </c>
      <c r="I5" s="8">
        <v>6804.8</v>
      </c>
      <c r="J5" s="8">
        <v>6835.2</v>
      </c>
      <c r="K5" s="8">
        <v>6878.9</v>
      </c>
      <c r="L5" s="8">
        <v>6941.5</v>
      </c>
      <c r="M5" s="8">
        <v>7010.6</v>
      </c>
      <c r="N5" s="8">
        <v>7072.9</v>
      </c>
      <c r="O5" s="8">
        <v>7124.5</v>
      </c>
      <c r="P5" s="8">
        <v>7179.7</v>
      </c>
      <c r="Q5" s="8">
        <v>7225</v>
      </c>
      <c r="R5" s="8">
        <v>7246.9</v>
      </c>
      <c r="S5" s="8">
        <v>7259</v>
      </c>
      <c r="T5" s="8">
        <v>7268.2</v>
      </c>
      <c r="U5" s="8">
        <v>7283.8</v>
      </c>
      <c r="V5" s="8">
        <v>7300.1</v>
      </c>
      <c r="W5" s="8">
        <v>7312.3</v>
      </c>
      <c r="X5" s="8">
        <v>7325.4</v>
      </c>
      <c r="Y5" s="8">
        <v>7342.7</v>
      </c>
      <c r="Z5" s="8">
        <v>7358</v>
      </c>
      <c r="AA5" s="8">
        <v>7376.4</v>
      </c>
      <c r="AB5" s="8">
        <v>7422.2</v>
      </c>
      <c r="AC5" s="8">
        <v>7472.9</v>
      </c>
      <c r="AD5" s="8">
        <v>7505.9</v>
      </c>
      <c r="AE5" s="8">
        <v>7530.4</v>
      </c>
      <c r="AF5" s="8">
        <v>7544.9</v>
      </c>
      <c r="AG5" s="8">
        <v>7553.2</v>
      </c>
      <c r="AH5" s="8">
        <v>7555.9</v>
      </c>
      <c r="AI5" s="8">
        <v>7552.6</v>
      </c>
      <c r="AJ5" s="8">
        <v>7547.2</v>
      </c>
      <c r="AK5" s="8">
        <v>7543.4</v>
      </c>
    </row>
    <row r="6" spans="1:37" x14ac:dyDescent="0.3">
      <c r="A6" s="11" t="s">
        <v>400</v>
      </c>
      <c r="B6" s="8">
        <v>5547.4</v>
      </c>
      <c r="C6" s="8">
        <v>5545.9</v>
      </c>
      <c r="D6" s="8">
        <v>5518.3</v>
      </c>
      <c r="E6" s="8">
        <v>5510.8</v>
      </c>
      <c r="F6" s="8">
        <v>5478.6</v>
      </c>
      <c r="G6" s="8">
        <v>5450.5</v>
      </c>
      <c r="H6" s="8">
        <v>5446.4</v>
      </c>
      <c r="I6" s="8">
        <v>5451.3</v>
      </c>
      <c r="J6" s="8">
        <v>5427.1</v>
      </c>
      <c r="K6" s="8">
        <v>5422.7</v>
      </c>
      <c r="L6" s="8">
        <v>5456.3</v>
      </c>
      <c r="M6" s="8">
        <v>5521.2</v>
      </c>
      <c r="N6" s="8">
        <v>5559.4</v>
      </c>
      <c r="O6" s="8">
        <v>5607.3</v>
      </c>
      <c r="P6" s="8">
        <v>5665.8</v>
      </c>
      <c r="Q6" s="8">
        <v>5734.1</v>
      </c>
      <c r="R6" s="8">
        <v>5788.5</v>
      </c>
      <c r="S6" s="8">
        <v>5838.9</v>
      </c>
      <c r="T6" s="8">
        <v>5875.1</v>
      </c>
      <c r="U6" s="8">
        <v>5923.5</v>
      </c>
      <c r="V6" s="8">
        <v>5953.5</v>
      </c>
      <c r="W6" s="8">
        <v>5976.1</v>
      </c>
      <c r="X6" s="8">
        <v>6002.1</v>
      </c>
      <c r="Y6" s="8">
        <v>6012</v>
      </c>
      <c r="Z6" s="8">
        <v>6052.7</v>
      </c>
      <c r="AA6" s="8">
        <v>6049.2</v>
      </c>
      <c r="AB6" s="8">
        <v>6052.6</v>
      </c>
      <c r="AC6" s="8">
        <v>6070.1</v>
      </c>
      <c r="AD6" s="8">
        <v>6086.5</v>
      </c>
      <c r="AE6" s="8">
        <v>6093.4</v>
      </c>
      <c r="AF6" s="8">
        <v>6115.8</v>
      </c>
      <c r="AG6" s="8">
        <v>6117.8</v>
      </c>
      <c r="AH6" s="8">
        <v>6116</v>
      </c>
      <c r="AI6" s="8">
        <v>6108.6</v>
      </c>
      <c r="AJ6" s="8">
        <v>6098.5</v>
      </c>
      <c r="AK6" s="8">
        <v>6094.4</v>
      </c>
    </row>
    <row r="7" spans="1:37" x14ac:dyDescent="0.3">
      <c r="A7" s="2" t="s">
        <v>401</v>
      </c>
      <c r="B7" s="8">
        <v>183.4</v>
      </c>
      <c r="C7" s="8">
        <v>179.8</v>
      </c>
      <c r="D7" s="8">
        <v>173.9</v>
      </c>
      <c r="E7" s="8">
        <v>173</v>
      </c>
      <c r="F7" s="8">
        <v>174.2</v>
      </c>
      <c r="G7" s="8">
        <v>171.9</v>
      </c>
      <c r="H7" s="8">
        <v>170.1</v>
      </c>
      <c r="I7" s="8">
        <v>171.6</v>
      </c>
      <c r="J7" s="8">
        <v>176.1</v>
      </c>
      <c r="K7" s="8">
        <v>180.4</v>
      </c>
      <c r="L7" s="8">
        <v>186.5</v>
      </c>
      <c r="M7" s="8">
        <v>191.1</v>
      </c>
      <c r="N7" s="8">
        <v>189.8</v>
      </c>
      <c r="O7" s="8">
        <v>189.9</v>
      </c>
      <c r="P7" s="8">
        <v>192.5</v>
      </c>
      <c r="Q7" s="8">
        <v>188.2</v>
      </c>
      <c r="R7" s="8">
        <v>182.6</v>
      </c>
      <c r="S7" s="8">
        <v>179.9</v>
      </c>
      <c r="T7" s="8">
        <v>176.7</v>
      </c>
      <c r="U7" s="8">
        <v>163.5</v>
      </c>
      <c r="V7" s="8">
        <v>149.1</v>
      </c>
      <c r="W7" s="8">
        <v>136.80000000000001</v>
      </c>
      <c r="X7" s="8">
        <v>125.7</v>
      </c>
      <c r="Y7" s="8">
        <v>108.1</v>
      </c>
      <c r="Z7" s="8">
        <v>87.9</v>
      </c>
      <c r="AA7" s="8">
        <v>75.7</v>
      </c>
      <c r="AB7" s="8">
        <v>66.400000000000006</v>
      </c>
      <c r="AC7" s="8">
        <v>59.6</v>
      </c>
      <c r="AD7" s="8">
        <v>58.4</v>
      </c>
      <c r="AE7" s="8">
        <v>59.7</v>
      </c>
      <c r="AF7" s="8">
        <v>58.1</v>
      </c>
      <c r="AG7" s="8">
        <v>52.5</v>
      </c>
      <c r="AH7" s="8">
        <v>49.3</v>
      </c>
      <c r="AI7" s="8">
        <v>48.5</v>
      </c>
      <c r="AJ7" s="8">
        <v>48.4</v>
      </c>
      <c r="AK7" s="8">
        <v>48.4</v>
      </c>
    </row>
    <row r="8" spans="1:37" x14ac:dyDescent="0.3">
      <c r="A8" s="14" t="s">
        <v>402</v>
      </c>
      <c r="B8" s="8">
        <v>5.9</v>
      </c>
      <c r="C8" s="8">
        <v>7.3</v>
      </c>
      <c r="D8" s="8">
        <v>8.3000000000000007</v>
      </c>
      <c r="E8" s="8">
        <v>9</v>
      </c>
      <c r="F8" s="8">
        <v>9.4</v>
      </c>
      <c r="G8" s="8">
        <v>9.1999999999999993</v>
      </c>
      <c r="H8" s="8">
        <v>8</v>
      </c>
      <c r="I8" s="8">
        <v>6.7</v>
      </c>
      <c r="J8" s="8">
        <v>5.8</v>
      </c>
      <c r="K8" s="8">
        <v>7</v>
      </c>
      <c r="L8" s="8">
        <v>9.1999999999999993</v>
      </c>
      <c r="M8" s="8">
        <v>10.8</v>
      </c>
      <c r="N8" s="8">
        <v>11.1</v>
      </c>
      <c r="O8" s="8">
        <v>10.7</v>
      </c>
      <c r="P8" s="8">
        <v>9.9</v>
      </c>
      <c r="Q8" s="8">
        <v>9</v>
      </c>
      <c r="R8" s="8">
        <v>8.3000000000000007</v>
      </c>
      <c r="S8" s="8">
        <v>7.6</v>
      </c>
      <c r="T8" s="8">
        <v>6.9</v>
      </c>
      <c r="U8" s="8">
        <v>2</v>
      </c>
      <c r="V8" s="8">
        <v>0.7</v>
      </c>
      <c r="W8" s="8">
        <v>0.8</v>
      </c>
      <c r="X8" s="8">
        <v>0.8</v>
      </c>
      <c r="Y8" s="8">
        <v>0.8</v>
      </c>
      <c r="Z8" s="8">
        <v>0.6</v>
      </c>
      <c r="AA8" s="8">
        <v>0.4</v>
      </c>
      <c r="AB8" s="8">
        <v>0.4</v>
      </c>
      <c r="AC8" s="8">
        <v>0.3</v>
      </c>
      <c r="AD8" s="8">
        <v>0.3</v>
      </c>
      <c r="AE8" s="8">
        <v>0.3</v>
      </c>
      <c r="AF8" s="8">
        <v>1</v>
      </c>
      <c r="AG8" s="8">
        <v>0.7</v>
      </c>
      <c r="AH8" s="8">
        <v>0.5</v>
      </c>
      <c r="AI8" s="8">
        <v>0.5</v>
      </c>
      <c r="AJ8" s="8">
        <v>0.5</v>
      </c>
      <c r="AK8" s="8">
        <v>0.5</v>
      </c>
    </row>
    <row r="9" spans="1:37" x14ac:dyDescent="0.3">
      <c r="A9" s="14" t="s">
        <v>403</v>
      </c>
      <c r="B9" s="8">
        <v>10.5</v>
      </c>
      <c r="C9" s="8">
        <v>11.1</v>
      </c>
      <c r="D9" s="8">
        <v>10.199999999999999</v>
      </c>
      <c r="E9" s="8">
        <v>10.3</v>
      </c>
      <c r="F9" s="8">
        <v>12.9</v>
      </c>
      <c r="G9" s="8">
        <v>12.7</v>
      </c>
      <c r="H9" s="8">
        <v>14.4</v>
      </c>
      <c r="I9" s="8">
        <v>15.4</v>
      </c>
      <c r="J9" s="8">
        <v>16.7</v>
      </c>
      <c r="K9" s="8">
        <v>19.2</v>
      </c>
      <c r="L9" s="8">
        <v>20.2</v>
      </c>
      <c r="M9" s="8">
        <v>21.4</v>
      </c>
      <c r="N9" s="8">
        <v>20.8</v>
      </c>
      <c r="O9" s="8">
        <v>20.3</v>
      </c>
      <c r="P9" s="8">
        <v>21.6</v>
      </c>
      <c r="Q9" s="8">
        <v>21.6</v>
      </c>
      <c r="R9" s="8">
        <v>22.1</v>
      </c>
      <c r="S9" s="8">
        <v>23.4</v>
      </c>
      <c r="T9" s="8">
        <v>24.8</v>
      </c>
      <c r="U9" s="8">
        <v>23.9</v>
      </c>
      <c r="V9" s="8">
        <v>21.3</v>
      </c>
      <c r="W9" s="8">
        <v>21.8</v>
      </c>
      <c r="X9" s="8">
        <v>20.8</v>
      </c>
      <c r="Y9" s="8">
        <v>19.2</v>
      </c>
      <c r="Z9" s="8">
        <v>16.7</v>
      </c>
      <c r="AA9" s="8">
        <v>15.6</v>
      </c>
      <c r="AB9" s="8">
        <v>14.9</v>
      </c>
      <c r="AC9" s="8">
        <v>14.8</v>
      </c>
      <c r="AD9" s="8">
        <v>16.100000000000001</v>
      </c>
      <c r="AE9" s="8">
        <v>16.399999999999999</v>
      </c>
      <c r="AF9" s="8">
        <v>13.8</v>
      </c>
      <c r="AG9" s="8">
        <v>11.5</v>
      </c>
      <c r="AH9" s="8">
        <v>11</v>
      </c>
      <c r="AI9" s="8">
        <v>10.7</v>
      </c>
      <c r="AJ9" s="8">
        <v>10.5</v>
      </c>
      <c r="AK9" s="8">
        <v>10.6</v>
      </c>
    </row>
    <row r="10" spans="1:37" x14ac:dyDescent="0.3">
      <c r="A10" s="14" t="s">
        <v>404</v>
      </c>
      <c r="B10" s="8" t="s">
        <v>405</v>
      </c>
      <c r="C10" s="8">
        <v>20.3</v>
      </c>
      <c r="D10" s="8">
        <v>21.8</v>
      </c>
      <c r="E10" s="8">
        <v>24.9</v>
      </c>
      <c r="F10" s="8">
        <v>27.7</v>
      </c>
      <c r="G10" s="8">
        <v>29.9</v>
      </c>
      <c r="H10" s="8">
        <v>29.7</v>
      </c>
      <c r="I10" s="8">
        <v>28.4</v>
      </c>
      <c r="J10" s="8">
        <v>28.6</v>
      </c>
      <c r="K10" s="8">
        <v>29</v>
      </c>
      <c r="L10" s="8">
        <v>28.8</v>
      </c>
      <c r="M10" s="8">
        <v>28.1</v>
      </c>
      <c r="N10" s="8">
        <v>27</v>
      </c>
      <c r="O10" s="8">
        <v>25.4</v>
      </c>
      <c r="P10" s="8">
        <v>24.7</v>
      </c>
      <c r="Q10" s="8">
        <v>24.3</v>
      </c>
      <c r="R10" s="8">
        <v>23.3</v>
      </c>
      <c r="S10" s="8">
        <v>22.8</v>
      </c>
      <c r="T10" s="8">
        <v>22.6</v>
      </c>
      <c r="U10" s="8">
        <v>21.7</v>
      </c>
      <c r="V10" s="8">
        <v>20.2</v>
      </c>
      <c r="W10" s="8">
        <v>19.600000000000001</v>
      </c>
      <c r="X10" s="8">
        <v>19.2</v>
      </c>
      <c r="Y10" s="8">
        <v>19.8</v>
      </c>
      <c r="Z10" s="8">
        <v>18.600000000000001</v>
      </c>
      <c r="AA10" s="8">
        <v>18.5</v>
      </c>
      <c r="AB10" s="8">
        <v>20.5</v>
      </c>
      <c r="AC10" s="8">
        <v>20.9</v>
      </c>
      <c r="AD10" s="8">
        <v>21.1</v>
      </c>
      <c r="AE10" s="8">
        <v>21.9</v>
      </c>
      <c r="AF10" s="8">
        <v>22.5</v>
      </c>
      <c r="AG10" s="8">
        <v>22.7</v>
      </c>
      <c r="AH10" s="8">
        <v>22.8</v>
      </c>
      <c r="AI10" s="8">
        <v>22.9</v>
      </c>
      <c r="AJ10" s="8">
        <v>22.9</v>
      </c>
      <c r="AK10" s="8">
        <v>22.9</v>
      </c>
    </row>
    <row r="11" spans="1:37" x14ac:dyDescent="0.3">
      <c r="A11" s="14" t="s">
        <v>406</v>
      </c>
      <c r="B11" s="8"/>
      <c r="C11" s="8"/>
      <c r="D11" s="8"/>
      <c r="E11" s="8"/>
      <c r="F11" s="8"/>
      <c r="G11" s="8">
        <v>23.4</v>
      </c>
      <c r="H11" s="8">
        <v>16.3</v>
      </c>
      <c r="I11" s="8">
        <v>8.5</v>
      </c>
      <c r="J11" s="8">
        <v>8.4</v>
      </c>
      <c r="K11" s="8">
        <v>9</v>
      </c>
      <c r="L11" s="8">
        <v>8.9</v>
      </c>
      <c r="M11" s="8">
        <v>8.4</v>
      </c>
      <c r="N11" s="8">
        <v>8</v>
      </c>
      <c r="O11" s="8">
        <v>7</v>
      </c>
      <c r="P11" s="8">
        <v>6.3</v>
      </c>
      <c r="Q11" s="8">
        <v>6.3</v>
      </c>
      <c r="R11" s="8">
        <v>6</v>
      </c>
      <c r="S11" s="8">
        <v>5.2</v>
      </c>
      <c r="T11" s="8">
        <v>4.8</v>
      </c>
      <c r="U11" s="8">
        <v>4.5999999999999996</v>
      </c>
      <c r="V11" s="8">
        <v>4.4000000000000004</v>
      </c>
      <c r="W11" s="8">
        <v>3.4</v>
      </c>
      <c r="X11" s="8">
        <v>2.2000000000000002</v>
      </c>
      <c r="Y11" s="8">
        <v>2.2000000000000002</v>
      </c>
      <c r="Z11" s="8">
        <v>2</v>
      </c>
      <c r="AA11" s="8">
        <v>1.9</v>
      </c>
      <c r="AB11" s="8">
        <v>2.2000000000000002</v>
      </c>
      <c r="AC11" s="8">
        <v>2.2000000000000002</v>
      </c>
      <c r="AD11" s="8">
        <v>2.1</v>
      </c>
      <c r="AE11" s="8">
        <v>2</v>
      </c>
      <c r="AF11" s="8">
        <v>2</v>
      </c>
      <c r="AG11" s="8">
        <v>2</v>
      </c>
      <c r="AH11" s="8">
        <v>2</v>
      </c>
      <c r="AI11" s="8">
        <v>2</v>
      </c>
      <c r="AJ11" s="8">
        <v>2</v>
      </c>
      <c r="AK11" s="8">
        <v>2</v>
      </c>
    </row>
    <row r="12" spans="1:37" x14ac:dyDescent="0.3">
      <c r="A12" s="14" t="s">
        <v>407</v>
      </c>
      <c r="B12" s="8"/>
      <c r="C12" s="8"/>
      <c r="D12" s="8"/>
      <c r="E12" s="8"/>
      <c r="F12" s="8"/>
      <c r="G12" s="8">
        <v>6.5</v>
      </c>
      <c r="H12" s="8">
        <v>6.8</v>
      </c>
      <c r="I12" s="8">
        <v>7</v>
      </c>
      <c r="J12" s="8">
        <v>7</v>
      </c>
      <c r="K12" s="8">
        <v>7.1</v>
      </c>
      <c r="L12" s="8">
        <v>7.7</v>
      </c>
      <c r="M12" s="8">
        <v>8.1999999999999993</v>
      </c>
      <c r="N12" s="8">
        <v>8.6999999999999993</v>
      </c>
      <c r="O12" s="8">
        <v>9.3000000000000007</v>
      </c>
      <c r="P12" s="8">
        <v>10</v>
      </c>
      <c r="Q12" s="8">
        <v>10.199999999999999</v>
      </c>
      <c r="R12" s="8">
        <v>10.4</v>
      </c>
      <c r="S12" s="8">
        <v>11.6</v>
      </c>
      <c r="T12" s="8">
        <v>11.9</v>
      </c>
      <c r="U12" s="8">
        <v>11.8</v>
      </c>
      <c r="V12" s="8">
        <v>12.1</v>
      </c>
      <c r="W12" s="8">
        <v>12.6</v>
      </c>
      <c r="X12" s="8">
        <v>12.9</v>
      </c>
      <c r="Y12" s="8">
        <v>13.4</v>
      </c>
      <c r="Z12" s="8">
        <v>12.5</v>
      </c>
      <c r="AA12" s="8">
        <v>12.6</v>
      </c>
      <c r="AB12" s="8">
        <v>14.5</v>
      </c>
      <c r="AC12" s="8">
        <v>15.1</v>
      </c>
      <c r="AD12" s="8">
        <v>15.8</v>
      </c>
      <c r="AE12" s="8">
        <v>17.100000000000001</v>
      </c>
      <c r="AF12" s="8">
        <v>17.7</v>
      </c>
      <c r="AG12" s="8">
        <v>17.899999999999999</v>
      </c>
      <c r="AH12" s="8">
        <v>18</v>
      </c>
      <c r="AI12" s="8">
        <v>18.100000000000001</v>
      </c>
      <c r="AJ12" s="8">
        <v>18.100000000000001</v>
      </c>
      <c r="AK12" s="8">
        <v>18.100000000000001</v>
      </c>
    </row>
    <row r="13" spans="1:37" x14ac:dyDescent="0.3">
      <c r="A13" s="14" t="s">
        <v>408</v>
      </c>
      <c r="B13" s="8">
        <v>0</v>
      </c>
      <c r="C13" s="8">
        <v>0</v>
      </c>
      <c r="D13" s="8">
        <v>0</v>
      </c>
      <c r="E13" s="8">
        <v>0</v>
      </c>
      <c r="F13" s="8">
        <v>0</v>
      </c>
      <c r="G13" s="8">
        <v>0</v>
      </c>
      <c r="H13" s="8">
        <v>6.6</v>
      </c>
      <c r="I13" s="8">
        <v>12.9</v>
      </c>
      <c r="J13" s="8">
        <v>13.2</v>
      </c>
      <c r="K13" s="8">
        <v>12.9</v>
      </c>
      <c r="L13" s="8">
        <v>12.3</v>
      </c>
      <c r="M13" s="8">
        <v>11.5</v>
      </c>
      <c r="N13" s="8">
        <v>10.3</v>
      </c>
      <c r="O13" s="8">
        <v>9</v>
      </c>
      <c r="P13" s="8">
        <v>8.4</v>
      </c>
      <c r="Q13" s="8">
        <v>7.8</v>
      </c>
      <c r="R13" s="8">
        <v>6.9</v>
      </c>
      <c r="S13" s="8">
        <v>6</v>
      </c>
      <c r="T13" s="8">
        <v>5.8</v>
      </c>
      <c r="U13" s="8">
        <v>5.3</v>
      </c>
      <c r="V13" s="8">
        <v>3.7</v>
      </c>
      <c r="W13" s="8">
        <v>3.6</v>
      </c>
      <c r="X13" s="8">
        <v>4.0999999999999996</v>
      </c>
      <c r="Y13" s="8">
        <v>4.2</v>
      </c>
      <c r="Z13" s="8">
        <v>4.0999999999999996</v>
      </c>
      <c r="AA13" s="8">
        <v>4</v>
      </c>
      <c r="AB13" s="8">
        <v>3.9</v>
      </c>
      <c r="AC13" s="8">
        <v>3.6</v>
      </c>
      <c r="AD13" s="8">
        <v>3.1</v>
      </c>
      <c r="AE13" s="8">
        <v>2.8</v>
      </c>
      <c r="AF13" s="8">
        <v>2.8</v>
      </c>
      <c r="AG13" s="8">
        <v>2.8</v>
      </c>
      <c r="AH13" s="8">
        <v>2.8</v>
      </c>
      <c r="AI13" s="8">
        <v>2.8</v>
      </c>
      <c r="AJ13" s="8">
        <v>2.8</v>
      </c>
      <c r="AK13" s="8">
        <v>2.8</v>
      </c>
    </row>
    <row r="14" spans="1:37" x14ac:dyDescent="0.3">
      <c r="A14" s="14" t="s">
        <v>409</v>
      </c>
      <c r="B14" s="8" t="s">
        <v>410</v>
      </c>
      <c r="C14" s="8">
        <v>130.69999999999999</v>
      </c>
      <c r="D14" s="8">
        <v>123.7</v>
      </c>
      <c r="E14" s="8">
        <v>118.6</v>
      </c>
      <c r="F14" s="8">
        <v>114.5</v>
      </c>
      <c r="G14" s="8">
        <v>110</v>
      </c>
      <c r="H14" s="8">
        <v>106.5</v>
      </c>
      <c r="I14" s="8">
        <v>107.9</v>
      </c>
      <c r="J14" s="8">
        <v>109.9</v>
      </c>
      <c r="K14" s="8">
        <v>109</v>
      </c>
      <c r="L14" s="8">
        <v>111.1</v>
      </c>
      <c r="M14" s="8">
        <v>113.6</v>
      </c>
      <c r="N14" s="8">
        <v>114.2</v>
      </c>
      <c r="O14" s="8">
        <v>115.6</v>
      </c>
      <c r="P14" s="8">
        <v>117.5</v>
      </c>
      <c r="Q14" s="8">
        <v>115.2</v>
      </c>
      <c r="R14" s="8">
        <v>110.8</v>
      </c>
      <c r="S14" s="8">
        <v>106.9</v>
      </c>
      <c r="T14" s="8">
        <v>102.3</v>
      </c>
      <c r="U14" s="8">
        <v>96.2</v>
      </c>
      <c r="V14" s="8">
        <v>88.1</v>
      </c>
      <c r="W14" s="8">
        <v>76.900000000000006</v>
      </c>
      <c r="X14" s="8">
        <v>65.7</v>
      </c>
      <c r="Y14" s="8">
        <v>47.1</v>
      </c>
      <c r="Z14" s="8">
        <v>32</v>
      </c>
      <c r="AA14" s="8">
        <v>21.4</v>
      </c>
      <c r="AB14" s="8">
        <v>13.5</v>
      </c>
      <c r="AC14" s="8">
        <v>8</v>
      </c>
      <c r="AD14" s="8">
        <v>5</v>
      </c>
      <c r="AE14" s="8">
        <v>4.0999999999999996</v>
      </c>
      <c r="AF14" s="8">
        <v>3.8</v>
      </c>
      <c r="AG14" s="8">
        <v>2.6</v>
      </c>
      <c r="AH14" s="8">
        <v>1.7</v>
      </c>
      <c r="AI14" s="8">
        <v>1</v>
      </c>
      <c r="AJ14" s="8">
        <v>1</v>
      </c>
      <c r="AK14" s="8">
        <v>0.9</v>
      </c>
    </row>
    <row r="15" spans="1:37" x14ac:dyDescent="0.3">
      <c r="A15" s="14" t="s">
        <v>411</v>
      </c>
      <c r="B15" s="8">
        <v>11.4</v>
      </c>
      <c r="C15" s="8">
        <v>10.3</v>
      </c>
      <c r="D15" s="8">
        <v>9.9</v>
      </c>
      <c r="E15" s="8">
        <v>10.1</v>
      </c>
      <c r="F15" s="8">
        <v>9.8000000000000007</v>
      </c>
      <c r="G15" s="8">
        <v>10.199999999999999</v>
      </c>
      <c r="H15" s="8">
        <v>11.6</v>
      </c>
      <c r="I15" s="8">
        <v>13.2</v>
      </c>
      <c r="J15" s="8">
        <v>15.1</v>
      </c>
      <c r="K15" s="8">
        <v>16.2</v>
      </c>
      <c r="L15" s="8">
        <v>17.2</v>
      </c>
      <c r="M15" s="8">
        <v>17.2</v>
      </c>
      <c r="N15" s="8">
        <v>16.8</v>
      </c>
      <c r="O15" s="8">
        <v>18</v>
      </c>
      <c r="P15" s="8">
        <v>18.899999999999999</v>
      </c>
      <c r="Q15" s="8">
        <v>18.100000000000001</v>
      </c>
      <c r="R15" s="8">
        <v>18.100000000000001</v>
      </c>
      <c r="S15" s="8">
        <v>19.3</v>
      </c>
      <c r="T15" s="8">
        <v>20.100000000000001</v>
      </c>
      <c r="U15" s="8">
        <v>19.7</v>
      </c>
      <c r="V15" s="8">
        <v>18.8</v>
      </c>
      <c r="W15" s="8">
        <v>17.7</v>
      </c>
      <c r="X15" s="8">
        <v>19.2</v>
      </c>
      <c r="Y15" s="8">
        <v>21.2</v>
      </c>
      <c r="Z15" s="8">
        <v>20</v>
      </c>
      <c r="AA15" s="8">
        <v>19.7</v>
      </c>
      <c r="AB15" s="8">
        <v>17.100000000000001</v>
      </c>
      <c r="AC15" s="8">
        <v>15.6</v>
      </c>
      <c r="AD15" s="8">
        <v>16</v>
      </c>
      <c r="AE15" s="8">
        <v>17</v>
      </c>
      <c r="AF15" s="8">
        <v>17</v>
      </c>
      <c r="AG15" s="8">
        <v>15</v>
      </c>
      <c r="AH15" s="8">
        <v>13.4</v>
      </c>
      <c r="AI15" s="8">
        <v>13.4</v>
      </c>
      <c r="AJ15" s="8">
        <v>13.5</v>
      </c>
      <c r="AK15" s="8">
        <v>13.5</v>
      </c>
    </row>
    <row r="16" spans="1:37" x14ac:dyDescent="0.3">
      <c r="A16" s="11" t="s">
        <v>412</v>
      </c>
      <c r="B16" s="8">
        <v>4609.1000000000004</v>
      </c>
      <c r="C16" s="8">
        <v>4635.3</v>
      </c>
      <c r="D16" s="8">
        <v>4684.8</v>
      </c>
      <c r="E16" s="8">
        <v>4715.6000000000004</v>
      </c>
      <c r="F16" s="8">
        <v>4772.6000000000004</v>
      </c>
      <c r="G16" s="8">
        <v>4836</v>
      </c>
      <c r="H16" s="8">
        <v>4886.3999999999996</v>
      </c>
      <c r="I16" s="8">
        <v>4924.8</v>
      </c>
      <c r="J16" s="8">
        <v>4994</v>
      </c>
      <c r="K16" s="8">
        <v>5055.8999999999996</v>
      </c>
      <c r="L16" s="8">
        <v>5091.6000000000004</v>
      </c>
      <c r="M16" s="8">
        <v>5103.7</v>
      </c>
      <c r="N16" s="8">
        <v>5149.7</v>
      </c>
      <c r="O16" s="8">
        <v>5189.2</v>
      </c>
      <c r="P16" s="8">
        <v>5229.8</v>
      </c>
      <c r="Q16" s="8">
        <v>5259.5</v>
      </c>
      <c r="R16" s="8">
        <v>5279.2</v>
      </c>
      <c r="S16" s="8">
        <v>5286.2</v>
      </c>
      <c r="T16" s="8">
        <v>5304.7</v>
      </c>
      <c r="U16" s="8">
        <v>5315</v>
      </c>
      <c r="V16" s="8">
        <v>5341.5</v>
      </c>
      <c r="W16" s="8">
        <v>5373</v>
      </c>
      <c r="X16" s="8">
        <v>5401.6</v>
      </c>
      <c r="Y16" s="8">
        <v>5450.1</v>
      </c>
      <c r="Z16" s="8">
        <v>5454.2</v>
      </c>
      <c r="AA16" s="8">
        <v>5503.5</v>
      </c>
      <c r="AB16" s="8">
        <v>5588.1</v>
      </c>
      <c r="AC16" s="8">
        <v>5660.5</v>
      </c>
      <c r="AD16" s="8">
        <v>5708.1</v>
      </c>
      <c r="AE16" s="8">
        <v>5757</v>
      </c>
      <c r="AF16" s="8">
        <v>5780.3</v>
      </c>
      <c r="AG16" s="8">
        <v>5817.8</v>
      </c>
      <c r="AH16" s="8">
        <v>5855.9</v>
      </c>
      <c r="AI16" s="8">
        <v>5896.8</v>
      </c>
      <c r="AJ16" s="8">
        <v>5938</v>
      </c>
      <c r="AK16" s="8">
        <v>5971.8</v>
      </c>
    </row>
    <row r="17" spans="1:37" x14ac:dyDescent="0.3">
      <c r="A17" s="11" t="s">
        <v>413</v>
      </c>
      <c r="B17" s="8">
        <v>3879</v>
      </c>
      <c r="C17" s="8">
        <v>3905.4</v>
      </c>
      <c r="D17" s="8">
        <v>3973.9</v>
      </c>
      <c r="E17" s="8">
        <v>4028.7</v>
      </c>
      <c r="F17" s="8">
        <v>4109.7</v>
      </c>
      <c r="G17" s="8">
        <v>4166</v>
      </c>
      <c r="H17" s="8">
        <v>4175.5</v>
      </c>
      <c r="I17" s="8">
        <v>4171.6000000000004</v>
      </c>
      <c r="J17" s="8">
        <v>4212.7</v>
      </c>
      <c r="K17" s="8">
        <v>4273.2</v>
      </c>
      <c r="L17" s="8">
        <v>4321.3</v>
      </c>
      <c r="M17" s="8">
        <v>4393.3999999999996</v>
      </c>
      <c r="N17" s="8">
        <v>4471.6000000000004</v>
      </c>
      <c r="O17" s="8">
        <v>4465.7</v>
      </c>
      <c r="P17" s="8">
        <v>4496.7</v>
      </c>
      <c r="Q17" s="8">
        <v>4552.1000000000004</v>
      </c>
      <c r="R17" s="8">
        <v>4563.2</v>
      </c>
      <c r="S17" s="8">
        <v>4552.7</v>
      </c>
      <c r="T17" s="8">
        <v>4569.1000000000004</v>
      </c>
      <c r="U17" s="8">
        <v>4607.3999999999996</v>
      </c>
      <c r="V17" s="8">
        <v>4665.1000000000004</v>
      </c>
      <c r="W17" s="8">
        <v>4734.8</v>
      </c>
      <c r="X17" s="8">
        <v>4804.3999999999996</v>
      </c>
      <c r="Y17" s="8">
        <v>4880.3</v>
      </c>
      <c r="Z17" s="8">
        <v>4875</v>
      </c>
      <c r="AA17" s="8">
        <v>4957.2</v>
      </c>
      <c r="AB17" s="8">
        <v>5052.8</v>
      </c>
      <c r="AC17" s="8">
        <v>5090.8999999999996</v>
      </c>
      <c r="AD17" s="8">
        <v>5103.7</v>
      </c>
      <c r="AE17" s="8">
        <v>5122.5</v>
      </c>
      <c r="AF17" s="8">
        <v>5142.3999999999996</v>
      </c>
      <c r="AG17" s="8">
        <v>5178.3</v>
      </c>
      <c r="AH17" s="8">
        <v>5222.8999999999996</v>
      </c>
      <c r="AI17" s="8">
        <v>5270</v>
      </c>
      <c r="AJ17" s="8">
        <v>5321.5</v>
      </c>
      <c r="AK17" s="8">
        <v>5371.6</v>
      </c>
    </row>
    <row r="18" spans="1:37" x14ac:dyDescent="0.3">
      <c r="A18" s="2" t="s">
        <v>401</v>
      </c>
      <c r="B18" s="25">
        <v>64.400000000000006</v>
      </c>
      <c r="C18" s="25">
        <v>75.599999999999994</v>
      </c>
      <c r="D18" s="25">
        <v>93.9</v>
      </c>
      <c r="E18" s="25">
        <v>115</v>
      </c>
      <c r="F18" s="25">
        <v>129.9</v>
      </c>
      <c r="G18" s="25">
        <v>145</v>
      </c>
      <c r="H18" s="25">
        <v>172.1</v>
      </c>
      <c r="I18" s="25">
        <v>215.4</v>
      </c>
      <c r="J18" s="25">
        <v>247</v>
      </c>
      <c r="K18" s="25">
        <v>274.39999999999998</v>
      </c>
      <c r="L18" s="25">
        <v>295.10000000000002</v>
      </c>
      <c r="M18" s="25">
        <v>313.60000000000002</v>
      </c>
      <c r="N18" s="25">
        <v>331.7</v>
      </c>
      <c r="O18" s="25">
        <v>347.5</v>
      </c>
      <c r="P18" s="25">
        <v>377.2</v>
      </c>
      <c r="Q18" s="25">
        <v>416</v>
      </c>
      <c r="R18" s="25">
        <v>401.5</v>
      </c>
      <c r="S18" s="25">
        <v>373.6</v>
      </c>
      <c r="T18" s="25">
        <v>379.6</v>
      </c>
      <c r="U18" s="25">
        <v>384.9</v>
      </c>
      <c r="V18" s="25">
        <v>373.1</v>
      </c>
      <c r="W18" s="25">
        <v>356.6</v>
      </c>
      <c r="X18" s="25">
        <v>333.3</v>
      </c>
      <c r="Y18" s="25">
        <v>321.10000000000002</v>
      </c>
      <c r="Z18" s="25">
        <v>311.3</v>
      </c>
      <c r="AA18" s="25">
        <v>286.60000000000002</v>
      </c>
      <c r="AB18" s="25">
        <v>282.60000000000002</v>
      </c>
      <c r="AC18" s="25">
        <v>276.2</v>
      </c>
      <c r="AD18" s="25">
        <v>268.8</v>
      </c>
      <c r="AE18" s="25">
        <v>268.89999999999998</v>
      </c>
      <c r="AF18" s="25">
        <v>257.39999999999998</v>
      </c>
      <c r="AG18" s="25">
        <v>243.4</v>
      </c>
      <c r="AH18" s="25">
        <v>236.6</v>
      </c>
      <c r="AI18" s="25">
        <v>234</v>
      </c>
      <c r="AJ18" s="25">
        <v>233.1</v>
      </c>
      <c r="AK18" s="25">
        <v>234.1</v>
      </c>
    </row>
    <row r="19" spans="1:37" x14ac:dyDescent="0.3">
      <c r="A19" s="14" t="s">
        <v>414</v>
      </c>
      <c r="B19" s="8" t="s">
        <v>415</v>
      </c>
      <c r="C19" s="8">
        <v>28.8</v>
      </c>
      <c r="D19" s="8">
        <v>31.1</v>
      </c>
      <c r="E19" s="8">
        <v>34.5</v>
      </c>
      <c r="F19" s="8">
        <v>36.1</v>
      </c>
      <c r="G19" s="8">
        <v>38.1</v>
      </c>
      <c r="H19" s="8">
        <v>40</v>
      </c>
      <c r="I19" s="8">
        <v>42.1</v>
      </c>
      <c r="J19" s="8">
        <v>44.1</v>
      </c>
      <c r="K19" s="8">
        <v>47.9</v>
      </c>
      <c r="L19" s="8">
        <v>48</v>
      </c>
      <c r="M19" s="8">
        <v>47.5</v>
      </c>
      <c r="N19" s="8">
        <v>48</v>
      </c>
      <c r="O19" s="8">
        <v>50.8</v>
      </c>
      <c r="P19" s="8">
        <v>52.6</v>
      </c>
      <c r="Q19" s="8">
        <v>52.5</v>
      </c>
      <c r="R19" s="8">
        <v>51.7</v>
      </c>
      <c r="S19" s="8">
        <v>51.8</v>
      </c>
      <c r="T19" s="8">
        <v>51.1</v>
      </c>
      <c r="U19" s="8">
        <v>43.3</v>
      </c>
      <c r="V19" s="8">
        <v>40.200000000000003</v>
      </c>
      <c r="W19" s="8">
        <v>37.799999999999997</v>
      </c>
      <c r="X19" s="8">
        <v>35.799999999999997</v>
      </c>
      <c r="Y19" s="8">
        <v>33.6</v>
      </c>
      <c r="Z19" s="8">
        <v>31.8</v>
      </c>
      <c r="AA19" s="8">
        <v>31.1</v>
      </c>
      <c r="AB19" s="8">
        <v>29.4</v>
      </c>
      <c r="AC19" s="8">
        <v>25.5</v>
      </c>
      <c r="AD19" s="8">
        <v>23.6</v>
      </c>
      <c r="AE19" s="8">
        <v>22.4</v>
      </c>
      <c r="AF19" s="8">
        <v>19.899999999999999</v>
      </c>
      <c r="AG19" s="8">
        <v>18.399999999999999</v>
      </c>
      <c r="AH19" s="8">
        <v>17.5</v>
      </c>
      <c r="AI19" s="8">
        <v>17.5</v>
      </c>
      <c r="AJ19" s="8">
        <v>17.5</v>
      </c>
      <c r="AK19" s="8">
        <v>17.5</v>
      </c>
    </row>
    <row r="20" spans="1:37" x14ac:dyDescent="0.3">
      <c r="A20" s="14" t="s">
        <v>416</v>
      </c>
      <c r="B20" s="8">
        <v>3.4</v>
      </c>
      <c r="C20" s="8">
        <v>8.4</v>
      </c>
      <c r="D20" s="8">
        <v>14.9</v>
      </c>
      <c r="E20" s="8">
        <v>22.1</v>
      </c>
      <c r="F20" s="8">
        <v>22.4</v>
      </c>
      <c r="G20" s="8">
        <v>22.9</v>
      </c>
      <c r="H20" s="8">
        <v>29.2</v>
      </c>
      <c r="I20" s="8">
        <v>43.2</v>
      </c>
      <c r="J20" s="8">
        <v>53.5</v>
      </c>
      <c r="K20" s="8">
        <v>59.1</v>
      </c>
      <c r="L20" s="8">
        <v>63.7</v>
      </c>
      <c r="M20" s="8">
        <v>69.599999999999994</v>
      </c>
      <c r="N20" s="8">
        <v>73.900000000000006</v>
      </c>
      <c r="O20" s="8">
        <v>69.5</v>
      </c>
      <c r="P20" s="8">
        <v>84</v>
      </c>
      <c r="Q20" s="8">
        <v>115.5</v>
      </c>
      <c r="R20" s="8">
        <v>100</v>
      </c>
      <c r="S20" s="8">
        <v>74.2</v>
      </c>
      <c r="T20" s="8">
        <v>74.099999999999994</v>
      </c>
      <c r="U20" s="8">
        <v>74.7</v>
      </c>
      <c r="V20" s="8">
        <v>72.5</v>
      </c>
      <c r="W20" s="8">
        <v>66</v>
      </c>
      <c r="X20" s="8">
        <v>62</v>
      </c>
      <c r="Y20" s="8">
        <v>57.8</v>
      </c>
      <c r="Z20" s="8">
        <v>46.1</v>
      </c>
      <c r="AA20" s="8">
        <v>42.7</v>
      </c>
      <c r="AB20" s="8">
        <v>40.1</v>
      </c>
      <c r="AC20" s="8">
        <v>32.4</v>
      </c>
      <c r="AD20" s="8">
        <v>25.6</v>
      </c>
      <c r="AE20" s="8">
        <v>24.2</v>
      </c>
      <c r="AF20" s="8">
        <v>16.3</v>
      </c>
      <c r="AG20" s="8">
        <v>6.8</v>
      </c>
      <c r="AH20" s="8">
        <v>2.4</v>
      </c>
      <c r="AI20" s="8">
        <v>1.1000000000000001</v>
      </c>
      <c r="AJ20" s="8">
        <v>0.2</v>
      </c>
      <c r="AK20" s="8">
        <v>0.1</v>
      </c>
    </row>
    <row r="21" spans="1:37" x14ac:dyDescent="0.3">
      <c r="A21" s="14" t="s">
        <v>417</v>
      </c>
      <c r="B21" s="8">
        <v>3.2</v>
      </c>
      <c r="C21" s="8">
        <v>7.8</v>
      </c>
      <c r="D21" s="8">
        <v>13.1</v>
      </c>
      <c r="E21" s="8">
        <v>16.399999999999999</v>
      </c>
      <c r="F21" s="8">
        <v>15.6</v>
      </c>
      <c r="G21" s="8">
        <v>16.399999999999999</v>
      </c>
      <c r="H21" s="8">
        <v>16.7</v>
      </c>
      <c r="I21" s="8">
        <v>17.100000000000001</v>
      </c>
      <c r="J21" s="8">
        <v>16.399999999999999</v>
      </c>
      <c r="K21" s="8">
        <v>13.2</v>
      </c>
      <c r="L21" s="8">
        <v>10.4</v>
      </c>
      <c r="M21" s="8">
        <v>8.1999999999999993</v>
      </c>
      <c r="N21" s="8">
        <v>6.5</v>
      </c>
      <c r="O21" s="8">
        <v>5.0999999999999996</v>
      </c>
      <c r="P21" s="8">
        <v>4</v>
      </c>
      <c r="Q21" s="8">
        <v>3.2</v>
      </c>
      <c r="R21" s="8">
        <v>2.5</v>
      </c>
      <c r="S21" s="8">
        <v>2</v>
      </c>
      <c r="T21" s="8">
        <v>1.6</v>
      </c>
      <c r="U21" s="8">
        <v>1.3</v>
      </c>
      <c r="V21" s="8">
        <v>1</v>
      </c>
      <c r="W21" s="8">
        <v>0.8</v>
      </c>
      <c r="X21" s="8">
        <v>0.7</v>
      </c>
      <c r="Y21" s="8">
        <v>0.5</v>
      </c>
      <c r="Z21" s="8">
        <v>0.4</v>
      </c>
      <c r="AA21" s="8">
        <v>0.3</v>
      </c>
      <c r="AB21" s="8">
        <v>0.3</v>
      </c>
      <c r="AC21" s="8">
        <v>0.2</v>
      </c>
      <c r="AD21" s="8">
        <v>0.2</v>
      </c>
      <c r="AE21" s="8">
        <v>0.1</v>
      </c>
      <c r="AF21" s="8">
        <v>0.1</v>
      </c>
      <c r="AG21" s="8">
        <v>0.1</v>
      </c>
      <c r="AH21" s="8">
        <v>0.1</v>
      </c>
      <c r="AI21" s="8">
        <v>0.1</v>
      </c>
      <c r="AJ21" s="8">
        <v>0.1</v>
      </c>
      <c r="AK21" s="8">
        <v>0.1</v>
      </c>
    </row>
    <row r="22" spans="1:37" x14ac:dyDescent="0.3">
      <c r="A22" s="14" t="s">
        <v>418</v>
      </c>
      <c r="B22" s="8">
        <v>0</v>
      </c>
      <c r="C22" s="8">
        <v>0</v>
      </c>
      <c r="D22" s="8">
        <v>0</v>
      </c>
      <c r="E22" s="8">
        <v>0.1</v>
      </c>
      <c r="F22" s="8">
        <v>0.8</v>
      </c>
      <c r="G22" s="8">
        <v>0.8</v>
      </c>
      <c r="H22" s="8">
        <v>7.4</v>
      </c>
      <c r="I22" s="8">
        <v>20.7</v>
      </c>
      <c r="J22" s="8">
        <v>31.2</v>
      </c>
      <c r="K22" s="8">
        <v>39.6</v>
      </c>
      <c r="L22" s="8">
        <v>45.6</v>
      </c>
      <c r="M22" s="8">
        <v>51.1</v>
      </c>
      <c r="N22" s="8">
        <v>54.5</v>
      </c>
      <c r="O22" s="8">
        <v>49.7</v>
      </c>
      <c r="P22" s="8">
        <v>61.7</v>
      </c>
      <c r="Q22" s="8">
        <v>90</v>
      </c>
      <c r="R22" s="8">
        <v>72.599999999999994</v>
      </c>
      <c r="S22" s="8">
        <v>48</v>
      </c>
      <c r="T22" s="8">
        <v>50.7</v>
      </c>
      <c r="U22" s="8">
        <v>53.9</v>
      </c>
      <c r="V22" s="8">
        <v>53.5</v>
      </c>
      <c r="W22" s="8">
        <v>47.4</v>
      </c>
      <c r="X22" s="8">
        <v>45.7</v>
      </c>
      <c r="Y22" s="8">
        <v>45.8</v>
      </c>
      <c r="Z22" s="8">
        <v>38.1</v>
      </c>
      <c r="AA22" s="8">
        <v>38.200000000000003</v>
      </c>
      <c r="AB22" s="8">
        <v>37</v>
      </c>
      <c r="AC22" s="8">
        <v>30.4</v>
      </c>
      <c r="AD22" s="8">
        <v>24.4</v>
      </c>
      <c r="AE22" s="8">
        <v>23.5</v>
      </c>
      <c r="AF22" s="8">
        <v>15.8</v>
      </c>
      <c r="AG22" s="8">
        <v>6.3</v>
      </c>
      <c r="AH22" s="8">
        <v>2.2000000000000002</v>
      </c>
      <c r="AI22" s="8">
        <v>1</v>
      </c>
      <c r="AJ22" s="8">
        <v>0</v>
      </c>
      <c r="AK22" s="8">
        <v>0</v>
      </c>
    </row>
    <row r="23" spans="1:37" x14ac:dyDescent="0.3">
      <c r="A23" s="14" t="s">
        <v>419</v>
      </c>
      <c r="B23" s="8">
        <v>0</v>
      </c>
      <c r="C23" s="8">
        <v>0</v>
      </c>
      <c r="D23" s="8">
        <v>0</v>
      </c>
      <c r="E23" s="8">
        <v>0</v>
      </c>
      <c r="F23" s="8">
        <v>0</v>
      </c>
      <c r="G23" s="8">
        <v>0</v>
      </c>
      <c r="H23" s="8">
        <v>0</v>
      </c>
      <c r="I23" s="8">
        <v>0.3</v>
      </c>
      <c r="J23" s="8">
        <v>0.7</v>
      </c>
      <c r="K23" s="8">
        <v>1.2</v>
      </c>
      <c r="L23" s="8">
        <v>2.2000000000000002</v>
      </c>
      <c r="M23" s="8">
        <v>4.5999999999999996</v>
      </c>
      <c r="N23" s="8">
        <v>7.2</v>
      </c>
      <c r="O23" s="8">
        <v>9</v>
      </c>
      <c r="P23" s="8">
        <v>13.1</v>
      </c>
      <c r="Q23" s="8">
        <v>17.399999999999999</v>
      </c>
      <c r="R23" s="8">
        <v>20.100000000000001</v>
      </c>
      <c r="S23" s="8">
        <v>19.399999999999999</v>
      </c>
      <c r="T23" s="8">
        <v>17.100000000000001</v>
      </c>
      <c r="U23" s="8">
        <v>15.3</v>
      </c>
      <c r="V23" s="8">
        <v>14.7</v>
      </c>
      <c r="W23" s="8">
        <v>14.6</v>
      </c>
      <c r="X23" s="8">
        <v>12.6</v>
      </c>
      <c r="Y23" s="8">
        <v>9</v>
      </c>
      <c r="Z23" s="8">
        <v>6.2</v>
      </c>
      <c r="AA23" s="8">
        <v>4.2</v>
      </c>
      <c r="AB23" s="8">
        <v>2.8</v>
      </c>
      <c r="AC23" s="8">
        <v>1.8</v>
      </c>
      <c r="AD23" s="8">
        <v>1</v>
      </c>
      <c r="AE23" s="8">
        <v>0.6</v>
      </c>
      <c r="AF23" s="8">
        <v>0.4</v>
      </c>
      <c r="AG23" s="8">
        <v>0.3</v>
      </c>
      <c r="AH23" s="8">
        <v>0.2</v>
      </c>
      <c r="AI23" s="8">
        <v>0.1</v>
      </c>
      <c r="AJ23" s="8">
        <v>0.1</v>
      </c>
      <c r="AK23" s="8">
        <v>0</v>
      </c>
    </row>
    <row r="24" spans="1:37" x14ac:dyDescent="0.3">
      <c r="A24" s="14" t="s">
        <v>420</v>
      </c>
      <c r="B24" s="8">
        <v>0</v>
      </c>
      <c r="C24" s="8">
        <v>0</v>
      </c>
      <c r="D24" s="8">
        <v>1.2</v>
      </c>
      <c r="E24" s="8">
        <v>5.2</v>
      </c>
      <c r="F24" s="8">
        <v>6.1</v>
      </c>
      <c r="G24" s="8">
        <v>5.7</v>
      </c>
      <c r="H24" s="8">
        <v>5</v>
      </c>
      <c r="I24" s="8">
        <v>5.0999999999999996</v>
      </c>
      <c r="J24" s="8">
        <v>5.2</v>
      </c>
      <c r="K24" s="8">
        <v>5.0999999999999996</v>
      </c>
      <c r="L24" s="8">
        <v>5.5</v>
      </c>
      <c r="M24" s="8">
        <v>5.7</v>
      </c>
      <c r="N24" s="8">
        <v>5.8</v>
      </c>
      <c r="O24" s="8">
        <v>5.7</v>
      </c>
      <c r="P24" s="8">
        <v>5.2</v>
      </c>
      <c r="Q24" s="8">
        <v>4.9000000000000004</v>
      </c>
      <c r="R24" s="8">
        <v>4.8</v>
      </c>
      <c r="S24" s="8">
        <v>4.9000000000000004</v>
      </c>
      <c r="T24" s="8">
        <v>4.7</v>
      </c>
      <c r="U24" s="8">
        <v>4.2</v>
      </c>
      <c r="V24" s="8">
        <v>3.2</v>
      </c>
      <c r="W24" s="8">
        <v>3.2</v>
      </c>
      <c r="X24" s="8">
        <v>3.1</v>
      </c>
      <c r="Y24" s="8">
        <v>2.5</v>
      </c>
      <c r="Z24" s="8">
        <v>1.4</v>
      </c>
      <c r="AA24" s="8">
        <v>0</v>
      </c>
      <c r="AB24" s="8">
        <v>0</v>
      </c>
      <c r="AC24" s="8">
        <v>0</v>
      </c>
      <c r="AD24" s="8">
        <v>0</v>
      </c>
      <c r="AE24" s="8">
        <v>0</v>
      </c>
      <c r="AF24" s="8">
        <v>0</v>
      </c>
      <c r="AG24" s="8">
        <v>0</v>
      </c>
      <c r="AH24" s="8">
        <v>0</v>
      </c>
      <c r="AI24" s="8">
        <v>0</v>
      </c>
      <c r="AJ24" s="8">
        <v>0</v>
      </c>
      <c r="AK24" s="8">
        <v>0</v>
      </c>
    </row>
    <row r="25" spans="1:37" x14ac:dyDescent="0.3">
      <c r="A25" s="14" t="s">
        <v>421</v>
      </c>
      <c r="B25" s="8">
        <v>0.2</v>
      </c>
      <c r="C25" s="8">
        <v>0.6</v>
      </c>
      <c r="D25" s="8">
        <v>0.5</v>
      </c>
      <c r="E25" s="8">
        <v>0.3</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row>
    <row r="26" spans="1:37" x14ac:dyDescent="0.3">
      <c r="A26" s="14" t="s">
        <v>422</v>
      </c>
      <c r="B26" s="8" t="s">
        <v>423</v>
      </c>
      <c r="C26" s="8">
        <v>37.200000000000003</v>
      </c>
      <c r="D26" s="8">
        <v>46.7</v>
      </c>
      <c r="E26" s="8">
        <v>56.9</v>
      </c>
      <c r="F26" s="8">
        <v>69.599999999999994</v>
      </c>
      <c r="G26" s="8">
        <v>82.1</v>
      </c>
      <c r="H26" s="8">
        <v>101</v>
      </c>
      <c r="I26" s="8">
        <v>128.19999999999999</v>
      </c>
      <c r="J26" s="8">
        <v>147.80000000000001</v>
      </c>
      <c r="K26" s="8">
        <v>165.9</v>
      </c>
      <c r="L26" s="8">
        <v>182.1</v>
      </c>
      <c r="M26" s="8">
        <v>195.2</v>
      </c>
      <c r="N26" s="8">
        <v>208.6</v>
      </c>
      <c r="O26" s="8">
        <v>226.1</v>
      </c>
      <c r="P26" s="8">
        <v>239.5</v>
      </c>
      <c r="Q26" s="8">
        <v>247</v>
      </c>
      <c r="R26" s="8">
        <v>248.7</v>
      </c>
      <c r="S26" s="8">
        <v>246.8</v>
      </c>
      <c r="T26" s="8">
        <v>253.7</v>
      </c>
      <c r="U26" s="8">
        <v>266.39999999999998</v>
      </c>
      <c r="V26" s="8">
        <v>260</v>
      </c>
      <c r="W26" s="8">
        <v>252.4</v>
      </c>
      <c r="X26" s="8">
        <v>235.4</v>
      </c>
      <c r="Y26" s="8">
        <v>229.6</v>
      </c>
      <c r="Z26" s="8">
        <v>233.3</v>
      </c>
      <c r="AA26" s="8">
        <v>212.6</v>
      </c>
      <c r="AB26" s="8">
        <v>212.9</v>
      </c>
      <c r="AC26" s="8">
        <v>218</v>
      </c>
      <c r="AD26" s="8">
        <v>219.4</v>
      </c>
      <c r="AE26" s="8">
        <v>222.1</v>
      </c>
      <c r="AF26" s="8">
        <v>221.1</v>
      </c>
      <c r="AG26" s="8">
        <v>218</v>
      </c>
      <c r="AH26" s="8">
        <v>216.5</v>
      </c>
      <c r="AI26" s="8">
        <v>215.3</v>
      </c>
      <c r="AJ26" s="8">
        <v>215.3</v>
      </c>
      <c r="AK26" s="8">
        <v>216.3</v>
      </c>
    </row>
    <row r="27" spans="1:37" x14ac:dyDescent="0.3">
      <c r="A27" s="14" t="s">
        <v>406</v>
      </c>
      <c r="B27" s="8"/>
      <c r="C27" s="8"/>
      <c r="D27" s="8"/>
      <c r="E27" s="8"/>
      <c r="F27" s="8"/>
      <c r="G27" s="8">
        <v>77.599999999999994</v>
      </c>
      <c r="H27" s="8">
        <v>77.2</v>
      </c>
      <c r="I27" s="8">
        <v>71.400000000000006</v>
      </c>
      <c r="J27" s="8">
        <v>67.5</v>
      </c>
      <c r="K27" s="8">
        <v>65.3</v>
      </c>
      <c r="L27" s="8">
        <v>63.5</v>
      </c>
      <c r="M27" s="8">
        <v>63.3</v>
      </c>
      <c r="N27" s="8">
        <v>64.400000000000006</v>
      </c>
      <c r="O27" s="8">
        <v>65.2</v>
      </c>
      <c r="P27" s="8">
        <v>65.900000000000006</v>
      </c>
      <c r="Q27" s="8">
        <v>66.2</v>
      </c>
      <c r="R27" s="8">
        <v>67.2</v>
      </c>
      <c r="S27" s="8">
        <v>64.599999999999994</v>
      </c>
      <c r="T27" s="8">
        <v>63.8</v>
      </c>
      <c r="U27" s="8">
        <v>66</v>
      </c>
      <c r="V27" s="8">
        <v>69.7</v>
      </c>
      <c r="W27" s="8">
        <v>68.8</v>
      </c>
      <c r="X27" s="8">
        <v>57</v>
      </c>
      <c r="Y27" s="8">
        <v>51.5</v>
      </c>
      <c r="Z27" s="8">
        <v>45.3</v>
      </c>
      <c r="AA27" s="8">
        <v>39.6</v>
      </c>
      <c r="AB27" s="8">
        <v>35</v>
      </c>
      <c r="AC27" s="8">
        <v>32</v>
      </c>
      <c r="AD27" s="8">
        <v>30.1</v>
      </c>
      <c r="AE27" s="8">
        <v>29</v>
      </c>
      <c r="AF27" s="8">
        <v>28.3</v>
      </c>
      <c r="AG27" s="8">
        <v>27.5</v>
      </c>
      <c r="AH27" s="8">
        <v>27.2</v>
      </c>
      <c r="AI27" s="8">
        <v>27</v>
      </c>
      <c r="AJ27" s="8">
        <v>26.8</v>
      </c>
      <c r="AK27" s="8">
        <v>26.7</v>
      </c>
    </row>
    <row r="28" spans="1:37" x14ac:dyDescent="0.3">
      <c r="A28" s="14" t="s">
        <v>407</v>
      </c>
      <c r="B28" s="8"/>
      <c r="C28" s="8"/>
      <c r="D28" s="8"/>
      <c r="E28" s="8"/>
      <c r="F28" s="8"/>
      <c r="G28" s="8">
        <v>4.5</v>
      </c>
      <c r="H28" s="8">
        <v>7.3</v>
      </c>
      <c r="I28" s="8">
        <v>15.2</v>
      </c>
      <c r="J28" s="8">
        <v>20.399999999999999</v>
      </c>
      <c r="K28" s="8">
        <v>24.4</v>
      </c>
      <c r="L28" s="8">
        <v>28.8</v>
      </c>
      <c r="M28" s="8">
        <v>31.7</v>
      </c>
      <c r="N28" s="8">
        <v>35.799999999999997</v>
      </c>
      <c r="O28" s="8">
        <v>43.1</v>
      </c>
      <c r="P28" s="8">
        <v>51.1</v>
      </c>
      <c r="Q28" s="8">
        <v>52.8</v>
      </c>
      <c r="R28" s="8">
        <v>52</v>
      </c>
      <c r="S28" s="8">
        <v>55.4</v>
      </c>
      <c r="T28" s="8">
        <v>61.1</v>
      </c>
      <c r="U28" s="8">
        <v>62.3</v>
      </c>
      <c r="V28" s="8">
        <v>64.900000000000006</v>
      </c>
      <c r="W28" s="8">
        <v>69.3</v>
      </c>
      <c r="X28" s="8">
        <v>71.099999999999994</v>
      </c>
      <c r="Y28" s="8">
        <v>74.900000000000006</v>
      </c>
      <c r="Z28" s="8">
        <v>97.1</v>
      </c>
      <c r="AA28" s="8">
        <v>86</v>
      </c>
      <c r="AB28" s="8">
        <v>93</v>
      </c>
      <c r="AC28" s="8">
        <v>99.9</v>
      </c>
      <c r="AD28" s="8">
        <v>105.7</v>
      </c>
      <c r="AE28" s="8">
        <v>107.6</v>
      </c>
      <c r="AF28" s="8">
        <v>106.8</v>
      </c>
      <c r="AG28" s="8">
        <v>106.4</v>
      </c>
      <c r="AH28" s="8">
        <v>106.3</v>
      </c>
      <c r="AI28" s="8">
        <v>106.1</v>
      </c>
      <c r="AJ28" s="8">
        <v>106</v>
      </c>
      <c r="AK28" s="8">
        <v>105.8</v>
      </c>
    </row>
    <row r="29" spans="1:37" x14ac:dyDescent="0.3">
      <c r="A29" s="14" t="s">
        <v>424</v>
      </c>
      <c r="B29" s="8">
        <v>0</v>
      </c>
      <c r="C29" s="8">
        <v>0</v>
      </c>
      <c r="D29" s="8">
        <v>0</v>
      </c>
      <c r="E29" s="8">
        <v>0</v>
      </c>
      <c r="F29" s="8">
        <v>0</v>
      </c>
      <c r="G29" s="8">
        <v>0</v>
      </c>
      <c r="H29" s="8">
        <v>16.5</v>
      </c>
      <c r="I29" s="8">
        <v>41.6</v>
      </c>
      <c r="J29" s="8">
        <v>59.9</v>
      </c>
      <c r="K29" s="8">
        <v>76.099999999999994</v>
      </c>
      <c r="L29" s="8">
        <v>89.9</v>
      </c>
      <c r="M29" s="8">
        <v>100.2</v>
      </c>
      <c r="N29" s="8">
        <v>108.5</v>
      </c>
      <c r="O29" s="8">
        <v>117.8</v>
      </c>
      <c r="P29" s="8">
        <v>122.5</v>
      </c>
      <c r="Q29" s="8">
        <v>127.9</v>
      </c>
      <c r="R29" s="8">
        <v>129.5</v>
      </c>
      <c r="S29" s="8">
        <v>126.7</v>
      </c>
      <c r="T29" s="8">
        <v>128.80000000000001</v>
      </c>
      <c r="U29" s="8">
        <v>138.1</v>
      </c>
      <c r="V29" s="8">
        <v>125.4</v>
      </c>
      <c r="W29" s="8">
        <v>114.3</v>
      </c>
      <c r="X29" s="8">
        <v>107.3</v>
      </c>
      <c r="Y29" s="8">
        <v>103.2</v>
      </c>
      <c r="Z29" s="8">
        <v>90.9</v>
      </c>
      <c r="AA29" s="8">
        <v>87</v>
      </c>
      <c r="AB29" s="8">
        <v>84.9</v>
      </c>
      <c r="AC29" s="8">
        <v>86.1</v>
      </c>
      <c r="AD29" s="8">
        <v>83.6</v>
      </c>
      <c r="AE29" s="8">
        <v>85.5</v>
      </c>
      <c r="AF29" s="8">
        <v>86</v>
      </c>
      <c r="AG29" s="8">
        <v>84.1</v>
      </c>
      <c r="AH29" s="8">
        <v>83</v>
      </c>
      <c r="AI29" s="8">
        <v>82.2</v>
      </c>
      <c r="AJ29" s="8">
        <v>82.5</v>
      </c>
      <c r="AK29" s="8">
        <v>83.8</v>
      </c>
    </row>
    <row r="30" spans="1:37" x14ac:dyDescent="0.3">
      <c r="A30" s="14" t="s">
        <v>425</v>
      </c>
      <c r="B30" s="8">
        <v>0.2</v>
      </c>
      <c r="C30" s="8">
        <v>0.3</v>
      </c>
      <c r="D30" s="8">
        <v>0.5</v>
      </c>
      <c r="E30" s="8">
        <v>0.9</v>
      </c>
      <c r="F30" s="8">
        <v>1.1000000000000001</v>
      </c>
      <c r="G30" s="8">
        <v>1.2</v>
      </c>
      <c r="H30" s="8">
        <v>1.2</v>
      </c>
      <c r="I30" s="8">
        <v>1.1000000000000001</v>
      </c>
      <c r="J30" s="8">
        <v>0.9</v>
      </c>
      <c r="K30" s="8">
        <v>0.9</v>
      </c>
      <c r="L30" s="8">
        <v>0.8</v>
      </c>
      <c r="M30" s="8">
        <v>0.7</v>
      </c>
      <c r="N30" s="8">
        <v>0.6</v>
      </c>
      <c r="O30" s="8">
        <v>0.6</v>
      </c>
      <c r="P30" s="8">
        <v>0.6</v>
      </c>
      <c r="Q30" s="8">
        <v>0.7</v>
      </c>
      <c r="R30" s="8">
        <v>0.7</v>
      </c>
      <c r="S30" s="8">
        <v>0.5</v>
      </c>
      <c r="T30" s="8">
        <v>0.3</v>
      </c>
      <c r="U30" s="8">
        <v>0.2</v>
      </c>
      <c r="V30" s="8">
        <v>0.1</v>
      </c>
      <c r="W30" s="8">
        <v>0.1</v>
      </c>
      <c r="X30" s="8">
        <v>0</v>
      </c>
      <c r="Y30" s="8">
        <v>0</v>
      </c>
      <c r="Z30" s="8">
        <v>0</v>
      </c>
      <c r="AA30" s="8">
        <v>0</v>
      </c>
      <c r="AB30" s="8">
        <v>0</v>
      </c>
      <c r="AC30" s="8">
        <v>0</v>
      </c>
      <c r="AD30" s="8">
        <v>0</v>
      </c>
      <c r="AE30" s="8">
        <v>0</v>
      </c>
      <c r="AF30" s="8">
        <v>0</v>
      </c>
      <c r="AG30" s="8">
        <v>0</v>
      </c>
      <c r="AH30" s="8">
        <v>0</v>
      </c>
      <c r="AI30" s="8">
        <v>0</v>
      </c>
      <c r="AJ30" s="8">
        <v>0</v>
      </c>
      <c r="AK30" s="8">
        <v>0</v>
      </c>
    </row>
    <row r="31" spans="1:37" x14ac:dyDescent="0.3">
      <c r="A31" s="14" t="s">
        <v>426</v>
      </c>
      <c r="B31" s="8">
        <v>1</v>
      </c>
      <c r="C31" s="8">
        <v>0.8</v>
      </c>
      <c r="D31" s="8">
        <v>0.8</v>
      </c>
      <c r="E31" s="8">
        <v>0.7</v>
      </c>
      <c r="F31" s="8">
        <v>0.7</v>
      </c>
      <c r="G31" s="8">
        <v>0.7</v>
      </c>
      <c r="H31" s="8">
        <v>0.7</v>
      </c>
      <c r="I31" s="8">
        <v>0.7</v>
      </c>
      <c r="J31" s="8">
        <v>0.7</v>
      </c>
      <c r="K31" s="8">
        <v>0.6</v>
      </c>
      <c r="L31" s="8">
        <v>0.5</v>
      </c>
      <c r="M31" s="8">
        <v>0.5</v>
      </c>
      <c r="N31" s="8">
        <v>0.5</v>
      </c>
      <c r="O31" s="8">
        <v>0.5</v>
      </c>
      <c r="P31" s="8">
        <v>0.4</v>
      </c>
      <c r="Q31" s="8">
        <v>0.4</v>
      </c>
      <c r="R31" s="8">
        <v>0.3</v>
      </c>
      <c r="S31" s="8">
        <v>0.3</v>
      </c>
      <c r="T31" s="8">
        <v>0.3</v>
      </c>
      <c r="U31" s="8">
        <v>0.3</v>
      </c>
      <c r="V31" s="8">
        <v>0.2</v>
      </c>
      <c r="W31" s="8">
        <v>0.2</v>
      </c>
      <c r="X31" s="8">
        <v>0.2</v>
      </c>
      <c r="Y31" s="8">
        <v>0.2</v>
      </c>
      <c r="Z31" s="8">
        <v>0.2</v>
      </c>
      <c r="AA31" s="8">
        <v>0.2</v>
      </c>
      <c r="AB31" s="8">
        <v>0.1</v>
      </c>
      <c r="AC31" s="8">
        <v>0.1</v>
      </c>
      <c r="AD31" s="8">
        <v>0.1</v>
      </c>
      <c r="AE31" s="8">
        <v>0.1</v>
      </c>
      <c r="AF31" s="8">
        <v>0.1</v>
      </c>
      <c r="AG31" s="8">
        <v>0.1</v>
      </c>
      <c r="AH31" s="8">
        <v>0.1</v>
      </c>
      <c r="AI31" s="8">
        <v>0.1</v>
      </c>
      <c r="AJ31" s="8">
        <v>0.1</v>
      </c>
      <c r="AK31" s="8">
        <v>0.1</v>
      </c>
    </row>
    <row r="32" spans="1:37" x14ac:dyDescent="0.3">
      <c r="A32" s="11" t="s">
        <v>427</v>
      </c>
      <c r="B32" s="8">
        <v>59.5</v>
      </c>
      <c r="C32" s="8">
        <v>61</v>
      </c>
      <c r="D32" s="8">
        <v>62.4</v>
      </c>
      <c r="E32" s="8">
        <v>62.7</v>
      </c>
      <c r="F32" s="8">
        <v>63.4</v>
      </c>
      <c r="G32" s="8">
        <v>65.3</v>
      </c>
      <c r="H32" s="8">
        <v>67.099999999999994</v>
      </c>
      <c r="I32" s="8">
        <v>68.7</v>
      </c>
      <c r="J32" s="8">
        <v>71.2</v>
      </c>
      <c r="K32" s="8">
        <v>72.7</v>
      </c>
      <c r="L32" s="8">
        <v>75</v>
      </c>
      <c r="M32" s="8">
        <v>76.8</v>
      </c>
      <c r="N32" s="8">
        <v>77.5</v>
      </c>
      <c r="O32" s="8">
        <v>77.8</v>
      </c>
      <c r="P32" s="8">
        <v>79.2</v>
      </c>
      <c r="Q32" s="8">
        <v>79.7</v>
      </c>
      <c r="R32" s="8">
        <v>79.8</v>
      </c>
      <c r="S32" s="8">
        <v>79</v>
      </c>
      <c r="T32" s="8">
        <v>79.599999999999994</v>
      </c>
      <c r="U32" s="8">
        <v>79.7</v>
      </c>
      <c r="V32" s="8">
        <v>80.099999999999994</v>
      </c>
      <c r="W32" s="8">
        <v>80.8</v>
      </c>
      <c r="X32" s="8">
        <v>81.7</v>
      </c>
      <c r="Y32" s="8">
        <v>82.4</v>
      </c>
      <c r="Z32" s="8">
        <v>81.2</v>
      </c>
      <c r="AA32" s="8">
        <v>80.8</v>
      </c>
      <c r="AB32" s="8">
        <v>80.8</v>
      </c>
      <c r="AC32" s="8">
        <v>79.8</v>
      </c>
      <c r="AD32" s="8">
        <v>80.7</v>
      </c>
      <c r="AE32" s="8">
        <v>80.900000000000006</v>
      </c>
      <c r="AF32" s="8">
        <v>80.900000000000006</v>
      </c>
      <c r="AG32" s="8">
        <v>80.900000000000006</v>
      </c>
      <c r="AH32" s="8">
        <v>80.900000000000006</v>
      </c>
      <c r="AI32" s="8">
        <v>80.900000000000006</v>
      </c>
      <c r="AJ32" s="8">
        <v>80.900000000000006</v>
      </c>
      <c r="AK32" s="8">
        <v>80.900000000000006</v>
      </c>
    </row>
    <row r="33" spans="1:37" x14ac:dyDescent="0.3">
      <c r="A33" s="11" t="s">
        <v>428</v>
      </c>
      <c r="B33" s="8">
        <v>670.6</v>
      </c>
      <c r="C33" s="8">
        <v>668.9</v>
      </c>
      <c r="D33" s="8">
        <v>648.5</v>
      </c>
      <c r="E33" s="8">
        <v>624.20000000000005</v>
      </c>
      <c r="F33" s="8">
        <v>599.5</v>
      </c>
      <c r="G33" s="8">
        <v>604.70000000000005</v>
      </c>
      <c r="H33" s="8">
        <v>643.79999999999995</v>
      </c>
      <c r="I33" s="8">
        <v>684.6</v>
      </c>
      <c r="J33" s="8">
        <v>710.1</v>
      </c>
      <c r="K33" s="8">
        <v>710.1</v>
      </c>
      <c r="L33" s="8">
        <v>695.3</v>
      </c>
      <c r="M33" s="8">
        <v>633.5</v>
      </c>
      <c r="N33" s="8">
        <v>600.70000000000005</v>
      </c>
      <c r="O33" s="8">
        <v>645.70000000000005</v>
      </c>
      <c r="P33" s="8">
        <v>653.79999999999995</v>
      </c>
      <c r="Q33" s="8">
        <v>627.70000000000005</v>
      </c>
      <c r="R33" s="8">
        <v>636.29999999999995</v>
      </c>
      <c r="S33" s="8">
        <v>654.5</v>
      </c>
      <c r="T33" s="8">
        <v>656.1</v>
      </c>
      <c r="U33" s="8">
        <v>627.79999999999995</v>
      </c>
      <c r="V33" s="8">
        <v>596.29999999999995</v>
      </c>
      <c r="W33" s="8">
        <v>557.4</v>
      </c>
      <c r="X33" s="8">
        <v>515.6</v>
      </c>
      <c r="Y33" s="8">
        <v>487.4</v>
      </c>
      <c r="Z33" s="8">
        <v>498.1</v>
      </c>
      <c r="AA33" s="8">
        <v>465.4</v>
      </c>
      <c r="AB33" s="8">
        <v>454.6</v>
      </c>
      <c r="AC33" s="8">
        <v>489.8</v>
      </c>
      <c r="AD33" s="8">
        <v>523.79999999999995</v>
      </c>
      <c r="AE33" s="8">
        <v>553.6</v>
      </c>
      <c r="AF33" s="8">
        <v>556.9</v>
      </c>
      <c r="AG33" s="8">
        <v>558.6</v>
      </c>
      <c r="AH33" s="8">
        <v>552.1</v>
      </c>
      <c r="AI33" s="8">
        <v>545.79999999999995</v>
      </c>
      <c r="AJ33" s="8">
        <v>535.6</v>
      </c>
      <c r="AK33" s="8">
        <v>519.20000000000005</v>
      </c>
    </row>
    <row r="34" spans="1:37" x14ac:dyDescent="0.3">
      <c r="A34" s="3" t="s">
        <v>429</v>
      </c>
      <c r="B34" s="8">
        <v>571</v>
      </c>
      <c r="C34" s="8">
        <v>553</v>
      </c>
      <c r="D34" s="8">
        <v>524.20000000000005</v>
      </c>
      <c r="E34" s="8">
        <v>491.4</v>
      </c>
      <c r="F34" s="8">
        <v>458.7</v>
      </c>
      <c r="G34" s="8">
        <v>456.8</v>
      </c>
      <c r="H34" s="8">
        <v>491.5</v>
      </c>
      <c r="I34" s="8">
        <v>538.1</v>
      </c>
      <c r="J34" s="8">
        <v>573.20000000000005</v>
      </c>
      <c r="K34" s="8">
        <v>584.4</v>
      </c>
      <c r="L34" s="8">
        <v>579.1</v>
      </c>
      <c r="M34" s="8">
        <v>525.6</v>
      </c>
      <c r="N34" s="8">
        <v>499.8</v>
      </c>
      <c r="O34" s="8">
        <v>550.9</v>
      </c>
      <c r="P34" s="8">
        <v>564.6</v>
      </c>
      <c r="Q34" s="8">
        <v>544.6</v>
      </c>
      <c r="R34" s="8">
        <v>559.20000000000005</v>
      </c>
      <c r="S34" s="8">
        <v>583.70000000000005</v>
      </c>
      <c r="T34" s="8">
        <v>597.70000000000005</v>
      </c>
      <c r="U34" s="8">
        <v>578.70000000000005</v>
      </c>
      <c r="V34" s="8">
        <v>553.5</v>
      </c>
      <c r="W34" s="8">
        <v>526.29999999999995</v>
      </c>
      <c r="X34" s="8">
        <v>496</v>
      </c>
      <c r="Y34" s="8">
        <v>477.3</v>
      </c>
      <c r="Z34" s="8">
        <v>494.7</v>
      </c>
      <c r="AA34" s="8">
        <v>465</v>
      </c>
      <c r="AB34" s="8">
        <v>454.3</v>
      </c>
      <c r="AC34" s="8">
        <v>489.7</v>
      </c>
      <c r="AD34" s="8">
        <v>523.70000000000005</v>
      </c>
      <c r="AE34" s="8">
        <v>553.5</v>
      </c>
      <c r="AF34" s="8">
        <v>556.9</v>
      </c>
      <c r="AG34" s="8">
        <v>558.5</v>
      </c>
      <c r="AH34" s="8">
        <v>552</v>
      </c>
      <c r="AI34" s="8">
        <v>545.70000000000005</v>
      </c>
      <c r="AJ34" s="8">
        <v>535.5</v>
      </c>
      <c r="AK34" s="8">
        <v>519.1</v>
      </c>
    </row>
    <row r="35" spans="1:37" x14ac:dyDescent="0.3">
      <c r="A35" s="16" t="s">
        <v>430</v>
      </c>
      <c r="B35" s="8">
        <v>0</v>
      </c>
      <c r="C35" s="8">
        <v>0</v>
      </c>
      <c r="D35" s="8">
        <v>0</v>
      </c>
      <c r="E35" s="8">
        <v>0</v>
      </c>
      <c r="F35" s="8">
        <v>0</v>
      </c>
      <c r="G35" s="8">
        <v>0</v>
      </c>
      <c r="H35" s="8">
        <v>0</v>
      </c>
      <c r="I35" s="8">
        <v>0</v>
      </c>
      <c r="J35" s="8">
        <v>0</v>
      </c>
      <c r="K35" s="8">
        <v>0</v>
      </c>
      <c r="L35" s="8">
        <v>0</v>
      </c>
      <c r="M35" s="8">
        <v>0</v>
      </c>
      <c r="N35" s="8">
        <v>1.2</v>
      </c>
      <c r="O35" s="8">
        <v>2</v>
      </c>
      <c r="P35" s="8">
        <v>2.8</v>
      </c>
      <c r="Q35" s="8">
        <v>4</v>
      </c>
      <c r="R35" s="8">
        <v>4.2</v>
      </c>
      <c r="S35" s="8">
        <v>4.4000000000000004</v>
      </c>
      <c r="T35" s="8">
        <v>4.8</v>
      </c>
      <c r="U35" s="8">
        <v>5.7</v>
      </c>
      <c r="V35" s="8">
        <v>6.4</v>
      </c>
      <c r="W35" s="8">
        <v>7.1</v>
      </c>
      <c r="X35" s="8">
        <v>8.8000000000000007</v>
      </c>
      <c r="Y35" s="8">
        <v>9.9</v>
      </c>
      <c r="Z35" s="8">
        <v>10.6</v>
      </c>
      <c r="AA35" s="8">
        <v>10.9</v>
      </c>
      <c r="AB35" s="8">
        <v>9.6999999999999993</v>
      </c>
      <c r="AC35" s="8">
        <v>7.5</v>
      </c>
      <c r="AD35" s="8">
        <v>5.4</v>
      </c>
      <c r="AE35" s="8">
        <v>4.4000000000000004</v>
      </c>
      <c r="AF35" s="8">
        <v>4.3</v>
      </c>
      <c r="AG35" s="8">
        <v>3.2</v>
      </c>
      <c r="AH35" s="8">
        <v>2.1</v>
      </c>
      <c r="AI35" s="8">
        <v>1.4</v>
      </c>
      <c r="AJ35" s="8">
        <v>1.4</v>
      </c>
      <c r="AK35" s="8">
        <v>1.3</v>
      </c>
    </row>
    <row r="36" spans="1:37" x14ac:dyDescent="0.3">
      <c r="A36" s="3" t="s">
        <v>431</v>
      </c>
      <c r="B36" s="8">
        <v>99.6</v>
      </c>
      <c r="C36" s="8">
        <v>116</v>
      </c>
      <c r="D36" s="8">
        <v>124.2</v>
      </c>
      <c r="E36" s="8">
        <v>132.80000000000001</v>
      </c>
      <c r="F36" s="8">
        <v>140.80000000000001</v>
      </c>
      <c r="G36" s="8">
        <v>147.9</v>
      </c>
      <c r="H36" s="8">
        <v>152.30000000000001</v>
      </c>
      <c r="I36" s="8">
        <v>146.4</v>
      </c>
      <c r="J36" s="8">
        <v>136.9</v>
      </c>
      <c r="K36" s="8">
        <v>125.7</v>
      </c>
      <c r="L36" s="8">
        <v>116.2</v>
      </c>
      <c r="M36" s="8">
        <v>107.9</v>
      </c>
      <c r="N36" s="8">
        <v>100.8</v>
      </c>
      <c r="O36" s="8">
        <v>94.8</v>
      </c>
      <c r="P36" s="8">
        <v>89.2</v>
      </c>
      <c r="Q36" s="8">
        <v>83.1</v>
      </c>
      <c r="R36" s="8">
        <v>77.099999999999994</v>
      </c>
      <c r="S36" s="8">
        <v>70.8</v>
      </c>
      <c r="T36" s="8">
        <v>58.4</v>
      </c>
      <c r="U36" s="8">
        <v>49.1</v>
      </c>
      <c r="V36" s="8">
        <v>42.8</v>
      </c>
      <c r="W36" s="8">
        <v>31.1</v>
      </c>
      <c r="X36" s="8">
        <v>19.5</v>
      </c>
      <c r="Y36" s="8">
        <v>10.1</v>
      </c>
      <c r="Z36" s="8">
        <v>3.3</v>
      </c>
      <c r="AA36" s="8">
        <v>0.4</v>
      </c>
      <c r="AB36" s="8">
        <v>0.3</v>
      </c>
      <c r="AC36" s="8">
        <v>0.1</v>
      </c>
      <c r="AD36" s="8">
        <v>0.1</v>
      </c>
      <c r="AE36" s="8">
        <v>0.1</v>
      </c>
      <c r="AF36" s="8">
        <v>0.1</v>
      </c>
      <c r="AG36" s="8">
        <v>0.1</v>
      </c>
      <c r="AH36" s="8">
        <v>0.1</v>
      </c>
      <c r="AI36" s="8">
        <v>0.1</v>
      </c>
      <c r="AJ36" s="8">
        <v>0.1</v>
      </c>
      <c r="AK36" s="8">
        <v>0.1</v>
      </c>
    </row>
    <row r="37" spans="1:37" x14ac:dyDescent="0.3">
      <c r="A37" s="3" t="s">
        <v>432</v>
      </c>
      <c r="B37" s="8">
        <v>26.3</v>
      </c>
      <c r="C37" s="8">
        <v>27.9</v>
      </c>
      <c r="D37" s="8">
        <v>26.9</v>
      </c>
      <c r="E37" s="8">
        <v>26.9</v>
      </c>
      <c r="F37" s="8">
        <v>26.7</v>
      </c>
      <c r="G37" s="8">
        <v>27</v>
      </c>
      <c r="H37" s="8">
        <v>28.2</v>
      </c>
      <c r="I37" s="8">
        <v>30.1</v>
      </c>
      <c r="J37" s="8">
        <v>31.1</v>
      </c>
      <c r="K37" s="8">
        <v>31.1</v>
      </c>
      <c r="L37" s="8">
        <v>30.6</v>
      </c>
      <c r="M37" s="8">
        <v>29.3</v>
      </c>
      <c r="N37" s="8">
        <v>27.5</v>
      </c>
      <c r="O37" s="8">
        <v>27.9</v>
      </c>
      <c r="P37" s="8">
        <v>28.4</v>
      </c>
      <c r="Q37" s="8">
        <v>28.1</v>
      </c>
      <c r="R37" s="8">
        <v>28.2</v>
      </c>
      <c r="S37" s="8">
        <v>28.8</v>
      </c>
      <c r="T37" s="8">
        <v>29.2</v>
      </c>
      <c r="U37" s="8">
        <v>28.3</v>
      </c>
      <c r="V37" s="8">
        <v>27.3</v>
      </c>
      <c r="W37" s="8">
        <v>26</v>
      </c>
      <c r="X37" s="8">
        <v>24.4</v>
      </c>
      <c r="Y37" s="8">
        <v>22.8</v>
      </c>
      <c r="Z37" s="8">
        <v>23.3</v>
      </c>
      <c r="AA37" s="8">
        <v>22.3</v>
      </c>
      <c r="AB37" s="8">
        <v>20.2</v>
      </c>
      <c r="AC37" s="8">
        <v>20.100000000000001</v>
      </c>
      <c r="AD37" s="8">
        <v>20.399999999999999</v>
      </c>
      <c r="AE37" s="8">
        <v>21.7</v>
      </c>
      <c r="AF37" s="8">
        <v>17.5</v>
      </c>
      <c r="AG37" s="8">
        <v>15</v>
      </c>
      <c r="AH37" s="8">
        <v>12.8</v>
      </c>
      <c r="AI37" s="8">
        <v>12.4</v>
      </c>
      <c r="AJ37" s="8">
        <v>12.4</v>
      </c>
      <c r="AK37" s="8">
        <v>11.9</v>
      </c>
    </row>
    <row r="38" spans="1:37" x14ac:dyDescent="0.3">
      <c r="A38" s="3" t="s">
        <v>433</v>
      </c>
      <c r="B38" s="8">
        <v>50.2</v>
      </c>
      <c r="C38" s="8">
        <v>44.3</v>
      </c>
      <c r="D38" s="8">
        <v>41.4</v>
      </c>
      <c r="E38" s="8">
        <v>39.700000000000003</v>
      </c>
      <c r="F38" s="8">
        <v>30.3</v>
      </c>
      <c r="G38" s="8">
        <v>35.200000000000003</v>
      </c>
      <c r="H38" s="8">
        <v>38.6</v>
      </c>
      <c r="I38" s="8">
        <v>39.200000000000003</v>
      </c>
      <c r="J38" s="8">
        <v>34.200000000000003</v>
      </c>
      <c r="K38" s="8">
        <v>34.4</v>
      </c>
      <c r="L38" s="8">
        <v>32.4</v>
      </c>
      <c r="M38" s="8">
        <v>30</v>
      </c>
      <c r="N38" s="8">
        <v>32.4</v>
      </c>
      <c r="O38" s="8">
        <v>60.6</v>
      </c>
      <c r="P38" s="8">
        <v>49.5</v>
      </c>
      <c r="Q38" s="8">
        <v>35.9</v>
      </c>
      <c r="R38" s="8">
        <v>41</v>
      </c>
      <c r="S38" s="8">
        <v>42.9</v>
      </c>
      <c r="T38" s="8">
        <v>30.7</v>
      </c>
      <c r="U38" s="8">
        <v>27.6</v>
      </c>
      <c r="V38" s="8">
        <v>25.7</v>
      </c>
      <c r="W38" s="8">
        <v>20.8</v>
      </c>
      <c r="X38" s="8">
        <v>19.2</v>
      </c>
      <c r="Y38" s="8">
        <v>19.399999999999999</v>
      </c>
      <c r="Z38" s="8">
        <v>202</v>
      </c>
      <c r="AA38" s="8">
        <v>99.5</v>
      </c>
      <c r="AB38" s="8">
        <v>37</v>
      </c>
      <c r="AC38" s="8">
        <v>25.1</v>
      </c>
      <c r="AD38" s="8">
        <v>26.5</v>
      </c>
      <c r="AE38" s="8">
        <v>20.5</v>
      </c>
      <c r="AF38" s="8">
        <v>20.6</v>
      </c>
      <c r="AG38" s="8">
        <v>20.5</v>
      </c>
      <c r="AH38" s="8">
        <v>20.3</v>
      </c>
      <c r="AI38" s="8">
        <v>20</v>
      </c>
      <c r="AJ38" s="8">
        <v>19.8</v>
      </c>
      <c r="AK38" s="8">
        <v>19.5</v>
      </c>
    </row>
    <row r="39" spans="1:37" x14ac:dyDescent="0.3">
      <c r="A39" s="3" t="s">
        <v>434</v>
      </c>
      <c r="B39" s="8">
        <v>-18.600000000000001</v>
      </c>
      <c r="C39" s="8">
        <v>-14.6</v>
      </c>
      <c r="D39" s="8">
        <v>-41.8</v>
      </c>
      <c r="E39" s="8">
        <v>-26.3</v>
      </c>
      <c r="F39" s="8">
        <v>-33.1</v>
      </c>
      <c r="G39" s="8">
        <v>-5.3</v>
      </c>
      <c r="H39" s="8">
        <v>35.200000000000003</v>
      </c>
      <c r="I39" s="8">
        <v>45.5</v>
      </c>
      <c r="J39" s="8">
        <v>18.899999999999999</v>
      </c>
      <c r="K39" s="8">
        <v>2.5</v>
      </c>
      <c r="L39" s="8">
        <v>-9.9</v>
      </c>
      <c r="M39" s="8">
        <v>-30.3</v>
      </c>
      <c r="N39" s="8">
        <v>-25.1</v>
      </c>
      <c r="O39" s="8">
        <v>30.3</v>
      </c>
      <c r="P39" s="8">
        <v>4.3</v>
      </c>
      <c r="Q39" s="8">
        <v>-16.7</v>
      </c>
      <c r="R39" s="8">
        <v>-4.5999999999999996</v>
      </c>
      <c r="S39" s="8">
        <v>15.3</v>
      </c>
      <c r="T39" s="8">
        <v>-0.6</v>
      </c>
      <c r="U39" s="8">
        <v>-42.1</v>
      </c>
      <c r="V39" s="8">
        <v>-22.4</v>
      </c>
      <c r="W39" s="8">
        <v>-21.6</v>
      </c>
      <c r="X39" s="8">
        <v>-26.2</v>
      </c>
      <c r="Y39" s="8">
        <v>-19</v>
      </c>
      <c r="Z39" s="8">
        <v>7.9</v>
      </c>
      <c r="AA39" s="8">
        <v>-17.5</v>
      </c>
      <c r="AB39" s="8">
        <v>-26.8</v>
      </c>
      <c r="AC39" s="8">
        <v>-4.7</v>
      </c>
      <c r="AD39" s="8">
        <v>1.8</v>
      </c>
      <c r="AE39" s="8">
        <v>3</v>
      </c>
      <c r="AF39" s="8">
        <v>-97</v>
      </c>
      <c r="AG39" s="8">
        <v>-23.8</v>
      </c>
      <c r="AH39" s="8">
        <v>-2.1</v>
      </c>
      <c r="AI39" s="8">
        <v>-1.5</v>
      </c>
      <c r="AJ39" s="8">
        <v>-3.2</v>
      </c>
      <c r="AK39" s="8">
        <v>-3.7</v>
      </c>
    </row>
    <row r="40" spans="1:37" x14ac:dyDescent="0.3">
      <c r="A40" s="3" t="s">
        <v>435</v>
      </c>
      <c r="B40" s="8">
        <v>135.5</v>
      </c>
      <c r="C40" s="8">
        <v>130.69999999999999</v>
      </c>
      <c r="D40" s="8">
        <v>123.7</v>
      </c>
      <c r="E40" s="8">
        <v>118.6</v>
      </c>
      <c r="F40" s="8">
        <v>114.5</v>
      </c>
      <c r="G40" s="8">
        <v>110</v>
      </c>
      <c r="H40" s="8">
        <v>106.5</v>
      </c>
      <c r="I40" s="8">
        <v>107.9</v>
      </c>
      <c r="J40" s="8">
        <v>109.9</v>
      </c>
      <c r="K40" s="8">
        <v>109</v>
      </c>
      <c r="L40" s="8">
        <v>111.1</v>
      </c>
      <c r="M40" s="8">
        <v>113.6</v>
      </c>
      <c r="N40" s="8">
        <v>115.3</v>
      </c>
      <c r="O40" s="8">
        <v>117.5</v>
      </c>
      <c r="P40" s="8">
        <v>120.3</v>
      </c>
      <c r="Q40" s="8">
        <v>119.2</v>
      </c>
      <c r="R40" s="8">
        <v>115</v>
      </c>
      <c r="S40" s="8">
        <v>111.3</v>
      </c>
      <c r="T40" s="8">
        <v>107.1</v>
      </c>
      <c r="U40" s="8">
        <v>101.9</v>
      </c>
      <c r="V40" s="8">
        <v>94.5</v>
      </c>
      <c r="W40" s="8">
        <v>84.1</v>
      </c>
      <c r="X40" s="8">
        <v>74.5</v>
      </c>
      <c r="Y40" s="8">
        <v>57.1</v>
      </c>
      <c r="Z40" s="8">
        <v>42.6</v>
      </c>
      <c r="AA40" s="8">
        <v>32.299999999999997</v>
      </c>
      <c r="AB40" s="8">
        <v>23.2</v>
      </c>
      <c r="AC40" s="8">
        <v>15.5</v>
      </c>
      <c r="AD40" s="8">
        <v>10.4</v>
      </c>
      <c r="AE40" s="8">
        <v>8.5</v>
      </c>
      <c r="AF40" s="8">
        <v>8.1</v>
      </c>
      <c r="AG40" s="8">
        <v>5.8</v>
      </c>
      <c r="AH40" s="8">
        <v>3.8</v>
      </c>
      <c r="AI40" s="8">
        <v>2.4</v>
      </c>
      <c r="AJ40" s="8">
        <v>2.4</v>
      </c>
      <c r="AK40" s="8">
        <v>2.2000000000000002</v>
      </c>
    </row>
    <row r="41" spans="1:37" ht="15" thickBot="1" x14ac:dyDescent="0.35">
      <c r="A41" s="3" t="s">
        <v>436</v>
      </c>
      <c r="B41" s="8"/>
      <c r="C41" s="8"/>
      <c r="D41" s="8"/>
      <c r="E41" s="8">
        <v>105.7</v>
      </c>
      <c r="F41" s="8">
        <v>111.1</v>
      </c>
      <c r="G41" s="8">
        <v>110.2</v>
      </c>
      <c r="H41" s="8">
        <v>111.1</v>
      </c>
      <c r="I41" s="8">
        <v>113.6</v>
      </c>
      <c r="J41" s="8">
        <v>112.8</v>
      </c>
      <c r="K41" s="8">
        <v>110.8</v>
      </c>
      <c r="L41" s="8">
        <v>109.3</v>
      </c>
      <c r="M41" s="8">
        <v>106.4</v>
      </c>
      <c r="N41" s="8">
        <v>102.7</v>
      </c>
      <c r="O41" s="8">
        <v>110.9</v>
      </c>
      <c r="P41" s="8">
        <v>120.2</v>
      </c>
      <c r="Q41" s="8">
        <v>123.4</v>
      </c>
      <c r="R41" s="8">
        <v>122.6</v>
      </c>
      <c r="S41" s="8">
        <v>120.7</v>
      </c>
      <c r="T41" s="8">
        <v>121.1</v>
      </c>
      <c r="U41" s="8">
        <v>132.9</v>
      </c>
      <c r="V41" s="8">
        <v>143.19999999999999</v>
      </c>
      <c r="W41" s="8">
        <v>151.80000000000001</v>
      </c>
      <c r="X41" s="8">
        <v>155.69999999999999</v>
      </c>
      <c r="Y41" s="8">
        <v>157.69999999999999</v>
      </c>
      <c r="Z41" s="8">
        <v>164.5</v>
      </c>
      <c r="AA41" s="8">
        <v>166.5</v>
      </c>
      <c r="AB41" s="8">
        <v>179.1</v>
      </c>
      <c r="AC41" s="8">
        <v>190.3</v>
      </c>
      <c r="AD41" s="8">
        <v>197.7</v>
      </c>
      <c r="AE41" s="8">
        <v>200.1</v>
      </c>
      <c r="AF41" s="8">
        <v>251.1</v>
      </c>
      <c r="AG41" s="8">
        <v>267</v>
      </c>
      <c r="AH41" s="8">
        <v>265.89999999999998</v>
      </c>
      <c r="AI41" s="8">
        <v>261.2</v>
      </c>
      <c r="AJ41" s="8">
        <v>263.8</v>
      </c>
      <c r="AK41" s="8">
        <v>264.8</v>
      </c>
    </row>
    <row r="42" spans="1:37" ht="15" customHeight="1" x14ac:dyDescent="0.3">
      <c r="A42" s="30" t="s">
        <v>437</v>
      </c>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row>
    <row r="43" spans="1:37" ht="15" customHeight="1" x14ac:dyDescent="0.3">
      <c r="A43" s="32" t="s">
        <v>438</v>
      </c>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row>
    <row r="44" spans="1:37" ht="15" customHeight="1" x14ac:dyDescent="0.3">
      <c r="A44" s="32" t="s">
        <v>439</v>
      </c>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row>
    <row r="45" spans="1:37" ht="15" customHeight="1" x14ac:dyDescent="0.3">
      <c r="A45" s="32" t="s">
        <v>440</v>
      </c>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row>
    <row r="46" spans="1:37" ht="15" customHeight="1" x14ac:dyDescent="0.3">
      <c r="A46" s="32" t="s">
        <v>441</v>
      </c>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row>
    <row r="47" spans="1:37" ht="15" customHeight="1" x14ac:dyDescent="0.3">
      <c r="A47" s="32" t="s">
        <v>442</v>
      </c>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row>
    <row r="48" spans="1:37" ht="15" customHeight="1" x14ac:dyDescent="0.3">
      <c r="A48" s="32" t="s">
        <v>443</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row>
    <row r="49" spans="1:37" ht="15" customHeight="1" x14ac:dyDescent="0.3">
      <c r="A49" s="32" t="s">
        <v>444</v>
      </c>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row>
    <row r="50" spans="1:37" x14ac:dyDescent="0.3">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sheetData>
  <mergeCells count="10">
    <mergeCell ref="A46:AK46"/>
    <mergeCell ref="A47:AK47"/>
    <mergeCell ref="A48:AK48"/>
    <mergeCell ref="A49:AK49"/>
    <mergeCell ref="A1:AK1"/>
    <mergeCell ref="A2:AK2"/>
    <mergeCell ref="A42:AK42"/>
    <mergeCell ref="A43:AK43"/>
    <mergeCell ref="A44:AK44"/>
    <mergeCell ref="A45:AK4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B8500-111B-425F-9ED0-52DB699F9E9C}">
  <dimension ref="A1:AK36"/>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21" width="5" style="1" bestFit="1" customWidth="1"/>
    <col min="22" max="22" width="5.109375" style="1" bestFit="1" customWidth="1"/>
    <col min="23" max="37" width="5" style="1" bestFit="1" customWidth="1"/>
    <col min="38" max="16384" width="9.109375" style="1"/>
  </cols>
  <sheetData>
    <row r="1" spans="1:37" ht="15" customHeight="1" x14ac:dyDescent="0.3">
      <c r="A1" s="28" t="s">
        <v>362</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363</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ht="15" customHeight="1" x14ac:dyDescent="0.3">
      <c r="A4" s="36" t="s">
        <v>364</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row>
    <row r="5" spans="1:37" x14ac:dyDescent="0.3">
      <c r="A5" s="16" t="s">
        <v>365</v>
      </c>
      <c r="B5" s="8">
        <v>2.1</v>
      </c>
      <c r="C5" s="8">
        <v>2.2999999999999998</v>
      </c>
      <c r="D5" s="8">
        <v>1.5</v>
      </c>
      <c r="E5" s="8">
        <v>3.1</v>
      </c>
      <c r="F5" s="8">
        <v>1</v>
      </c>
      <c r="G5" s="8">
        <v>4.2</v>
      </c>
      <c r="H5" s="8">
        <v>3.4</v>
      </c>
      <c r="I5" s="8">
        <v>1.1000000000000001</v>
      </c>
      <c r="J5" s="8">
        <v>2.5</v>
      </c>
      <c r="K5" s="8">
        <v>2</v>
      </c>
      <c r="L5" s="8">
        <v>2.7</v>
      </c>
      <c r="M5" s="8">
        <v>3.2</v>
      </c>
      <c r="N5" s="8">
        <v>4.0999999999999996</v>
      </c>
      <c r="O5" s="8">
        <v>3.4</v>
      </c>
      <c r="P5" s="8">
        <v>0.8</v>
      </c>
      <c r="Q5" s="8">
        <v>1.9</v>
      </c>
      <c r="R5" s="8">
        <v>3.2</v>
      </c>
      <c r="S5" s="8">
        <v>2.4</v>
      </c>
      <c r="T5" s="8">
        <v>1</v>
      </c>
      <c r="U5" s="8">
        <v>0.2</v>
      </c>
      <c r="V5" s="8">
        <v>-0.4</v>
      </c>
      <c r="W5" s="8">
        <v>1.5</v>
      </c>
      <c r="X5" s="8">
        <v>1.4</v>
      </c>
      <c r="Y5" s="8">
        <v>2.1</v>
      </c>
      <c r="Z5" s="8">
        <v>5.3</v>
      </c>
      <c r="AA5" s="8">
        <v>0.2</v>
      </c>
      <c r="AB5" s="8">
        <v>4.5999999999999996</v>
      </c>
      <c r="AC5" s="8">
        <v>7.6</v>
      </c>
      <c r="AD5" s="8">
        <v>3.5</v>
      </c>
      <c r="AE5" s="8">
        <v>3.2</v>
      </c>
      <c r="AF5" s="8">
        <v>2.8</v>
      </c>
      <c r="AG5" s="8">
        <v>3.7</v>
      </c>
      <c r="AH5" s="8">
        <v>2.2999999999999998</v>
      </c>
      <c r="AI5" s="8">
        <v>2</v>
      </c>
      <c r="AJ5" s="8">
        <v>2</v>
      </c>
      <c r="AK5" s="8">
        <v>1.9</v>
      </c>
    </row>
    <row r="6" spans="1:37" x14ac:dyDescent="0.3">
      <c r="A6" s="21" t="s">
        <v>366</v>
      </c>
      <c r="B6" s="25">
        <v>1.7</v>
      </c>
      <c r="C6" s="25">
        <v>2.5</v>
      </c>
      <c r="D6" s="25">
        <v>1.4</v>
      </c>
      <c r="E6" s="25">
        <v>3.1</v>
      </c>
      <c r="F6" s="25">
        <v>1</v>
      </c>
      <c r="G6" s="25">
        <v>4.2</v>
      </c>
      <c r="H6" s="25">
        <v>3.4</v>
      </c>
      <c r="I6" s="25">
        <v>0.9</v>
      </c>
      <c r="J6" s="25">
        <v>2.2000000000000002</v>
      </c>
      <c r="K6" s="25">
        <v>1.5</v>
      </c>
      <c r="L6" s="25">
        <v>2.2000000000000002</v>
      </c>
      <c r="M6" s="25">
        <v>2.7</v>
      </c>
      <c r="N6" s="25">
        <v>3.7</v>
      </c>
      <c r="O6" s="25">
        <v>2.8</v>
      </c>
      <c r="P6" s="25">
        <v>0</v>
      </c>
      <c r="Q6" s="25">
        <v>1.6</v>
      </c>
      <c r="R6" s="25">
        <v>3.3</v>
      </c>
      <c r="S6" s="25">
        <v>2.5</v>
      </c>
      <c r="T6" s="25">
        <v>0.8</v>
      </c>
      <c r="U6" s="25">
        <v>0.1</v>
      </c>
      <c r="V6" s="25">
        <v>-0.3</v>
      </c>
      <c r="W6" s="25">
        <v>1.7</v>
      </c>
      <c r="X6" s="25">
        <v>1.2</v>
      </c>
      <c r="Y6" s="25">
        <v>2</v>
      </c>
      <c r="Z6" s="25">
        <v>4.5</v>
      </c>
      <c r="AA6" s="25">
        <v>0</v>
      </c>
      <c r="AB6" s="25">
        <v>4.9000000000000004</v>
      </c>
      <c r="AC6" s="25">
        <v>8</v>
      </c>
      <c r="AD6" s="25">
        <v>3.5</v>
      </c>
      <c r="AE6" s="25">
        <v>3.1</v>
      </c>
      <c r="AF6" s="25">
        <v>2.8</v>
      </c>
      <c r="AG6" s="25">
        <v>3.8</v>
      </c>
      <c r="AH6" s="25">
        <v>2.4</v>
      </c>
      <c r="AI6" s="25">
        <v>2</v>
      </c>
      <c r="AJ6" s="25">
        <v>1.9</v>
      </c>
      <c r="AK6" s="25">
        <v>1.9</v>
      </c>
    </row>
    <row r="7" spans="1:37" x14ac:dyDescent="0.3">
      <c r="A7" s="16" t="s">
        <v>367</v>
      </c>
      <c r="B7" s="8">
        <v>1.7</v>
      </c>
      <c r="C7" s="8">
        <v>2.9</v>
      </c>
      <c r="D7" s="8">
        <v>1.2</v>
      </c>
      <c r="E7" s="8">
        <v>3.7</v>
      </c>
      <c r="F7" s="8">
        <v>1.7</v>
      </c>
      <c r="G7" s="8">
        <v>3.6</v>
      </c>
      <c r="H7" s="8">
        <v>3.8</v>
      </c>
      <c r="I7" s="8">
        <v>1.7</v>
      </c>
      <c r="J7" s="8">
        <v>2</v>
      </c>
      <c r="K7" s="8">
        <v>1.4</v>
      </c>
      <c r="L7" s="8">
        <v>3.4</v>
      </c>
      <c r="M7" s="8">
        <v>3.4</v>
      </c>
      <c r="N7" s="8">
        <v>3.4</v>
      </c>
      <c r="O7" s="8">
        <v>0.7</v>
      </c>
      <c r="P7" s="8">
        <v>1.1000000000000001</v>
      </c>
      <c r="Q7" s="8">
        <v>2.9</v>
      </c>
      <c r="R7" s="8">
        <v>2.9</v>
      </c>
      <c r="S7" s="8">
        <v>2.1</v>
      </c>
      <c r="T7" s="8">
        <v>0.8</v>
      </c>
      <c r="U7" s="8">
        <v>0.1</v>
      </c>
      <c r="V7" s="8">
        <v>0.2</v>
      </c>
      <c r="W7" s="8">
        <v>1.9</v>
      </c>
      <c r="X7" s="8">
        <v>1.8</v>
      </c>
      <c r="Y7" s="8">
        <v>2</v>
      </c>
      <c r="Z7" s="8">
        <v>-2.7</v>
      </c>
      <c r="AA7" s="8">
        <v>5.9</v>
      </c>
      <c r="AB7" s="8">
        <v>7.6</v>
      </c>
      <c r="AC7" s="8">
        <v>7.7</v>
      </c>
      <c r="AD7" s="8">
        <v>3.1</v>
      </c>
      <c r="AE7" s="8">
        <v>3.3</v>
      </c>
      <c r="AF7" s="8">
        <v>2.7</v>
      </c>
      <c r="AG7" s="8">
        <v>3.7</v>
      </c>
      <c r="AH7" s="8">
        <v>2.2999999999999998</v>
      </c>
      <c r="AI7" s="8">
        <v>2.1</v>
      </c>
      <c r="AJ7" s="8">
        <v>2.1</v>
      </c>
      <c r="AK7" s="8">
        <v>1.9</v>
      </c>
    </row>
    <row r="8" spans="1:37" x14ac:dyDescent="0.3">
      <c r="A8" s="16" t="s">
        <v>368</v>
      </c>
      <c r="B8" s="8">
        <v>2.2999999999999998</v>
      </c>
      <c r="C8" s="8">
        <v>1.7</v>
      </c>
      <c r="D8" s="8">
        <v>1.2</v>
      </c>
      <c r="E8" s="8">
        <v>3.6</v>
      </c>
      <c r="F8" s="8">
        <v>1.9</v>
      </c>
      <c r="G8" s="8">
        <v>4.2</v>
      </c>
      <c r="H8" s="8">
        <v>2.7</v>
      </c>
      <c r="I8" s="8">
        <v>1</v>
      </c>
      <c r="J8" s="8">
        <v>2.8</v>
      </c>
      <c r="K8" s="8">
        <v>2</v>
      </c>
      <c r="L8" s="8">
        <v>2.8</v>
      </c>
      <c r="M8" s="8">
        <v>2.4</v>
      </c>
      <c r="N8" s="8">
        <v>4</v>
      </c>
      <c r="O8" s="8">
        <v>3</v>
      </c>
      <c r="P8" s="8">
        <v>1</v>
      </c>
      <c r="Q8" s="8">
        <v>2.8</v>
      </c>
      <c r="R8" s="8">
        <v>3.2</v>
      </c>
      <c r="S8" s="8">
        <v>2.6</v>
      </c>
      <c r="T8" s="8">
        <v>1.3</v>
      </c>
      <c r="U8" s="8">
        <v>0.6</v>
      </c>
      <c r="V8" s="8">
        <v>1.4</v>
      </c>
      <c r="W8" s="8">
        <v>1.9</v>
      </c>
      <c r="X8" s="8">
        <v>1.9</v>
      </c>
      <c r="Y8" s="8">
        <v>2.1</v>
      </c>
      <c r="Z8" s="8">
        <v>5</v>
      </c>
      <c r="AA8" s="8">
        <v>0.9</v>
      </c>
      <c r="AB8" s="8">
        <v>4.9000000000000004</v>
      </c>
      <c r="AC8" s="8">
        <v>7.8</v>
      </c>
      <c r="AD8" s="8">
        <v>2.8</v>
      </c>
      <c r="AE8" s="8">
        <v>3</v>
      </c>
      <c r="AF8" s="8">
        <v>2.9</v>
      </c>
      <c r="AG8" s="8">
        <v>3.6</v>
      </c>
      <c r="AH8" s="8">
        <v>2.2999999999999998</v>
      </c>
      <c r="AI8" s="8">
        <v>2.1</v>
      </c>
      <c r="AJ8" s="8">
        <v>2</v>
      </c>
      <c r="AK8" s="8">
        <v>1.9</v>
      </c>
    </row>
    <row r="9" spans="1:37" x14ac:dyDescent="0.3">
      <c r="A9" s="16" t="s">
        <v>369</v>
      </c>
      <c r="B9" s="8">
        <v>1.8</v>
      </c>
      <c r="C9" s="8">
        <v>2.2999999999999998</v>
      </c>
      <c r="D9" s="8">
        <v>0.8</v>
      </c>
      <c r="E9" s="8">
        <v>4.0999999999999996</v>
      </c>
      <c r="F9" s="8">
        <v>2.7</v>
      </c>
      <c r="G9" s="8">
        <v>3.5</v>
      </c>
      <c r="H9" s="8">
        <v>3.1</v>
      </c>
      <c r="I9" s="8">
        <v>1.7</v>
      </c>
      <c r="J9" s="8">
        <v>2.2000000000000002</v>
      </c>
      <c r="K9" s="8">
        <v>1.4</v>
      </c>
      <c r="L9" s="8">
        <v>3.5</v>
      </c>
      <c r="M9" s="8">
        <v>2.6</v>
      </c>
      <c r="N9" s="8">
        <v>3.2</v>
      </c>
      <c r="O9" s="8">
        <v>0.4</v>
      </c>
      <c r="P9" s="8">
        <v>1.3</v>
      </c>
      <c r="Q9" s="8">
        <v>3.8</v>
      </c>
      <c r="R9" s="8">
        <v>2.9</v>
      </c>
      <c r="S9" s="8">
        <v>2.2999999999999998</v>
      </c>
      <c r="T9" s="8">
        <v>1.1000000000000001</v>
      </c>
      <c r="U9" s="8">
        <v>0.4</v>
      </c>
      <c r="V9" s="8">
        <v>2</v>
      </c>
      <c r="W9" s="8">
        <v>2.2000000000000002</v>
      </c>
      <c r="X9" s="8">
        <v>2.2999999999999998</v>
      </c>
      <c r="Y9" s="8">
        <v>2.1</v>
      </c>
      <c r="Z9" s="8">
        <v>-3</v>
      </c>
      <c r="AA9" s="8">
        <v>6.6</v>
      </c>
      <c r="AB9" s="8">
        <v>8</v>
      </c>
      <c r="AC9" s="8">
        <v>7.9</v>
      </c>
      <c r="AD9" s="8">
        <v>2.4</v>
      </c>
      <c r="AE9" s="8">
        <v>3.2</v>
      </c>
      <c r="AF9" s="8">
        <v>2.8</v>
      </c>
      <c r="AG9" s="8">
        <v>3.6</v>
      </c>
      <c r="AH9" s="8">
        <v>2.2999999999999998</v>
      </c>
      <c r="AI9" s="8">
        <v>2.2000000000000002</v>
      </c>
      <c r="AJ9" s="8">
        <v>2.1</v>
      </c>
      <c r="AK9" s="8">
        <v>2</v>
      </c>
    </row>
    <row r="10" spans="1:37" x14ac:dyDescent="0.3">
      <c r="A10" s="16" t="s">
        <v>370</v>
      </c>
      <c r="B10" s="8">
        <v>1.9</v>
      </c>
      <c r="C10" s="8">
        <v>1.6</v>
      </c>
      <c r="D10" s="8">
        <v>1.3</v>
      </c>
      <c r="E10" s="8">
        <v>1.1000000000000001</v>
      </c>
      <c r="F10" s="8">
        <v>1.5</v>
      </c>
      <c r="G10" s="8">
        <v>2.5</v>
      </c>
      <c r="H10" s="8">
        <v>2.2999999999999998</v>
      </c>
      <c r="I10" s="8">
        <v>1.5</v>
      </c>
      <c r="J10" s="8">
        <v>1.4</v>
      </c>
      <c r="K10" s="8">
        <v>2</v>
      </c>
      <c r="L10" s="8">
        <v>1.8</v>
      </c>
      <c r="M10" s="8">
        <v>1.6</v>
      </c>
      <c r="N10" s="8">
        <v>2.9</v>
      </c>
      <c r="O10" s="8">
        <v>2.5</v>
      </c>
      <c r="P10" s="8">
        <v>0.5</v>
      </c>
      <c r="Q10" s="8">
        <v>2.7</v>
      </c>
      <c r="R10" s="8">
        <v>2.8</v>
      </c>
      <c r="S10" s="8">
        <v>1.9</v>
      </c>
      <c r="T10" s="8">
        <v>0.8</v>
      </c>
      <c r="U10" s="8">
        <v>0.1</v>
      </c>
      <c r="V10" s="8">
        <v>0.6</v>
      </c>
      <c r="W10" s="8">
        <v>1.6</v>
      </c>
      <c r="X10" s="8">
        <v>1.6</v>
      </c>
      <c r="Y10" s="8">
        <v>1.8</v>
      </c>
      <c r="Z10" s="8">
        <v>1</v>
      </c>
      <c r="AA10" s="8">
        <v>1.1000000000000001</v>
      </c>
      <c r="AB10" s="8">
        <v>5.6</v>
      </c>
      <c r="AC10" s="8">
        <v>8</v>
      </c>
      <c r="AD10" s="8">
        <v>2.5</v>
      </c>
      <c r="AE10" s="8">
        <v>3.1</v>
      </c>
      <c r="AF10" s="8">
        <v>2.6</v>
      </c>
      <c r="AG10" s="8">
        <v>3.4</v>
      </c>
      <c r="AH10" s="8">
        <v>2</v>
      </c>
      <c r="AI10" s="8">
        <v>1.9</v>
      </c>
      <c r="AJ10" s="8">
        <v>1.8</v>
      </c>
      <c r="AK10" s="8">
        <v>1.7</v>
      </c>
    </row>
    <row r="11" spans="1:37" x14ac:dyDescent="0.3">
      <c r="A11" s="16" t="s">
        <v>371</v>
      </c>
      <c r="B11" s="8">
        <v>0.4</v>
      </c>
      <c r="C11" s="8">
        <v>0.1</v>
      </c>
      <c r="D11" s="8">
        <v>-0.1</v>
      </c>
      <c r="E11" s="8">
        <v>2.4</v>
      </c>
      <c r="F11" s="8">
        <v>0.4</v>
      </c>
      <c r="G11" s="8">
        <v>1.6</v>
      </c>
      <c r="H11" s="8">
        <v>0.5</v>
      </c>
      <c r="I11" s="8">
        <v>-0.4</v>
      </c>
      <c r="J11" s="8">
        <v>1.3</v>
      </c>
      <c r="K11" s="8">
        <v>0</v>
      </c>
      <c r="L11" s="8">
        <v>1</v>
      </c>
      <c r="M11" s="8">
        <v>0.8</v>
      </c>
      <c r="N11" s="8">
        <v>1</v>
      </c>
      <c r="O11" s="8">
        <v>0.5</v>
      </c>
      <c r="P11" s="8">
        <v>0.5</v>
      </c>
      <c r="Q11" s="8">
        <v>0.1</v>
      </c>
      <c r="R11" s="8">
        <v>0.4</v>
      </c>
      <c r="S11" s="8">
        <v>0.7</v>
      </c>
      <c r="T11" s="8">
        <v>0.5</v>
      </c>
      <c r="U11" s="8">
        <v>0.5</v>
      </c>
      <c r="V11" s="8">
        <v>0.8</v>
      </c>
      <c r="W11" s="8">
        <v>0.3</v>
      </c>
      <c r="X11" s="8">
        <v>0.3</v>
      </c>
      <c r="Y11" s="8">
        <v>0.3</v>
      </c>
      <c r="Z11" s="8">
        <v>4</v>
      </c>
      <c r="AA11" s="8">
        <v>-0.2</v>
      </c>
      <c r="AB11" s="8">
        <v>-0.6</v>
      </c>
      <c r="AC11" s="8">
        <v>-0.1</v>
      </c>
      <c r="AD11" s="8">
        <v>0.3</v>
      </c>
      <c r="AE11" s="8">
        <v>-0.1</v>
      </c>
      <c r="AF11" s="8">
        <v>0.3</v>
      </c>
      <c r="AG11" s="8">
        <v>0.3</v>
      </c>
      <c r="AH11" s="8">
        <v>0.2</v>
      </c>
      <c r="AI11" s="8">
        <v>0.2</v>
      </c>
      <c r="AJ11" s="8">
        <v>0.2</v>
      </c>
      <c r="AK11" s="8">
        <v>0.2</v>
      </c>
    </row>
    <row r="12" spans="1:37" x14ac:dyDescent="0.3">
      <c r="A12" s="16" t="s">
        <v>372</v>
      </c>
      <c r="B12" s="8">
        <v>-0.1</v>
      </c>
      <c r="C12" s="8">
        <v>0.7</v>
      </c>
      <c r="D12" s="8">
        <v>-0.5</v>
      </c>
      <c r="E12" s="8">
        <v>2.9</v>
      </c>
      <c r="F12" s="8">
        <v>1.2</v>
      </c>
      <c r="G12" s="8">
        <v>1</v>
      </c>
      <c r="H12" s="8">
        <v>0.8</v>
      </c>
      <c r="I12" s="8">
        <v>0.2</v>
      </c>
      <c r="J12" s="8">
        <v>0.8</v>
      </c>
      <c r="K12" s="8">
        <v>-0.6</v>
      </c>
      <c r="L12" s="8">
        <v>1.6</v>
      </c>
      <c r="M12" s="8">
        <v>1</v>
      </c>
      <c r="N12" s="8">
        <v>0.3</v>
      </c>
      <c r="O12" s="8">
        <v>-2</v>
      </c>
      <c r="P12" s="8">
        <v>0.8</v>
      </c>
      <c r="Q12" s="8">
        <v>1.1000000000000001</v>
      </c>
      <c r="R12" s="8">
        <v>0.1</v>
      </c>
      <c r="S12" s="8">
        <v>0.4</v>
      </c>
      <c r="T12" s="8">
        <v>0.4</v>
      </c>
      <c r="U12" s="8">
        <v>0.3</v>
      </c>
      <c r="V12" s="8">
        <v>1.4</v>
      </c>
      <c r="W12" s="8">
        <v>0.6</v>
      </c>
      <c r="X12" s="8">
        <v>0.6</v>
      </c>
      <c r="Y12" s="8">
        <v>0.3</v>
      </c>
      <c r="Z12" s="8">
        <v>-4</v>
      </c>
      <c r="AA12" s="8">
        <v>5.5</v>
      </c>
      <c r="AB12" s="8">
        <v>2.2999999999999998</v>
      </c>
      <c r="AC12" s="8">
        <v>0</v>
      </c>
      <c r="AD12" s="8">
        <v>-0.1</v>
      </c>
      <c r="AE12" s="8">
        <v>0.1</v>
      </c>
      <c r="AF12" s="8">
        <v>0.2</v>
      </c>
      <c r="AG12" s="8">
        <v>0.2</v>
      </c>
      <c r="AH12" s="8">
        <v>0.2</v>
      </c>
      <c r="AI12" s="8">
        <v>0.3</v>
      </c>
      <c r="AJ12" s="8">
        <v>0.3</v>
      </c>
      <c r="AK12" s="8">
        <v>0.2</v>
      </c>
    </row>
    <row r="13" spans="1:37" x14ac:dyDescent="0.3">
      <c r="A13" s="16" t="s">
        <v>373</v>
      </c>
      <c r="B13" s="8">
        <v>-0.2</v>
      </c>
      <c r="C13" s="8">
        <v>1.7</v>
      </c>
      <c r="D13" s="8">
        <v>2.2000000000000002</v>
      </c>
      <c r="E13" s="8">
        <v>2.2000000000000002</v>
      </c>
      <c r="F13" s="8">
        <v>3.8</v>
      </c>
      <c r="G13" s="8">
        <v>1.6</v>
      </c>
      <c r="H13" s="8">
        <v>0.4</v>
      </c>
      <c r="I13" s="8">
        <v>0.1</v>
      </c>
      <c r="J13" s="8">
        <v>0.3</v>
      </c>
      <c r="K13" s="8">
        <v>1</v>
      </c>
      <c r="L13" s="8">
        <v>2.2999999999999998</v>
      </c>
      <c r="M13" s="8">
        <v>2.5</v>
      </c>
      <c r="N13" s="8">
        <v>1.4</v>
      </c>
      <c r="O13" s="8">
        <v>-3.7</v>
      </c>
      <c r="P13" s="8">
        <v>1.1000000000000001</v>
      </c>
      <c r="Q13" s="8">
        <v>2.7</v>
      </c>
      <c r="R13" s="8">
        <v>0</v>
      </c>
      <c r="S13" s="8">
        <v>-0.8</v>
      </c>
      <c r="T13" s="8">
        <v>-0.2</v>
      </c>
      <c r="U13" s="8">
        <v>0.9</v>
      </c>
      <c r="V13" s="8">
        <v>2.1</v>
      </c>
      <c r="W13" s="8">
        <v>2</v>
      </c>
      <c r="X13" s="8">
        <v>2</v>
      </c>
      <c r="Y13" s="8">
        <v>1.7</v>
      </c>
      <c r="Z13" s="8">
        <v>-8.1999999999999993</v>
      </c>
      <c r="AA13" s="8">
        <v>7.1</v>
      </c>
      <c r="AB13" s="8">
        <v>5.0999999999999996</v>
      </c>
      <c r="AC13" s="8">
        <v>0.7</v>
      </c>
      <c r="AD13" s="8">
        <v>-0.5</v>
      </c>
      <c r="AE13" s="8">
        <v>0.1</v>
      </c>
      <c r="AF13" s="8">
        <v>-0.1</v>
      </c>
      <c r="AG13" s="8">
        <v>0.8</v>
      </c>
      <c r="AH13" s="8">
        <v>1.1000000000000001</v>
      </c>
      <c r="AI13" s="8">
        <v>1.3</v>
      </c>
      <c r="AJ13" s="8">
        <v>1.2</v>
      </c>
      <c r="AK13" s="8">
        <v>1.1000000000000001</v>
      </c>
    </row>
    <row r="14" spans="1:37" x14ac:dyDescent="0.3">
      <c r="A14" s="16" t="s">
        <v>374</v>
      </c>
      <c r="B14" s="8">
        <v>0.2</v>
      </c>
      <c r="C14" s="8">
        <v>1.2</v>
      </c>
      <c r="D14" s="8">
        <v>2.5</v>
      </c>
      <c r="E14" s="8">
        <v>1.7</v>
      </c>
      <c r="F14" s="8">
        <v>3</v>
      </c>
      <c r="G14" s="8">
        <v>2.2000000000000002</v>
      </c>
      <c r="H14" s="8">
        <v>0</v>
      </c>
      <c r="I14" s="8">
        <v>-0.5</v>
      </c>
      <c r="J14" s="8">
        <v>0.8</v>
      </c>
      <c r="K14" s="8">
        <v>1.5</v>
      </c>
      <c r="L14" s="8">
        <v>1.6</v>
      </c>
      <c r="M14" s="8">
        <v>2.2999999999999998</v>
      </c>
      <c r="N14" s="8">
        <v>2.1</v>
      </c>
      <c r="O14" s="8">
        <v>-1.2</v>
      </c>
      <c r="P14" s="8">
        <v>0.8</v>
      </c>
      <c r="Q14" s="8">
        <v>1.7</v>
      </c>
      <c r="R14" s="8">
        <v>0.3</v>
      </c>
      <c r="S14" s="8">
        <v>-0.5</v>
      </c>
      <c r="T14" s="8">
        <v>-0.1</v>
      </c>
      <c r="U14" s="8">
        <v>1</v>
      </c>
      <c r="V14" s="8">
        <v>1.5</v>
      </c>
      <c r="W14" s="8">
        <v>1.6</v>
      </c>
      <c r="X14" s="8">
        <v>1.6</v>
      </c>
      <c r="Y14" s="8">
        <v>1.7</v>
      </c>
      <c r="Z14" s="8">
        <v>-0.6</v>
      </c>
      <c r="AA14" s="8">
        <v>1.4</v>
      </c>
      <c r="AB14" s="8">
        <v>2.2000000000000002</v>
      </c>
      <c r="AC14" s="8">
        <v>0.7</v>
      </c>
      <c r="AD14" s="8">
        <v>-0.1</v>
      </c>
      <c r="AE14" s="8">
        <v>-0.1</v>
      </c>
      <c r="AF14" s="8">
        <v>0</v>
      </c>
      <c r="AG14" s="8">
        <v>0.8</v>
      </c>
      <c r="AH14" s="8">
        <v>1.1000000000000001</v>
      </c>
      <c r="AI14" s="8">
        <v>1.2</v>
      </c>
      <c r="AJ14" s="8">
        <v>1.1000000000000001</v>
      </c>
      <c r="AK14" s="8">
        <v>1</v>
      </c>
    </row>
    <row r="15" spans="1:37" x14ac:dyDescent="0.3">
      <c r="A15" s="15" t="s">
        <v>375</v>
      </c>
      <c r="B15" s="8">
        <v>2</v>
      </c>
      <c r="C15" s="8">
        <v>4.0999999999999996</v>
      </c>
      <c r="D15" s="8">
        <v>3.7</v>
      </c>
      <c r="E15" s="8">
        <v>5.4</v>
      </c>
      <c r="F15" s="8">
        <v>4.8</v>
      </c>
      <c r="G15" s="8">
        <v>5.9</v>
      </c>
      <c r="H15" s="8">
        <v>3.8</v>
      </c>
      <c r="I15" s="8">
        <v>1.2</v>
      </c>
      <c r="J15" s="8">
        <v>2.8</v>
      </c>
      <c r="K15" s="8">
        <v>2.9</v>
      </c>
      <c r="L15" s="8">
        <v>5</v>
      </c>
      <c r="M15" s="8">
        <v>5.8</v>
      </c>
      <c r="N15" s="8">
        <v>5.6</v>
      </c>
      <c r="O15" s="8">
        <v>-0.5</v>
      </c>
      <c r="P15" s="8">
        <v>1.9</v>
      </c>
      <c r="Q15" s="8">
        <v>4.7</v>
      </c>
      <c r="R15" s="8">
        <v>3.2</v>
      </c>
      <c r="S15" s="8">
        <v>1.6</v>
      </c>
      <c r="T15" s="8">
        <v>0.8</v>
      </c>
      <c r="U15" s="8">
        <v>1.2</v>
      </c>
      <c r="V15" s="8">
        <v>1.7</v>
      </c>
      <c r="W15" s="8">
        <v>3.5</v>
      </c>
      <c r="X15" s="8">
        <v>3.4</v>
      </c>
      <c r="Y15" s="8">
        <v>3.8</v>
      </c>
      <c r="Z15" s="8">
        <v>-3.3</v>
      </c>
      <c r="AA15" s="8">
        <v>7.3</v>
      </c>
      <c r="AB15" s="8">
        <v>10</v>
      </c>
      <c r="AC15" s="8">
        <v>8.4</v>
      </c>
      <c r="AD15" s="8">
        <v>3</v>
      </c>
      <c r="AE15" s="8">
        <v>3.3</v>
      </c>
      <c r="AF15" s="8">
        <v>2.7</v>
      </c>
      <c r="AG15" s="8">
        <v>4.5</v>
      </c>
      <c r="AH15" s="8">
        <v>3.4</v>
      </c>
      <c r="AI15" s="8">
        <v>3.3</v>
      </c>
      <c r="AJ15" s="8">
        <v>3.2</v>
      </c>
      <c r="AK15" s="8">
        <v>3</v>
      </c>
    </row>
    <row r="16" spans="1:37" ht="15" thickBot="1" x14ac:dyDescent="0.35">
      <c r="A16" s="15" t="s">
        <v>376</v>
      </c>
      <c r="B16" s="8">
        <v>2.1</v>
      </c>
      <c r="C16" s="8">
        <v>3.5</v>
      </c>
      <c r="D16" s="8">
        <v>3.4</v>
      </c>
      <c r="E16" s="8">
        <v>5.9</v>
      </c>
      <c r="F16" s="8">
        <v>5.8</v>
      </c>
      <c r="G16" s="8">
        <v>5.8</v>
      </c>
      <c r="H16" s="8">
        <v>3.1</v>
      </c>
      <c r="I16" s="8">
        <v>1.2</v>
      </c>
      <c r="J16" s="8">
        <v>3.1</v>
      </c>
      <c r="K16" s="8">
        <v>3</v>
      </c>
      <c r="L16" s="8">
        <v>5.2</v>
      </c>
      <c r="M16" s="8">
        <v>5</v>
      </c>
      <c r="N16" s="8">
        <v>5.4</v>
      </c>
      <c r="O16" s="8">
        <v>-0.8</v>
      </c>
      <c r="P16" s="8">
        <v>2.1</v>
      </c>
      <c r="Q16" s="8">
        <v>5.6</v>
      </c>
      <c r="R16" s="8">
        <v>3.2</v>
      </c>
      <c r="S16" s="8">
        <v>1.8</v>
      </c>
      <c r="T16" s="8">
        <v>1.1000000000000001</v>
      </c>
      <c r="U16" s="8">
        <v>1.5</v>
      </c>
      <c r="V16" s="8">
        <v>3.5</v>
      </c>
      <c r="W16" s="8">
        <v>3.9</v>
      </c>
      <c r="X16" s="8">
        <v>4</v>
      </c>
      <c r="Y16" s="8">
        <v>3.8</v>
      </c>
      <c r="Z16" s="8">
        <v>-3.6</v>
      </c>
      <c r="AA16" s="8">
        <v>8.1</v>
      </c>
      <c r="AB16" s="8">
        <v>10.3</v>
      </c>
      <c r="AC16" s="8">
        <v>8.6</v>
      </c>
      <c r="AD16" s="8">
        <v>2.2999999999999998</v>
      </c>
      <c r="AE16" s="8">
        <v>3.1</v>
      </c>
      <c r="AF16" s="8">
        <v>2.8</v>
      </c>
      <c r="AG16" s="8">
        <v>4.4000000000000004</v>
      </c>
      <c r="AH16" s="8">
        <v>3.4</v>
      </c>
      <c r="AI16" s="8">
        <v>3.4</v>
      </c>
      <c r="AJ16" s="8">
        <v>3.3</v>
      </c>
      <c r="AK16" s="8">
        <v>3</v>
      </c>
    </row>
    <row r="17" spans="1:37" ht="15" customHeight="1" x14ac:dyDescent="0.3">
      <c r="A17" s="36" t="s">
        <v>377</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row>
    <row r="18" spans="1:37" x14ac:dyDescent="0.3">
      <c r="A18" s="16" t="s">
        <v>378</v>
      </c>
      <c r="B18" s="8">
        <v>34.1</v>
      </c>
      <c r="C18" s="8">
        <v>34.9</v>
      </c>
      <c r="D18" s="8">
        <v>35.4</v>
      </c>
      <c r="E18" s="8">
        <v>34.799999999999997</v>
      </c>
      <c r="F18" s="8">
        <v>33.5</v>
      </c>
      <c r="G18" s="8">
        <v>33.6</v>
      </c>
      <c r="H18" s="8">
        <v>34.5</v>
      </c>
      <c r="I18" s="8">
        <v>34.6</v>
      </c>
      <c r="J18" s="8">
        <v>34.200000000000003</v>
      </c>
      <c r="K18" s="8">
        <v>34.200000000000003</v>
      </c>
      <c r="L18" s="8">
        <v>34.1</v>
      </c>
      <c r="M18" s="8">
        <v>35.1</v>
      </c>
      <c r="N18" s="8">
        <v>35.299999999999997</v>
      </c>
      <c r="O18" s="8">
        <v>35.799999999999997</v>
      </c>
      <c r="P18" s="8">
        <v>35.6</v>
      </c>
      <c r="Q18" s="8">
        <v>34.5</v>
      </c>
      <c r="R18" s="8">
        <v>34.5</v>
      </c>
      <c r="S18" s="8">
        <v>34.200000000000003</v>
      </c>
      <c r="T18" s="8">
        <v>33.700000000000003</v>
      </c>
      <c r="U18" s="8">
        <v>33.299999999999997</v>
      </c>
      <c r="V18" s="8">
        <v>31</v>
      </c>
      <c r="W18" s="8">
        <v>30.6</v>
      </c>
      <c r="X18" s="8">
        <v>29.9</v>
      </c>
      <c r="Y18" s="8">
        <v>29.8</v>
      </c>
      <c r="Z18" s="8">
        <v>30.2</v>
      </c>
      <c r="AA18" s="8">
        <v>29.3</v>
      </c>
      <c r="AB18" s="8">
        <v>28.9</v>
      </c>
      <c r="AC18" s="8">
        <v>28.6</v>
      </c>
      <c r="AD18" s="8">
        <v>29.4</v>
      </c>
      <c r="AE18" s="8">
        <v>29.6</v>
      </c>
      <c r="AF18" s="8">
        <v>29.5</v>
      </c>
      <c r="AG18" s="8">
        <v>29.6</v>
      </c>
      <c r="AH18" s="8">
        <v>29.6</v>
      </c>
      <c r="AI18" s="8">
        <v>29.4</v>
      </c>
      <c r="AJ18" s="8">
        <v>29.4</v>
      </c>
      <c r="AK18" s="8">
        <v>29.3</v>
      </c>
    </row>
    <row r="19" spans="1:37" x14ac:dyDescent="0.3">
      <c r="A19" s="16" t="s">
        <v>379</v>
      </c>
      <c r="B19" s="8">
        <v>25.2</v>
      </c>
      <c r="C19" s="8">
        <v>25.4</v>
      </c>
      <c r="D19" s="8">
        <v>25.4</v>
      </c>
      <c r="E19" s="8">
        <v>25.1</v>
      </c>
      <c r="F19" s="8">
        <v>23.9</v>
      </c>
      <c r="G19" s="8">
        <v>23.7</v>
      </c>
      <c r="H19" s="8">
        <v>24.2</v>
      </c>
      <c r="I19" s="8">
        <v>24.1</v>
      </c>
      <c r="J19" s="8">
        <v>24.1</v>
      </c>
      <c r="K19" s="8">
        <v>24.1</v>
      </c>
      <c r="L19" s="8">
        <v>24</v>
      </c>
      <c r="M19" s="8">
        <v>24.4</v>
      </c>
      <c r="N19" s="8">
        <v>24.5</v>
      </c>
      <c r="O19" s="8">
        <v>24.8</v>
      </c>
      <c r="P19" s="8">
        <v>24.8</v>
      </c>
      <c r="Q19" s="8">
        <v>24.7</v>
      </c>
      <c r="R19" s="8">
        <v>24.7</v>
      </c>
      <c r="S19" s="8">
        <v>24.6</v>
      </c>
      <c r="T19" s="8">
        <v>24.5</v>
      </c>
      <c r="U19" s="8">
        <v>24.3</v>
      </c>
      <c r="V19" s="8">
        <v>22.7</v>
      </c>
      <c r="W19" s="8">
        <v>22.3</v>
      </c>
      <c r="X19" s="8">
        <v>21.6</v>
      </c>
      <c r="Y19" s="8">
        <v>21.6</v>
      </c>
      <c r="Z19" s="8">
        <v>21.8</v>
      </c>
      <c r="AA19" s="8">
        <v>21.3</v>
      </c>
      <c r="AB19" s="8">
        <v>21.2</v>
      </c>
      <c r="AC19" s="8">
        <v>20.7</v>
      </c>
      <c r="AD19" s="8">
        <v>21.5</v>
      </c>
      <c r="AE19" s="8">
        <v>21.7</v>
      </c>
      <c r="AF19" s="8">
        <v>21.4</v>
      </c>
      <c r="AG19" s="8">
        <v>21.6</v>
      </c>
      <c r="AH19" s="8">
        <v>21.7</v>
      </c>
      <c r="AI19" s="8">
        <v>21.6</v>
      </c>
      <c r="AJ19" s="8">
        <v>21.6</v>
      </c>
      <c r="AK19" s="8">
        <v>21.6</v>
      </c>
    </row>
    <row r="20" spans="1:37" x14ac:dyDescent="0.3">
      <c r="A20" s="16" t="s">
        <v>380</v>
      </c>
      <c r="B20" s="8">
        <v>10.5</v>
      </c>
      <c r="C20" s="8">
        <v>10.5</v>
      </c>
      <c r="D20" s="8">
        <v>10.6</v>
      </c>
      <c r="E20" s="8">
        <v>10.5</v>
      </c>
      <c r="F20" s="8">
        <v>10.5</v>
      </c>
      <c r="G20" s="8">
        <v>10.6</v>
      </c>
      <c r="H20" s="8">
        <v>10.5</v>
      </c>
      <c r="I20" s="8">
        <v>10.3</v>
      </c>
      <c r="J20" s="8">
        <v>10.4</v>
      </c>
      <c r="K20" s="8">
        <v>10.1</v>
      </c>
      <c r="L20" s="8">
        <v>9.9</v>
      </c>
      <c r="M20" s="8">
        <v>10</v>
      </c>
      <c r="N20" s="8">
        <v>9.9</v>
      </c>
      <c r="O20" s="8">
        <v>10</v>
      </c>
      <c r="P20" s="8">
        <v>10</v>
      </c>
      <c r="Q20" s="8">
        <v>10</v>
      </c>
      <c r="R20" s="8">
        <v>10.1</v>
      </c>
      <c r="S20" s="8">
        <v>10.1</v>
      </c>
      <c r="T20" s="8">
        <v>10.1</v>
      </c>
      <c r="U20" s="8">
        <v>10.1</v>
      </c>
      <c r="V20" s="8">
        <v>9.9</v>
      </c>
      <c r="W20" s="8">
        <v>9.9</v>
      </c>
      <c r="X20" s="8">
        <v>9.9</v>
      </c>
      <c r="Y20" s="8">
        <v>9.9</v>
      </c>
      <c r="Z20" s="8">
        <v>10</v>
      </c>
      <c r="AA20" s="8">
        <v>9.8000000000000007</v>
      </c>
      <c r="AB20" s="8">
        <v>9.8000000000000007</v>
      </c>
      <c r="AC20" s="8">
        <v>9.9</v>
      </c>
      <c r="AD20" s="8">
        <v>10</v>
      </c>
      <c r="AE20" s="8">
        <v>10</v>
      </c>
      <c r="AF20" s="8">
        <v>10</v>
      </c>
      <c r="AG20" s="8">
        <v>10</v>
      </c>
      <c r="AH20" s="8">
        <v>9.9</v>
      </c>
      <c r="AI20" s="8">
        <v>9.8000000000000007</v>
      </c>
      <c r="AJ20" s="8">
        <v>9.8000000000000007</v>
      </c>
      <c r="AK20" s="8">
        <v>9.8000000000000007</v>
      </c>
    </row>
    <row r="21" spans="1:37" x14ac:dyDescent="0.3">
      <c r="A21" s="2" t="s">
        <v>381</v>
      </c>
      <c r="B21" s="8">
        <v>32.6</v>
      </c>
      <c r="C21" s="8">
        <v>33.700000000000003</v>
      </c>
      <c r="D21" s="8">
        <v>33.9</v>
      </c>
      <c r="E21" s="8">
        <v>33.299999999999997</v>
      </c>
      <c r="F21" s="8">
        <v>32.1</v>
      </c>
      <c r="G21" s="8">
        <v>32.1</v>
      </c>
      <c r="H21" s="8">
        <v>33</v>
      </c>
      <c r="I21" s="8">
        <v>32.9</v>
      </c>
      <c r="J21" s="8">
        <v>32.200000000000003</v>
      </c>
      <c r="K21" s="8">
        <v>31.6</v>
      </c>
      <c r="L21" s="8">
        <v>30.8</v>
      </c>
      <c r="M21" s="8">
        <v>31.1</v>
      </c>
      <c r="N21" s="8">
        <v>30.7</v>
      </c>
      <c r="O21" s="8">
        <v>30.4</v>
      </c>
      <c r="P21" s="8">
        <v>29.2</v>
      </c>
      <c r="Q21" s="8">
        <v>27.7</v>
      </c>
      <c r="R21" s="8">
        <v>27.8</v>
      </c>
      <c r="S21" s="8">
        <v>27.6</v>
      </c>
      <c r="T21" s="8">
        <v>27</v>
      </c>
      <c r="U21" s="8">
        <v>26.4</v>
      </c>
      <c r="V21" s="8">
        <v>24.3</v>
      </c>
      <c r="W21" s="8">
        <v>24.1</v>
      </c>
      <c r="X21" s="8">
        <v>23.2</v>
      </c>
      <c r="Y21" s="8">
        <v>23</v>
      </c>
      <c r="Z21" s="8">
        <v>22.5</v>
      </c>
      <c r="AA21" s="8">
        <v>21.4</v>
      </c>
      <c r="AB21" s="8">
        <v>21.4</v>
      </c>
      <c r="AC21" s="8">
        <v>21.5</v>
      </c>
      <c r="AD21" s="8">
        <v>22.4</v>
      </c>
      <c r="AE21" s="8">
        <v>22.6</v>
      </c>
      <c r="AF21" s="8">
        <v>22.5</v>
      </c>
      <c r="AG21" s="8">
        <v>22.7</v>
      </c>
      <c r="AH21" s="8">
        <v>22.9</v>
      </c>
      <c r="AI21" s="8">
        <v>22.7</v>
      </c>
      <c r="AJ21" s="8">
        <v>22.6</v>
      </c>
      <c r="AK21" s="8">
        <v>22.6</v>
      </c>
    </row>
    <row r="22" spans="1:37" x14ac:dyDescent="0.3">
      <c r="A22" s="2" t="s">
        <v>382</v>
      </c>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spans="1:37" x14ac:dyDescent="0.3">
      <c r="A23" s="16" t="s">
        <v>383</v>
      </c>
      <c r="B23" s="8">
        <v>2.1</v>
      </c>
      <c r="C23" s="8">
        <v>1.6</v>
      </c>
      <c r="D23" s="8">
        <v>0.9</v>
      </c>
      <c r="E23" s="8">
        <v>1.1000000000000001</v>
      </c>
      <c r="F23" s="8">
        <v>2.5</v>
      </c>
      <c r="G23" s="8">
        <v>2.5</v>
      </c>
      <c r="H23" s="8">
        <v>1.6</v>
      </c>
      <c r="I23" s="8">
        <v>1.6</v>
      </c>
      <c r="J23" s="8">
        <v>2.1</v>
      </c>
      <c r="K23" s="8">
        <v>2.8</v>
      </c>
      <c r="L23" s="8">
        <v>1.8</v>
      </c>
      <c r="M23" s="8">
        <v>1.8</v>
      </c>
      <c r="N23" s="8">
        <v>4.5</v>
      </c>
      <c r="O23" s="8">
        <v>-0.1</v>
      </c>
      <c r="P23" s="8">
        <v>2.2000000000000002</v>
      </c>
      <c r="Q23" s="8">
        <v>3.5</v>
      </c>
      <c r="R23" s="8">
        <v>2.8</v>
      </c>
      <c r="S23" s="8">
        <v>1.1000000000000001</v>
      </c>
      <c r="T23" s="8">
        <v>0.3</v>
      </c>
      <c r="U23" s="8">
        <v>0.6</v>
      </c>
      <c r="V23" s="8">
        <v>2</v>
      </c>
      <c r="W23" s="8">
        <v>2.1</v>
      </c>
      <c r="X23" s="8">
        <v>2.1</v>
      </c>
      <c r="Y23" s="8">
        <v>1.4</v>
      </c>
      <c r="Z23" s="8">
        <v>0.7</v>
      </c>
      <c r="AA23" s="8">
        <v>2.4</v>
      </c>
      <c r="AB23" s="8">
        <v>9.6</v>
      </c>
      <c r="AC23" s="8">
        <v>4.0999999999999996</v>
      </c>
      <c r="AD23" s="8">
        <v>3.1</v>
      </c>
      <c r="AE23" s="8">
        <v>2.5</v>
      </c>
      <c r="AF23" s="8">
        <v>3.4</v>
      </c>
      <c r="AG23" s="8">
        <v>2.9</v>
      </c>
      <c r="AH23" s="8">
        <v>2.2999999999999998</v>
      </c>
      <c r="AI23" s="8">
        <v>1.8</v>
      </c>
      <c r="AJ23" s="8">
        <v>1.7</v>
      </c>
      <c r="AK23" s="8">
        <v>1.7</v>
      </c>
    </row>
    <row r="24" spans="1:37" x14ac:dyDescent="0.3">
      <c r="A24" s="16" t="s">
        <v>384</v>
      </c>
      <c r="B24" s="8">
        <v>1.7</v>
      </c>
      <c r="C24" s="8">
        <v>1.3</v>
      </c>
      <c r="D24" s="8">
        <v>1.3</v>
      </c>
      <c r="E24" s="8">
        <v>0.9</v>
      </c>
      <c r="F24" s="8">
        <v>1.9</v>
      </c>
      <c r="G24" s="8">
        <v>2.7</v>
      </c>
      <c r="H24" s="8">
        <v>1.8</v>
      </c>
      <c r="I24" s="8">
        <v>1.5</v>
      </c>
      <c r="J24" s="8">
        <v>1.6</v>
      </c>
      <c r="K24" s="8">
        <v>2.2000000000000002</v>
      </c>
      <c r="L24" s="8">
        <v>1.8</v>
      </c>
      <c r="M24" s="8">
        <v>1.8</v>
      </c>
      <c r="N24" s="8">
        <v>4.2</v>
      </c>
      <c r="O24" s="8">
        <v>0.6</v>
      </c>
      <c r="P24" s="8">
        <v>1.7</v>
      </c>
      <c r="Q24" s="8">
        <v>3.1</v>
      </c>
      <c r="R24" s="8">
        <v>2.6</v>
      </c>
      <c r="S24" s="8">
        <v>1.2</v>
      </c>
      <c r="T24" s="8">
        <v>0.4</v>
      </c>
      <c r="U24" s="8">
        <v>1</v>
      </c>
      <c r="V24" s="8">
        <v>2.1</v>
      </c>
      <c r="W24" s="8">
        <v>1.8</v>
      </c>
      <c r="X24" s="8">
        <v>1.8</v>
      </c>
      <c r="Y24" s="8">
        <v>1.5</v>
      </c>
      <c r="Z24" s="8">
        <v>1</v>
      </c>
      <c r="AA24" s="8">
        <v>2</v>
      </c>
      <c r="AB24" s="8">
        <v>9.3000000000000007</v>
      </c>
      <c r="AC24" s="8">
        <v>4.3</v>
      </c>
      <c r="AD24" s="8">
        <v>3.3</v>
      </c>
      <c r="AE24" s="8">
        <v>2.6</v>
      </c>
      <c r="AF24" s="8">
        <v>3.2</v>
      </c>
      <c r="AG24" s="8">
        <v>3.1</v>
      </c>
      <c r="AH24" s="8">
        <v>2.2000000000000002</v>
      </c>
      <c r="AI24" s="8">
        <v>1.8</v>
      </c>
      <c r="AJ24" s="8">
        <v>1.8</v>
      </c>
      <c r="AK24" s="8">
        <v>1.7</v>
      </c>
    </row>
    <row r="25" spans="1:37" x14ac:dyDescent="0.3">
      <c r="A25" s="16" t="s">
        <v>385</v>
      </c>
      <c r="B25" s="8">
        <v>1.3</v>
      </c>
      <c r="C25" s="8">
        <v>1.2</v>
      </c>
      <c r="D25" s="8">
        <v>1.5</v>
      </c>
      <c r="E25" s="8">
        <v>1.2</v>
      </c>
      <c r="F25" s="8">
        <v>1.5</v>
      </c>
      <c r="G25" s="8">
        <v>2.2999999999999998</v>
      </c>
      <c r="H25" s="8">
        <v>2.7</v>
      </c>
      <c r="I25" s="8">
        <v>1.3</v>
      </c>
      <c r="J25" s="8">
        <v>1.3</v>
      </c>
      <c r="K25" s="8">
        <v>2.2999999999999998</v>
      </c>
      <c r="L25" s="8">
        <v>1.7</v>
      </c>
      <c r="M25" s="8">
        <v>1.7</v>
      </c>
      <c r="N25" s="8">
        <v>3.5</v>
      </c>
      <c r="O25" s="8">
        <v>2.5</v>
      </c>
      <c r="P25" s="8">
        <v>0.5</v>
      </c>
      <c r="Q25" s="8">
        <v>2.7</v>
      </c>
      <c r="R25" s="8">
        <v>2.5</v>
      </c>
      <c r="S25" s="8">
        <v>2.2999999999999998</v>
      </c>
      <c r="T25" s="8">
        <v>0</v>
      </c>
      <c r="U25" s="8">
        <v>0</v>
      </c>
      <c r="V25" s="8">
        <v>1</v>
      </c>
      <c r="W25" s="8">
        <v>2</v>
      </c>
      <c r="X25" s="8">
        <v>1.5</v>
      </c>
      <c r="Y25" s="8">
        <v>1.5</v>
      </c>
      <c r="Z25" s="8">
        <v>1.5</v>
      </c>
      <c r="AA25" s="8">
        <v>1</v>
      </c>
      <c r="AB25" s="8">
        <v>7</v>
      </c>
      <c r="AC25" s="8">
        <v>7</v>
      </c>
      <c r="AD25" s="8">
        <v>3</v>
      </c>
      <c r="AE25" s="8">
        <v>2.5</v>
      </c>
      <c r="AF25" s="8">
        <v>2.5</v>
      </c>
      <c r="AG25" s="8">
        <v>3</v>
      </c>
      <c r="AH25" s="8">
        <v>2.2000000000000002</v>
      </c>
      <c r="AI25" s="8">
        <v>1.7</v>
      </c>
      <c r="AJ25" s="8">
        <v>2</v>
      </c>
      <c r="AK25" s="8">
        <v>1.8</v>
      </c>
    </row>
    <row r="26" spans="1:37" x14ac:dyDescent="0.3">
      <c r="A26" s="16" t="s">
        <v>386</v>
      </c>
      <c r="B26" s="8">
        <v>1.3</v>
      </c>
      <c r="C26" s="8">
        <v>1.2</v>
      </c>
      <c r="D26" s="8">
        <v>1.5</v>
      </c>
      <c r="E26" s="8">
        <v>1.2</v>
      </c>
      <c r="F26" s="8">
        <v>1.5</v>
      </c>
      <c r="G26" s="8">
        <v>2.5</v>
      </c>
      <c r="H26" s="8">
        <v>2.7</v>
      </c>
      <c r="I26" s="8">
        <v>1.3</v>
      </c>
      <c r="J26" s="8">
        <v>1.3</v>
      </c>
      <c r="K26" s="8">
        <v>2.2999999999999998</v>
      </c>
      <c r="L26" s="8">
        <v>1.7</v>
      </c>
      <c r="M26" s="8">
        <v>1.5</v>
      </c>
      <c r="N26" s="8">
        <v>4.0999999999999996</v>
      </c>
      <c r="O26" s="8">
        <v>2</v>
      </c>
      <c r="P26" s="8">
        <v>0.7</v>
      </c>
      <c r="Q26" s="8">
        <v>2.7</v>
      </c>
      <c r="R26" s="8">
        <v>2.7</v>
      </c>
      <c r="S26" s="8">
        <v>2</v>
      </c>
      <c r="T26" s="8">
        <v>0</v>
      </c>
      <c r="U26" s="8">
        <v>0</v>
      </c>
      <c r="V26" s="8">
        <v>1.2</v>
      </c>
      <c r="W26" s="8">
        <v>2</v>
      </c>
      <c r="X26" s="8">
        <v>1.5</v>
      </c>
      <c r="Y26" s="8">
        <v>1.3</v>
      </c>
      <c r="Z26" s="8">
        <v>1.7</v>
      </c>
      <c r="AA26" s="8">
        <v>1</v>
      </c>
      <c r="AB26" s="8">
        <v>7.9</v>
      </c>
      <c r="AC26" s="8">
        <v>6.1</v>
      </c>
      <c r="AD26" s="8">
        <v>3</v>
      </c>
      <c r="AE26" s="8">
        <v>2.5</v>
      </c>
      <c r="AF26" s="8">
        <v>2.4</v>
      </c>
      <c r="AG26" s="8">
        <v>3.2</v>
      </c>
      <c r="AH26" s="8">
        <v>2.5</v>
      </c>
      <c r="AI26" s="8">
        <v>1.7</v>
      </c>
      <c r="AJ26" s="8">
        <v>2</v>
      </c>
      <c r="AK26" s="8">
        <v>1.8</v>
      </c>
    </row>
    <row r="27" spans="1:37" ht="15" customHeight="1" x14ac:dyDescent="0.3">
      <c r="A27" s="34" t="s">
        <v>387</v>
      </c>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row>
    <row r="28" spans="1:37" x14ac:dyDescent="0.3">
      <c r="A28" s="16" t="s">
        <v>388</v>
      </c>
      <c r="B28" s="8">
        <v>1.1000000000000001</v>
      </c>
      <c r="C28" s="8">
        <v>4.3</v>
      </c>
      <c r="D28" s="8">
        <v>2.2000000000000002</v>
      </c>
      <c r="E28" s="8">
        <v>3.6</v>
      </c>
      <c r="F28" s="8">
        <v>3.9</v>
      </c>
      <c r="G28" s="8">
        <v>1.6</v>
      </c>
      <c r="H28" s="8">
        <v>1.5</v>
      </c>
      <c r="I28" s="8">
        <v>1.1000000000000001</v>
      </c>
      <c r="J28" s="8">
        <v>3.4</v>
      </c>
      <c r="K28" s="8">
        <v>2.5</v>
      </c>
      <c r="L28" s="8">
        <v>2.7</v>
      </c>
      <c r="M28" s="8">
        <v>4.2</v>
      </c>
      <c r="N28" s="8">
        <v>0.7</v>
      </c>
      <c r="O28" s="8">
        <v>-2.2999999999999998</v>
      </c>
      <c r="P28" s="8">
        <v>3</v>
      </c>
      <c r="Q28" s="8">
        <v>2.7</v>
      </c>
      <c r="R28" s="8">
        <v>0</v>
      </c>
      <c r="S28" s="8">
        <v>0.2</v>
      </c>
      <c r="T28" s="8">
        <v>1.6</v>
      </c>
      <c r="U28" s="8">
        <v>1.9</v>
      </c>
      <c r="V28" s="8">
        <v>0.8</v>
      </c>
      <c r="W28" s="8">
        <v>1.7</v>
      </c>
      <c r="X28" s="8">
        <v>2.2000000000000002</v>
      </c>
      <c r="Y28" s="8">
        <v>2.9</v>
      </c>
      <c r="Z28" s="8">
        <v>-5</v>
      </c>
      <c r="AA28" s="8">
        <v>6.7</v>
      </c>
      <c r="AB28" s="8">
        <v>4.5999999999999996</v>
      </c>
      <c r="AC28" s="8">
        <v>2</v>
      </c>
      <c r="AD28" s="8">
        <v>1</v>
      </c>
      <c r="AE28" s="8">
        <v>0.8</v>
      </c>
      <c r="AF28" s="8">
        <v>0.8</v>
      </c>
      <c r="AG28" s="8">
        <v>1.2</v>
      </c>
      <c r="AH28" s="8">
        <v>1.4</v>
      </c>
      <c r="AI28" s="8">
        <v>1.7</v>
      </c>
      <c r="AJ28" s="8">
        <v>1.5</v>
      </c>
      <c r="AK28" s="8">
        <v>1.4</v>
      </c>
    </row>
    <row r="29" spans="1:37" x14ac:dyDescent="0.3">
      <c r="A29" s="16" t="s">
        <v>389</v>
      </c>
      <c r="B29" s="8">
        <v>0.1</v>
      </c>
      <c r="C29" s="8">
        <v>1.4</v>
      </c>
      <c r="D29" s="8">
        <v>1.4</v>
      </c>
      <c r="E29" s="8">
        <v>1.6</v>
      </c>
      <c r="F29" s="8">
        <v>3.1</v>
      </c>
      <c r="G29" s="8">
        <v>0.8</v>
      </c>
      <c r="H29" s="8">
        <v>0.7</v>
      </c>
      <c r="I29" s="8">
        <v>-0.1</v>
      </c>
      <c r="J29" s="8">
        <v>-0.1</v>
      </c>
      <c r="K29" s="8">
        <v>0.7</v>
      </c>
      <c r="L29" s="8">
        <v>2.5</v>
      </c>
      <c r="M29" s="8">
        <v>2.2000000000000002</v>
      </c>
      <c r="N29" s="8">
        <v>1.1000000000000001</v>
      </c>
      <c r="O29" s="8">
        <v>-2.1</v>
      </c>
      <c r="P29" s="8">
        <v>2</v>
      </c>
      <c r="Q29" s="8">
        <v>2.8</v>
      </c>
      <c r="R29" s="8">
        <v>0.2</v>
      </c>
      <c r="S29" s="8">
        <v>-0.3</v>
      </c>
      <c r="T29" s="8">
        <v>-0.1</v>
      </c>
      <c r="U29" s="8">
        <v>0.7</v>
      </c>
      <c r="V29" s="8">
        <v>1.5</v>
      </c>
      <c r="W29" s="8">
        <v>1.8</v>
      </c>
      <c r="X29" s="8">
        <v>1.8</v>
      </c>
      <c r="Y29" s="8">
        <v>1.7</v>
      </c>
      <c r="Z29" s="8">
        <v>-9.6</v>
      </c>
      <c r="AA29" s="8">
        <v>9.5</v>
      </c>
      <c r="AB29" s="8">
        <v>5.0999999999999996</v>
      </c>
      <c r="AC29" s="8">
        <v>0.8</v>
      </c>
      <c r="AD29" s="8">
        <v>-0.4</v>
      </c>
      <c r="AE29" s="8">
        <v>0.6</v>
      </c>
      <c r="AF29" s="8">
        <v>0.5</v>
      </c>
      <c r="AG29" s="8">
        <v>0.9</v>
      </c>
      <c r="AH29" s="8">
        <v>1</v>
      </c>
      <c r="AI29" s="8">
        <v>1.2</v>
      </c>
      <c r="AJ29" s="8">
        <v>1.3</v>
      </c>
      <c r="AK29" s="8">
        <v>1.2</v>
      </c>
    </row>
    <row r="30" spans="1:37" ht="15" thickBot="1" x14ac:dyDescent="0.35">
      <c r="A30" s="16" t="s">
        <v>390</v>
      </c>
      <c r="B30" s="8">
        <v>1</v>
      </c>
      <c r="C30" s="8">
        <v>2.8</v>
      </c>
      <c r="D30" s="8">
        <v>0.8</v>
      </c>
      <c r="E30" s="8">
        <v>2</v>
      </c>
      <c r="F30" s="8">
        <v>0.8</v>
      </c>
      <c r="G30" s="8">
        <v>0.8</v>
      </c>
      <c r="H30" s="8">
        <v>0.8</v>
      </c>
      <c r="I30" s="8">
        <v>1.2</v>
      </c>
      <c r="J30" s="8">
        <v>3.5</v>
      </c>
      <c r="K30" s="8">
        <v>1.9</v>
      </c>
      <c r="L30" s="8">
        <v>0.2</v>
      </c>
      <c r="M30" s="8">
        <v>2</v>
      </c>
      <c r="N30" s="8">
        <v>-0.5</v>
      </c>
      <c r="O30" s="8">
        <v>-0.2</v>
      </c>
      <c r="P30" s="8">
        <v>1</v>
      </c>
      <c r="Q30" s="8">
        <v>-0.2</v>
      </c>
      <c r="R30" s="8">
        <v>-0.2</v>
      </c>
      <c r="S30" s="8">
        <v>0.5</v>
      </c>
      <c r="T30" s="8">
        <v>1.7</v>
      </c>
      <c r="U30" s="8">
        <v>1.2</v>
      </c>
      <c r="V30" s="8">
        <v>-0.7</v>
      </c>
      <c r="W30" s="8">
        <v>-0.1</v>
      </c>
      <c r="X30" s="8">
        <v>0.3</v>
      </c>
      <c r="Y30" s="8">
        <v>1.1000000000000001</v>
      </c>
      <c r="Z30" s="8">
        <v>5.0999999999999996</v>
      </c>
      <c r="AA30" s="8">
        <v>-2.5</v>
      </c>
      <c r="AB30" s="8">
        <v>-0.4</v>
      </c>
      <c r="AC30" s="8">
        <v>1.2</v>
      </c>
      <c r="AD30" s="8">
        <v>1.4</v>
      </c>
      <c r="AE30" s="8">
        <v>0.2</v>
      </c>
      <c r="AF30" s="8">
        <v>0.3</v>
      </c>
      <c r="AG30" s="8">
        <v>0.3</v>
      </c>
      <c r="AH30" s="8">
        <v>0.4</v>
      </c>
      <c r="AI30" s="8">
        <v>0.5</v>
      </c>
      <c r="AJ30" s="8">
        <v>0.2</v>
      </c>
      <c r="AK30" s="8">
        <v>0.2</v>
      </c>
    </row>
    <row r="31" spans="1:37" ht="30" customHeight="1" x14ac:dyDescent="0.3">
      <c r="A31" s="30" t="s">
        <v>391</v>
      </c>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row>
    <row r="32" spans="1:37" ht="15" customHeight="1" x14ac:dyDescent="0.3">
      <c r="A32" s="32" t="s">
        <v>392</v>
      </c>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row>
    <row r="33" spans="1:37" ht="15" customHeight="1" x14ac:dyDescent="0.3">
      <c r="A33" s="32" t="s">
        <v>393</v>
      </c>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row>
    <row r="34" spans="1:37" ht="15" customHeight="1" x14ac:dyDescent="0.3">
      <c r="A34" s="32" t="s">
        <v>394</v>
      </c>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row>
    <row r="35" spans="1:37" ht="15" customHeight="1" x14ac:dyDescent="0.3">
      <c r="A35" s="32" t="s">
        <v>395</v>
      </c>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row>
    <row r="36" spans="1:37" x14ac:dyDescent="0.3">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sheetData>
  <mergeCells count="10">
    <mergeCell ref="A32:AK32"/>
    <mergeCell ref="A33:AK33"/>
    <mergeCell ref="A34:AK34"/>
    <mergeCell ref="A35:AK35"/>
    <mergeCell ref="A1:AK1"/>
    <mergeCell ref="A2:AK2"/>
    <mergeCell ref="A4:AK4"/>
    <mergeCell ref="A17:AK17"/>
    <mergeCell ref="A27:AK27"/>
    <mergeCell ref="A31:AK3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B3D62-E6B7-4B1C-BA19-883977327121}">
  <dimension ref="A1:AK48"/>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15" width="5.88671875" style="1" bestFit="1" customWidth="1"/>
    <col min="16" max="37" width="6" style="1" bestFit="1" customWidth="1"/>
    <col min="38" max="16384" width="9.109375" style="1"/>
  </cols>
  <sheetData>
    <row r="1" spans="1:37" ht="15" customHeight="1" x14ac:dyDescent="0.3">
      <c r="A1" s="28" t="s">
        <v>316</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38" t="s">
        <v>78</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row>
    <row r="3" spans="1:37" ht="15" thickBot="1" x14ac:dyDescent="0.35">
      <c r="A3" s="4"/>
      <c r="B3" s="23">
        <v>1996</v>
      </c>
      <c r="C3" s="23">
        <v>1997</v>
      </c>
      <c r="D3" s="23">
        <v>1998</v>
      </c>
      <c r="E3" s="23">
        <v>1999</v>
      </c>
      <c r="F3" s="23">
        <v>2000</v>
      </c>
      <c r="G3" s="23">
        <v>2001</v>
      </c>
      <c r="H3" s="23">
        <v>2002</v>
      </c>
      <c r="I3" s="23">
        <v>2003</v>
      </c>
      <c r="J3" s="23">
        <v>2004</v>
      </c>
      <c r="K3" s="23">
        <v>2005</v>
      </c>
      <c r="L3" s="23">
        <v>2006</v>
      </c>
      <c r="M3" s="23">
        <v>2007</v>
      </c>
      <c r="N3" s="23">
        <v>2008</v>
      </c>
      <c r="O3" s="23">
        <v>2009</v>
      </c>
      <c r="P3" s="23">
        <v>2010</v>
      </c>
      <c r="Q3" s="23">
        <v>2011</v>
      </c>
      <c r="R3" s="23">
        <v>2012</v>
      </c>
      <c r="S3" s="23">
        <v>2013</v>
      </c>
      <c r="T3" s="23">
        <v>2014</v>
      </c>
      <c r="U3" s="23">
        <v>2015</v>
      </c>
      <c r="V3" s="23">
        <v>2016</v>
      </c>
      <c r="W3" s="23">
        <v>2017</v>
      </c>
      <c r="X3" s="23">
        <v>2018</v>
      </c>
      <c r="Y3" s="23">
        <v>2019</v>
      </c>
      <c r="Z3" s="23">
        <v>2020</v>
      </c>
      <c r="AA3" s="23">
        <v>2021</v>
      </c>
      <c r="AB3" s="23">
        <v>2022</v>
      </c>
      <c r="AC3" s="23">
        <v>2023</v>
      </c>
      <c r="AD3" s="23">
        <v>2024</v>
      </c>
      <c r="AE3" s="23">
        <v>2025</v>
      </c>
      <c r="AF3" s="23">
        <v>2026</v>
      </c>
      <c r="AG3" s="23">
        <v>2027</v>
      </c>
      <c r="AH3" s="23">
        <v>2028</v>
      </c>
      <c r="AI3" s="23">
        <v>2029</v>
      </c>
      <c r="AJ3" s="23">
        <v>2030</v>
      </c>
      <c r="AK3" s="23">
        <v>2031</v>
      </c>
    </row>
    <row r="4" spans="1:37" x14ac:dyDescent="0.3">
      <c r="A4" s="12" t="s">
        <v>317</v>
      </c>
      <c r="B4" s="12">
        <v>1306</v>
      </c>
      <c r="C4" s="12">
        <v>1195</v>
      </c>
      <c r="D4" s="12">
        <v>1595</v>
      </c>
      <c r="E4" s="12">
        <v>1518</v>
      </c>
      <c r="F4" s="12">
        <v>2588</v>
      </c>
      <c r="G4" s="12">
        <v>2976</v>
      </c>
      <c r="H4" s="12">
        <v>3029</v>
      </c>
      <c r="I4" s="12">
        <v>3170</v>
      </c>
      <c r="J4" s="12">
        <v>3784</v>
      </c>
      <c r="K4" s="12">
        <v>4253</v>
      </c>
      <c r="L4" s="12">
        <v>4419</v>
      </c>
      <c r="M4" s="12">
        <v>4778</v>
      </c>
      <c r="N4" s="12">
        <v>4916</v>
      </c>
      <c r="O4" s="12">
        <v>4721</v>
      </c>
      <c r="P4" s="12">
        <v>4867</v>
      </c>
      <c r="Q4" s="12">
        <v>5001</v>
      </c>
      <c r="R4" s="12">
        <v>4944</v>
      </c>
      <c r="S4" s="12">
        <v>5114</v>
      </c>
      <c r="T4" s="12">
        <v>5383</v>
      </c>
      <c r="U4" s="12">
        <v>5362</v>
      </c>
      <c r="V4" s="12">
        <v>7250</v>
      </c>
      <c r="W4" s="12">
        <v>8090</v>
      </c>
      <c r="X4" s="12">
        <v>8968</v>
      </c>
      <c r="Y4" s="12">
        <v>9478</v>
      </c>
      <c r="Z4" s="12">
        <v>8852</v>
      </c>
      <c r="AA4" s="12">
        <v>9600</v>
      </c>
      <c r="AB4" s="12">
        <v>10625</v>
      </c>
      <c r="AC4" s="12">
        <v>11323</v>
      </c>
      <c r="AD4" s="12">
        <v>11436</v>
      </c>
      <c r="AE4" s="12">
        <v>11785</v>
      </c>
      <c r="AF4" s="12">
        <v>12054</v>
      </c>
      <c r="AG4" s="12">
        <v>12284</v>
      </c>
      <c r="AH4" s="12">
        <v>12593</v>
      </c>
      <c r="AI4" s="12">
        <v>12935</v>
      </c>
      <c r="AJ4" s="12">
        <v>13284</v>
      </c>
      <c r="AK4" s="12">
        <v>13610</v>
      </c>
    </row>
    <row r="5" spans="1:37" x14ac:dyDescent="0.3">
      <c r="A5" s="14" t="s">
        <v>318</v>
      </c>
      <c r="B5" s="3">
        <v>776</v>
      </c>
      <c r="C5" s="3">
        <v>928</v>
      </c>
      <c r="D5" s="3">
        <v>1103</v>
      </c>
      <c r="E5" s="3">
        <v>1263</v>
      </c>
      <c r="F5" s="3">
        <v>2328</v>
      </c>
      <c r="G5" s="3">
        <v>2697</v>
      </c>
      <c r="H5" s="3">
        <v>2760</v>
      </c>
      <c r="I5" s="3">
        <v>2878</v>
      </c>
      <c r="J5" s="3">
        <v>3416</v>
      </c>
      <c r="K5" s="3">
        <v>3813</v>
      </c>
      <c r="L5" s="3">
        <v>3887</v>
      </c>
      <c r="M5" s="3">
        <v>4020</v>
      </c>
      <c r="N5" s="3">
        <v>4094</v>
      </c>
      <c r="O5" s="3">
        <v>3934</v>
      </c>
      <c r="P5" s="3">
        <v>4032</v>
      </c>
      <c r="Q5" s="3">
        <v>4112</v>
      </c>
      <c r="R5" s="3">
        <v>4070</v>
      </c>
      <c r="S5" s="3">
        <v>4235</v>
      </c>
      <c r="T5" s="3">
        <v>4434</v>
      </c>
      <c r="U5" s="3">
        <v>4449</v>
      </c>
      <c r="V5" s="3">
        <v>6087</v>
      </c>
      <c r="W5" s="3">
        <v>6837</v>
      </c>
      <c r="X5" s="3">
        <v>7667</v>
      </c>
      <c r="Y5" s="3">
        <v>8064</v>
      </c>
      <c r="Z5" s="3">
        <v>7607</v>
      </c>
      <c r="AA5" s="3">
        <v>8170</v>
      </c>
      <c r="AB5" s="3">
        <v>9220</v>
      </c>
      <c r="AC5" s="3">
        <v>9970</v>
      </c>
      <c r="AD5" s="3">
        <v>10258</v>
      </c>
      <c r="AE5" s="3">
        <v>10771</v>
      </c>
      <c r="AF5" s="3">
        <v>11132</v>
      </c>
      <c r="AG5" s="3">
        <v>11384</v>
      </c>
      <c r="AH5" s="3">
        <v>11656</v>
      </c>
      <c r="AI5" s="3">
        <v>11949</v>
      </c>
      <c r="AJ5" s="3">
        <v>12257</v>
      </c>
      <c r="AK5" s="3">
        <v>12548</v>
      </c>
    </row>
    <row r="6" spans="1:37" x14ac:dyDescent="0.3">
      <c r="A6" s="21" t="s">
        <v>319</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1480</v>
      </c>
      <c r="W6" s="3">
        <v>2069</v>
      </c>
      <c r="X6" s="3">
        <v>6375</v>
      </c>
      <c r="Y6" s="3">
        <v>6624</v>
      </c>
      <c r="Z6" s="3">
        <v>6326</v>
      </c>
      <c r="AA6" s="3">
        <v>6748</v>
      </c>
      <c r="AB6" s="3">
        <v>7552</v>
      </c>
      <c r="AC6" s="3">
        <v>8228</v>
      </c>
      <c r="AD6" s="3">
        <v>8386</v>
      </c>
      <c r="AE6" s="3">
        <v>8648</v>
      </c>
      <c r="AF6" s="3">
        <v>8893</v>
      </c>
      <c r="AG6" s="3">
        <v>9130</v>
      </c>
      <c r="AH6" s="3">
        <v>9398</v>
      </c>
      <c r="AI6" s="3">
        <v>9689</v>
      </c>
      <c r="AJ6" s="3">
        <v>9994</v>
      </c>
      <c r="AK6" s="3">
        <v>10283</v>
      </c>
    </row>
    <row r="7" spans="1:37" x14ac:dyDescent="0.3">
      <c r="A7" s="14" t="s">
        <v>320</v>
      </c>
      <c r="B7" s="3">
        <v>529</v>
      </c>
      <c r="C7" s="3">
        <v>267</v>
      </c>
      <c r="D7" s="3">
        <v>492</v>
      </c>
      <c r="E7" s="3">
        <v>255</v>
      </c>
      <c r="F7" s="3">
        <v>261</v>
      </c>
      <c r="G7" s="3">
        <v>279</v>
      </c>
      <c r="H7" s="3">
        <v>269</v>
      </c>
      <c r="I7" s="3">
        <v>292</v>
      </c>
      <c r="J7" s="3">
        <v>368</v>
      </c>
      <c r="K7" s="3">
        <v>441</v>
      </c>
      <c r="L7" s="3">
        <v>532</v>
      </c>
      <c r="M7" s="3">
        <v>758</v>
      </c>
      <c r="N7" s="3">
        <v>823</v>
      </c>
      <c r="O7" s="3">
        <v>787</v>
      </c>
      <c r="P7" s="3">
        <v>835</v>
      </c>
      <c r="Q7" s="3">
        <v>890</v>
      </c>
      <c r="R7" s="3">
        <v>873</v>
      </c>
      <c r="S7" s="3">
        <v>879</v>
      </c>
      <c r="T7" s="3">
        <v>948</v>
      </c>
      <c r="U7" s="3">
        <v>85</v>
      </c>
      <c r="V7" s="3">
        <v>309</v>
      </c>
      <c r="W7" s="3">
        <v>385</v>
      </c>
      <c r="X7" s="3">
        <v>451</v>
      </c>
      <c r="Y7" s="3">
        <v>522</v>
      </c>
      <c r="Z7" s="3">
        <v>499</v>
      </c>
      <c r="AA7" s="3">
        <v>736</v>
      </c>
      <c r="AB7" s="3">
        <v>758</v>
      </c>
      <c r="AC7" s="3">
        <v>798</v>
      </c>
      <c r="AD7" s="3">
        <v>754</v>
      </c>
      <c r="AE7" s="3">
        <v>720</v>
      </c>
      <c r="AF7" s="3">
        <v>668</v>
      </c>
      <c r="AG7" s="3">
        <v>674</v>
      </c>
      <c r="AH7" s="3">
        <v>708</v>
      </c>
      <c r="AI7" s="3">
        <v>752</v>
      </c>
      <c r="AJ7" s="3">
        <v>789</v>
      </c>
      <c r="AK7" s="3">
        <v>821</v>
      </c>
    </row>
    <row r="8" spans="1:37" x14ac:dyDescent="0.3">
      <c r="A8" s="14" t="s">
        <v>321</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828</v>
      </c>
      <c r="V8" s="3">
        <v>854</v>
      </c>
      <c r="W8" s="3">
        <v>867</v>
      </c>
      <c r="X8" s="3">
        <v>850</v>
      </c>
      <c r="Y8" s="3">
        <v>892</v>
      </c>
      <c r="Z8" s="3">
        <v>746</v>
      </c>
      <c r="AA8" s="3">
        <v>694</v>
      </c>
      <c r="AB8" s="3">
        <v>647</v>
      </c>
      <c r="AC8" s="3">
        <v>555</v>
      </c>
      <c r="AD8" s="3">
        <v>424</v>
      </c>
      <c r="AE8" s="3">
        <v>294</v>
      </c>
      <c r="AF8" s="3">
        <v>254</v>
      </c>
      <c r="AG8" s="3">
        <v>225</v>
      </c>
      <c r="AH8" s="3">
        <v>230</v>
      </c>
      <c r="AI8" s="3">
        <v>234</v>
      </c>
      <c r="AJ8" s="3">
        <v>237</v>
      </c>
      <c r="AK8" s="3">
        <v>241</v>
      </c>
    </row>
    <row r="9" spans="1:37" ht="28.8" x14ac:dyDescent="0.3">
      <c r="A9" s="21" t="s">
        <v>322</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316</v>
      </c>
      <c r="V9" s="2">
        <v>295</v>
      </c>
      <c r="W9" s="2">
        <v>292</v>
      </c>
      <c r="X9" s="2">
        <v>286</v>
      </c>
      <c r="Y9" s="2">
        <v>290</v>
      </c>
      <c r="Z9" s="2">
        <v>284</v>
      </c>
      <c r="AA9" s="2">
        <v>297</v>
      </c>
      <c r="AB9" s="2">
        <v>101</v>
      </c>
      <c r="AC9" s="2">
        <v>95</v>
      </c>
      <c r="AD9" s="2">
        <v>90</v>
      </c>
      <c r="AE9" s="2">
        <v>93</v>
      </c>
      <c r="AF9" s="2">
        <v>96</v>
      </c>
      <c r="AG9" s="2">
        <v>99</v>
      </c>
      <c r="AH9" s="2">
        <v>101</v>
      </c>
      <c r="AI9" s="2">
        <v>103</v>
      </c>
      <c r="AJ9" s="2">
        <v>104</v>
      </c>
      <c r="AK9" s="2">
        <v>106</v>
      </c>
    </row>
    <row r="10" spans="1:37" x14ac:dyDescent="0.3">
      <c r="A10" s="11" t="s">
        <v>323</v>
      </c>
      <c r="B10" s="11">
        <v>304</v>
      </c>
      <c r="C10" s="11">
        <v>322</v>
      </c>
      <c r="D10" s="11">
        <v>404</v>
      </c>
      <c r="E10" s="11">
        <v>565</v>
      </c>
      <c r="F10" s="11">
        <v>677</v>
      </c>
      <c r="G10" s="11">
        <v>795</v>
      </c>
      <c r="H10" s="11">
        <v>772</v>
      </c>
      <c r="I10" s="11">
        <v>973</v>
      </c>
      <c r="J10" s="11">
        <v>1190</v>
      </c>
      <c r="K10" s="11">
        <v>1620</v>
      </c>
      <c r="L10" s="11">
        <v>2287</v>
      </c>
      <c r="M10" s="11">
        <v>2956</v>
      </c>
      <c r="N10" s="11">
        <v>3619</v>
      </c>
      <c r="O10" s="11">
        <v>4363</v>
      </c>
      <c r="P10" s="11">
        <v>5444</v>
      </c>
      <c r="Q10" s="11">
        <v>6130</v>
      </c>
      <c r="R10" s="11">
        <v>6277</v>
      </c>
      <c r="S10" s="11">
        <v>6218</v>
      </c>
      <c r="T10" s="11">
        <v>6446</v>
      </c>
      <c r="U10" s="11">
        <v>6710</v>
      </c>
      <c r="V10" s="11">
        <v>6651</v>
      </c>
      <c r="W10" s="11">
        <v>6563</v>
      </c>
      <c r="X10" s="11">
        <v>6992</v>
      </c>
      <c r="Y10" s="11">
        <v>7352</v>
      </c>
      <c r="Z10" s="11">
        <v>8571</v>
      </c>
      <c r="AA10" s="11">
        <v>9017</v>
      </c>
      <c r="AB10" s="11">
        <v>9592</v>
      </c>
      <c r="AC10" s="11">
        <v>10097</v>
      </c>
      <c r="AD10" s="11">
        <v>10801</v>
      </c>
      <c r="AE10" s="11">
        <v>11229</v>
      </c>
      <c r="AF10" s="11">
        <v>11414</v>
      </c>
      <c r="AG10" s="11">
        <v>11654</v>
      </c>
      <c r="AH10" s="11">
        <v>11761</v>
      </c>
      <c r="AI10" s="11">
        <v>12179</v>
      </c>
      <c r="AJ10" s="11">
        <v>12694</v>
      </c>
      <c r="AK10" s="11">
        <v>12999</v>
      </c>
    </row>
    <row r="11" spans="1:37" x14ac:dyDescent="0.3">
      <c r="A11" s="11" t="s">
        <v>324</v>
      </c>
      <c r="B11" s="11">
        <v>117</v>
      </c>
      <c r="C11" s="11">
        <v>130</v>
      </c>
      <c r="D11" s="11">
        <v>197</v>
      </c>
      <c r="E11" s="11">
        <v>342</v>
      </c>
      <c r="F11" s="11">
        <v>447</v>
      </c>
      <c r="G11" s="11">
        <v>537</v>
      </c>
      <c r="H11" s="11">
        <v>509</v>
      </c>
      <c r="I11" s="11">
        <v>714</v>
      </c>
      <c r="J11" s="11">
        <v>903</v>
      </c>
      <c r="K11" s="11">
        <v>1220</v>
      </c>
      <c r="L11" s="11">
        <v>1530</v>
      </c>
      <c r="M11" s="11">
        <v>1783</v>
      </c>
      <c r="N11" s="11">
        <v>2065</v>
      </c>
      <c r="O11" s="11">
        <v>2258</v>
      </c>
      <c r="P11" s="11">
        <v>2660</v>
      </c>
      <c r="Q11" s="11">
        <v>3141</v>
      </c>
      <c r="R11" s="11">
        <v>3165</v>
      </c>
      <c r="S11" s="11">
        <v>3008</v>
      </c>
      <c r="T11" s="11">
        <v>3071</v>
      </c>
      <c r="U11" s="11">
        <v>815</v>
      </c>
      <c r="V11" s="11">
        <v>901</v>
      </c>
      <c r="W11" s="11">
        <v>920</v>
      </c>
      <c r="X11" s="11">
        <v>980</v>
      </c>
      <c r="Y11" s="11">
        <v>1012</v>
      </c>
      <c r="Z11" s="11">
        <v>1611</v>
      </c>
      <c r="AA11" s="11">
        <v>1845</v>
      </c>
      <c r="AB11" s="11">
        <v>1865</v>
      </c>
      <c r="AC11" s="11">
        <v>1942</v>
      </c>
      <c r="AD11" s="11">
        <v>1968</v>
      </c>
      <c r="AE11" s="11">
        <v>2029</v>
      </c>
      <c r="AF11" s="11">
        <v>2067</v>
      </c>
      <c r="AG11" s="11">
        <v>2146</v>
      </c>
      <c r="AH11" s="11">
        <v>2197</v>
      </c>
      <c r="AI11" s="11">
        <v>2260</v>
      </c>
      <c r="AJ11" s="11">
        <v>2333</v>
      </c>
      <c r="AK11" s="11">
        <v>2399</v>
      </c>
    </row>
    <row r="12" spans="1:37" x14ac:dyDescent="0.3">
      <c r="A12" s="14" t="s">
        <v>325</v>
      </c>
      <c r="B12" s="3">
        <v>0</v>
      </c>
      <c r="C12" s="3">
        <v>13</v>
      </c>
      <c r="D12" s="3">
        <v>77</v>
      </c>
      <c r="E12" s="3">
        <v>215</v>
      </c>
      <c r="F12" s="3">
        <v>305</v>
      </c>
      <c r="G12" s="3">
        <v>383</v>
      </c>
      <c r="H12" s="3">
        <v>341</v>
      </c>
      <c r="I12" s="3">
        <v>391</v>
      </c>
      <c r="J12" s="3">
        <v>418</v>
      </c>
      <c r="K12" s="3">
        <v>486</v>
      </c>
      <c r="L12" s="3">
        <v>496</v>
      </c>
      <c r="M12" s="3">
        <v>513</v>
      </c>
      <c r="N12" s="3">
        <v>526</v>
      </c>
      <c r="O12" s="3">
        <v>542</v>
      </c>
      <c r="P12" s="3">
        <v>541</v>
      </c>
      <c r="Q12" s="3">
        <v>537</v>
      </c>
      <c r="R12" s="3">
        <v>533</v>
      </c>
      <c r="S12" s="3">
        <v>548</v>
      </c>
      <c r="T12" s="3">
        <v>587</v>
      </c>
      <c r="U12" s="3">
        <v>596</v>
      </c>
      <c r="V12" s="3">
        <v>673</v>
      </c>
      <c r="W12" s="3">
        <v>697</v>
      </c>
      <c r="X12" s="3">
        <v>740</v>
      </c>
      <c r="Y12" s="3">
        <v>763</v>
      </c>
      <c r="Z12" s="3">
        <v>840</v>
      </c>
      <c r="AA12" s="3">
        <v>844</v>
      </c>
      <c r="AB12" s="3">
        <v>849</v>
      </c>
      <c r="AC12" s="3">
        <v>875</v>
      </c>
      <c r="AD12" s="3">
        <v>896</v>
      </c>
      <c r="AE12" s="3">
        <v>909</v>
      </c>
      <c r="AF12" s="3">
        <v>918</v>
      </c>
      <c r="AG12" s="3">
        <v>959</v>
      </c>
      <c r="AH12" s="3">
        <v>990</v>
      </c>
      <c r="AI12" s="3">
        <v>1022</v>
      </c>
      <c r="AJ12" s="3">
        <v>1062</v>
      </c>
      <c r="AK12" s="3">
        <v>1102</v>
      </c>
    </row>
    <row r="13" spans="1:37" x14ac:dyDescent="0.3">
      <c r="A13" s="14" t="s">
        <v>326</v>
      </c>
      <c r="B13" s="3">
        <v>0</v>
      </c>
      <c r="C13" s="3">
        <v>0</v>
      </c>
      <c r="D13" s="3">
        <v>0</v>
      </c>
      <c r="E13" s="3">
        <v>0</v>
      </c>
      <c r="F13" s="3">
        <v>0</v>
      </c>
      <c r="G13" s="3">
        <v>0</v>
      </c>
      <c r="H13" s="3">
        <v>0</v>
      </c>
      <c r="I13" s="3">
        <v>0</v>
      </c>
      <c r="J13" s="3">
        <v>0</v>
      </c>
      <c r="K13" s="3">
        <v>0</v>
      </c>
      <c r="L13" s="3">
        <v>0</v>
      </c>
      <c r="M13" s="3">
        <v>0</v>
      </c>
      <c r="N13" s="3">
        <v>0</v>
      </c>
      <c r="O13" s="3">
        <v>22</v>
      </c>
      <c r="P13" s="3">
        <v>73</v>
      </c>
      <c r="Q13" s="3">
        <v>84</v>
      </c>
      <c r="R13" s="3">
        <v>86</v>
      </c>
      <c r="S13" s="3">
        <v>91</v>
      </c>
      <c r="T13" s="3">
        <v>95</v>
      </c>
      <c r="U13" s="3">
        <v>96</v>
      </c>
      <c r="V13" s="3">
        <v>99</v>
      </c>
      <c r="W13" s="3">
        <v>103</v>
      </c>
      <c r="X13" s="3">
        <v>108</v>
      </c>
      <c r="Y13" s="3">
        <v>112</v>
      </c>
      <c r="Z13" s="3">
        <v>115</v>
      </c>
      <c r="AA13" s="3">
        <v>121</v>
      </c>
      <c r="AB13" s="3">
        <v>136</v>
      </c>
      <c r="AC13" s="3">
        <v>155</v>
      </c>
      <c r="AD13" s="3">
        <v>156</v>
      </c>
      <c r="AE13" s="3">
        <v>167</v>
      </c>
      <c r="AF13" s="3">
        <v>172</v>
      </c>
      <c r="AG13" s="3">
        <v>175</v>
      </c>
      <c r="AH13" s="3">
        <v>175</v>
      </c>
      <c r="AI13" s="3">
        <v>187</v>
      </c>
      <c r="AJ13" s="3">
        <v>202</v>
      </c>
      <c r="AK13" s="3">
        <v>209</v>
      </c>
    </row>
    <row r="14" spans="1:37" x14ac:dyDescent="0.3">
      <c r="A14" s="14" t="s">
        <v>327</v>
      </c>
      <c r="B14" s="3" t="s">
        <v>328</v>
      </c>
      <c r="C14" s="3">
        <v>0</v>
      </c>
      <c r="D14" s="3">
        <v>4</v>
      </c>
      <c r="E14" s="3">
        <v>9</v>
      </c>
      <c r="F14" s="3">
        <v>25</v>
      </c>
      <c r="G14" s="3">
        <v>32</v>
      </c>
      <c r="H14" s="3">
        <v>47</v>
      </c>
      <c r="I14" s="3">
        <v>81</v>
      </c>
      <c r="J14" s="3">
        <v>122</v>
      </c>
      <c r="K14" s="3">
        <v>161</v>
      </c>
      <c r="L14" s="3">
        <v>176</v>
      </c>
      <c r="M14" s="3">
        <v>197</v>
      </c>
      <c r="N14" s="3">
        <v>212</v>
      </c>
      <c r="O14" s="3">
        <v>190</v>
      </c>
      <c r="P14" s="3">
        <v>325</v>
      </c>
      <c r="Q14" s="3">
        <v>602</v>
      </c>
      <c r="R14" s="3">
        <v>427</v>
      </c>
      <c r="S14" s="3">
        <v>180</v>
      </c>
      <c r="T14" s="3">
        <v>190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row>
    <row r="15" spans="1:37" x14ac:dyDescent="0.3">
      <c r="A15" s="14" t="s">
        <v>329</v>
      </c>
      <c r="B15" s="3">
        <v>0</v>
      </c>
      <c r="C15" s="3">
        <v>0</v>
      </c>
      <c r="D15" s="3">
        <v>0</v>
      </c>
      <c r="E15" s="3">
        <v>0</v>
      </c>
      <c r="F15" s="3">
        <v>0</v>
      </c>
      <c r="G15" s="3">
        <v>0</v>
      </c>
      <c r="H15" s="3">
        <v>0</v>
      </c>
      <c r="I15" s="3">
        <v>6</v>
      </c>
      <c r="J15" s="3">
        <v>91</v>
      </c>
      <c r="K15" s="3">
        <v>239</v>
      </c>
      <c r="L15" s="3">
        <v>446</v>
      </c>
      <c r="M15" s="3">
        <v>653</v>
      </c>
      <c r="N15" s="3">
        <v>883</v>
      </c>
      <c r="O15" s="3">
        <v>1051</v>
      </c>
      <c r="P15" s="3">
        <v>1231</v>
      </c>
      <c r="Q15" s="3">
        <v>1424</v>
      </c>
      <c r="R15" s="3">
        <v>1595</v>
      </c>
      <c r="S15" s="3">
        <v>1649</v>
      </c>
      <c r="T15" s="3">
        <v>1617</v>
      </c>
      <c r="U15" s="3">
        <v>0</v>
      </c>
      <c r="V15" s="3">
        <v>0</v>
      </c>
      <c r="W15" s="3">
        <v>0</v>
      </c>
      <c r="X15" s="3">
        <v>0</v>
      </c>
      <c r="Y15" s="3">
        <v>0</v>
      </c>
      <c r="Z15" s="3">
        <v>0</v>
      </c>
      <c r="AA15" s="3">
        <v>0</v>
      </c>
      <c r="AB15" s="3">
        <v>0</v>
      </c>
      <c r="AC15" s="3">
        <v>0</v>
      </c>
      <c r="AD15" s="3">
        <v>0</v>
      </c>
      <c r="AE15" s="3">
        <v>0</v>
      </c>
      <c r="AF15" s="3">
        <v>0</v>
      </c>
      <c r="AG15" s="3">
        <v>0</v>
      </c>
      <c r="AH15" s="3">
        <v>0</v>
      </c>
      <c r="AI15" s="3">
        <v>0</v>
      </c>
      <c r="AJ15" s="3">
        <v>0</v>
      </c>
      <c r="AK15" s="3">
        <v>0</v>
      </c>
    </row>
    <row r="16" spans="1:37" ht="28.8" x14ac:dyDescent="0.3">
      <c r="A16" s="14" t="s">
        <v>330</v>
      </c>
      <c r="B16" s="3" t="s">
        <v>331</v>
      </c>
      <c r="C16" s="3">
        <v>117</v>
      </c>
      <c r="D16" s="3">
        <v>116</v>
      </c>
      <c r="E16" s="3">
        <v>118</v>
      </c>
      <c r="F16" s="3">
        <v>117</v>
      </c>
      <c r="G16" s="3">
        <v>122</v>
      </c>
      <c r="H16" s="3">
        <v>121</v>
      </c>
      <c r="I16" s="3">
        <v>236</v>
      </c>
      <c r="J16" s="3">
        <v>273</v>
      </c>
      <c r="K16" s="3">
        <v>335</v>
      </c>
      <c r="L16" s="3">
        <v>412</v>
      </c>
      <c r="M16" s="3">
        <v>420</v>
      </c>
      <c r="N16" s="3">
        <v>444</v>
      </c>
      <c r="O16" s="3">
        <v>452</v>
      </c>
      <c r="P16" s="3">
        <v>490</v>
      </c>
      <c r="Q16" s="3">
        <v>494</v>
      </c>
      <c r="R16" s="3">
        <v>523</v>
      </c>
      <c r="S16" s="3">
        <v>540</v>
      </c>
      <c r="T16" s="3">
        <v>582</v>
      </c>
      <c r="U16" s="3">
        <v>124</v>
      </c>
      <c r="V16" s="3">
        <v>128</v>
      </c>
      <c r="W16" s="3">
        <v>120</v>
      </c>
      <c r="X16" s="3">
        <v>132</v>
      </c>
      <c r="Y16" s="3">
        <v>137</v>
      </c>
      <c r="Z16" s="3">
        <v>655</v>
      </c>
      <c r="AA16" s="3">
        <v>880</v>
      </c>
      <c r="AB16" s="3">
        <v>880</v>
      </c>
      <c r="AC16" s="3">
        <v>912</v>
      </c>
      <c r="AD16" s="3">
        <v>916</v>
      </c>
      <c r="AE16" s="3">
        <v>953</v>
      </c>
      <c r="AF16" s="3">
        <v>977</v>
      </c>
      <c r="AG16" s="3">
        <v>1011</v>
      </c>
      <c r="AH16" s="3">
        <v>1032</v>
      </c>
      <c r="AI16" s="3">
        <v>1051</v>
      </c>
      <c r="AJ16" s="3">
        <v>1069</v>
      </c>
      <c r="AK16" s="3">
        <v>1087</v>
      </c>
    </row>
    <row r="17" spans="1:37" x14ac:dyDescent="0.3">
      <c r="A17" s="11" t="s">
        <v>332</v>
      </c>
      <c r="B17" s="11">
        <v>0</v>
      </c>
      <c r="C17" s="11">
        <v>0</v>
      </c>
      <c r="D17" s="11">
        <v>0</v>
      </c>
      <c r="E17" s="11">
        <v>0</v>
      </c>
      <c r="F17" s="11">
        <v>0</v>
      </c>
      <c r="G17" s="11">
        <v>0</v>
      </c>
      <c r="H17" s="11">
        <v>0</v>
      </c>
      <c r="I17" s="11">
        <v>0</v>
      </c>
      <c r="J17" s="11">
        <v>25</v>
      </c>
      <c r="K17" s="11">
        <v>121</v>
      </c>
      <c r="L17" s="11">
        <v>479</v>
      </c>
      <c r="M17" s="11">
        <v>874</v>
      </c>
      <c r="N17" s="11">
        <v>1234</v>
      </c>
      <c r="O17" s="11">
        <v>1763</v>
      </c>
      <c r="P17" s="11">
        <v>2415</v>
      </c>
      <c r="Q17" s="11">
        <v>2601</v>
      </c>
      <c r="R17" s="11">
        <v>2715</v>
      </c>
      <c r="S17" s="11">
        <v>2790</v>
      </c>
      <c r="T17" s="11">
        <v>2920</v>
      </c>
      <c r="U17" s="11">
        <v>3024</v>
      </c>
      <c r="V17" s="11">
        <v>2812</v>
      </c>
      <c r="W17" s="11">
        <v>2698</v>
      </c>
      <c r="X17" s="11">
        <v>2996</v>
      </c>
      <c r="Y17" s="11">
        <v>3280</v>
      </c>
      <c r="Z17" s="11">
        <v>3777</v>
      </c>
      <c r="AA17" s="11">
        <v>4022</v>
      </c>
      <c r="AB17" s="11">
        <v>4015</v>
      </c>
      <c r="AC17" s="11">
        <v>4238</v>
      </c>
      <c r="AD17" s="11">
        <v>4243</v>
      </c>
      <c r="AE17" s="11">
        <v>4335</v>
      </c>
      <c r="AF17" s="11">
        <v>4429</v>
      </c>
      <c r="AG17" s="11">
        <v>4445</v>
      </c>
      <c r="AH17" s="11">
        <v>4398</v>
      </c>
      <c r="AI17" s="11">
        <v>4650</v>
      </c>
      <c r="AJ17" s="11">
        <v>4985</v>
      </c>
      <c r="AK17" s="11">
        <v>5117</v>
      </c>
    </row>
    <row r="18" spans="1:37" x14ac:dyDescent="0.3">
      <c r="A18" s="14" t="s">
        <v>333</v>
      </c>
      <c r="B18" s="3">
        <v>0</v>
      </c>
      <c r="C18" s="3">
        <v>0</v>
      </c>
      <c r="D18" s="3">
        <v>0</v>
      </c>
      <c r="E18" s="3">
        <v>0</v>
      </c>
      <c r="F18" s="3">
        <v>0</v>
      </c>
      <c r="G18" s="3">
        <v>0</v>
      </c>
      <c r="H18" s="3">
        <v>0</v>
      </c>
      <c r="I18" s="3">
        <v>0</v>
      </c>
      <c r="J18" s="3">
        <v>25</v>
      </c>
      <c r="K18" s="3">
        <v>106</v>
      </c>
      <c r="L18" s="3">
        <v>343</v>
      </c>
      <c r="M18" s="3">
        <v>603</v>
      </c>
      <c r="N18" s="3">
        <v>689</v>
      </c>
      <c r="O18" s="3">
        <v>758</v>
      </c>
      <c r="P18" s="3">
        <v>921</v>
      </c>
      <c r="Q18" s="3">
        <v>1002</v>
      </c>
      <c r="R18" s="3">
        <v>1004</v>
      </c>
      <c r="S18" s="3">
        <v>1033</v>
      </c>
      <c r="T18" s="3">
        <v>1062</v>
      </c>
      <c r="U18" s="3">
        <v>1061</v>
      </c>
      <c r="V18" s="3">
        <v>1425</v>
      </c>
      <c r="W18" s="3">
        <v>1438</v>
      </c>
      <c r="X18" s="3">
        <v>1602</v>
      </c>
      <c r="Y18" s="3">
        <v>1691</v>
      </c>
      <c r="Z18" s="3">
        <v>1777</v>
      </c>
      <c r="AA18" s="3">
        <v>1935</v>
      </c>
      <c r="AB18" s="3">
        <v>2062</v>
      </c>
      <c r="AC18" s="3">
        <v>2128</v>
      </c>
      <c r="AD18" s="3">
        <v>2034</v>
      </c>
      <c r="AE18" s="3">
        <v>2083</v>
      </c>
      <c r="AF18" s="3">
        <v>2123</v>
      </c>
      <c r="AG18" s="3">
        <v>2123</v>
      </c>
      <c r="AH18" s="3">
        <v>2095</v>
      </c>
      <c r="AI18" s="3">
        <v>2211</v>
      </c>
      <c r="AJ18" s="3">
        <v>2367</v>
      </c>
      <c r="AK18" s="3">
        <v>2424</v>
      </c>
    </row>
    <row r="19" spans="1:37" x14ac:dyDescent="0.3">
      <c r="A19" s="14" t="s">
        <v>334</v>
      </c>
      <c r="B19" s="3">
        <v>0</v>
      </c>
      <c r="C19" s="3">
        <v>0</v>
      </c>
      <c r="D19" s="3">
        <v>0</v>
      </c>
      <c r="E19" s="3">
        <v>0</v>
      </c>
      <c r="F19" s="3">
        <v>0</v>
      </c>
      <c r="G19" s="3">
        <v>0</v>
      </c>
      <c r="H19" s="3">
        <v>0</v>
      </c>
      <c r="I19" s="3">
        <v>0</v>
      </c>
      <c r="J19" s="3">
        <v>0</v>
      </c>
      <c r="K19" s="3">
        <v>11</v>
      </c>
      <c r="L19" s="3">
        <v>48</v>
      </c>
      <c r="M19" s="3">
        <v>74</v>
      </c>
      <c r="N19" s="3">
        <v>86</v>
      </c>
      <c r="O19" s="3">
        <v>88</v>
      </c>
      <c r="P19" s="3">
        <v>114</v>
      </c>
      <c r="Q19" s="3">
        <v>123</v>
      </c>
      <c r="R19" s="3">
        <v>126</v>
      </c>
      <c r="S19" s="3">
        <v>131</v>
      </c>
      <c r="T19" s="3">
        <v>135</v>
      </c>
      <c r="U19" s="3">
        <v>140</v>
      </c>
      <c r="V19" s="3">
        <v>148</v>
      </c>
      <c r="W19" s="3">
        <v>156</v>
      </c>
      <c r="X19" s="3">
        <v>166</v>
      </c>
      <c r="Y19" s="3">
        <v>179</v>
      </c>
      <c r="Z19" s="3">
        <v>168</v>
      </c>
      <c r="AA19" s="3">
        <v>185</v>
      </c>
      <c r="AB19" s="3">
        <v>203</v>
      </c>
      <c r="AC19" s="3">
        <v>209</v>
      </c>
      <c r="AD19" s="3">
        <v>203</v>
      </c>
      <c r="AE19" s="3">
        <v>208</v>
      </c>
      <c r="AF19" s="3">
        <v>213</v>
      </c>
      <c r="AG19" s="3">
        <v>213</v>
      </c>
      <c r="AH19" s="3">
        <v>210</v>
      </c>
      <c r="AI19" s="3">
        <v>222</v>
      </c>
      <c r="AJ19" s="3">
        <v>238</v>
      </c>
      <c r="AK19" s="3">
        <v>243</v>
      </c>
    </row>
    <row r="20" spans="1:37" x14ac:dyDescent="0.3">
      <c r="A20" s="14" t="s">
        <v>335</v>
      </c>
      <c r="B20" s="3">
        <v>0</v>
      </c>
      <c r="C20" s="3">
        <v>0</v>
      </c>
      <c r="D20" s="3">
        <v>0</v>
      </c>
      <c r="E20" s="3">
        <v>0</v>
      </c>
      <c r="F20" s="3">
        <v>0</v>
      </c>
      <c r="G20" s="3">
        <v>0</v>
      </c>
      <c r="H20" s="3">
        <v>0</v>
      </c>
      <c r="I20" s="3">
        <v>0</v>
      </c>
      <c r="J20" s="3">
        <v>0</v>
      </c>
      <c r="K20" s="3">
        <v>4</v>
      </c>
      <c r="L20" s="3">
        <v>63</v>
      </c>
      <c r="M20" s="3">
        <v>93</v>
      </c>
      <c r="N20" s="3">
        <v>170</v>
      </c>
      <c r="O20" s="3">
        <v>351</v>
      </c>
      <c r="P20" s="3">
        <v>380</v>
      </c>
      <c r="Q20" s="3">
        <v>421</v>
      </c>
      <c r="R20" s="3">
        <v>488</v>
      </c>
      <c r="S20" s="3">
        <v>518</v>
      </c>
      <c r="T20" s="3">
        <v>585</v>
      </c>
      <c r="U20" s="3">
        <v>632</v>
      </c>
      <c r="V20" s="3">
        <v>694</v>
      </c>
      <c r="W20" s="3">
        <v>742</v>
      </c>
      <c r="X20" s="3">
        <v>847</v>
      </c>
      <c r="Y20" s="3">
        <v>935</v>
      </c>
      <c r="Z20" s="3">
        <v>1012</v>
      </c>
      <c r="AA20" s="3">
        <v>1126</v>
      </c>
      <c r="AB20" s="3">
        <v>1225</v>
      </c>
      <c r="AC20" s="3">
        <v>1329</v>
      </c>
      <c r="AD20" s="3">
        <v>1432</v>
      </c>
      <c r="AE20" s="3">
        <v>1451</v>
      </c>
      <c r="AF20" s="3">
        <v>1484</v>
      </c>
      <c r="AG20" s="3">
        <v>1492</v>
      </c>
      <c r="AH20" s="3">
        <v>1477</v>
      </c>
      <c r="AI20" s="3">
        <v>1564</v>
      </c>
      <c r="AJ20" s="3">
        <v>1679</v>
      </c>
      <c r="AK20" s="3">
        <v>1726</v>
      </c>
    </row>
    <row r="21" spans="1:37" x14ac:dyDescent="0.3">
      <c r="A21" s="14" t="s">
        <v>336</v>
      </c>
      <c r="B21" s="3">
        <v>0</v>
      </c>
      <c r="C21" s="3">
        <v>0</v>
      </c>
      <c r="D21" s="3">
        <v>0</v>
      </c>
      <c r="E21" s="3">
        <v>0</v>
      </c>
      <c r="F21" s="3">
        <v>0</v>
      </c>
      <c r="G21" s="3">
        <v>0</v>
      </c>
      <c r="H21" s="3">
        <v>0</v>
      </c>
      <c r="I21" s="3">
        <v>0</v>
      </c>
      <c r="J21" s="3">
        <v>0</v>
      </c>
      <c r="K21" s="3">
        <v>0</v>
      </c>
      <c r="L21" s="3">
        <v>0</v>
      </c>
      <c r="M21" s="3">
        <v>54</v>
      </c>
      <c r="N21" s="3">
        <v>206</v>
      </c>
      <c r="O21" s="3">
        <v>470</v>
      </c>
      <c r="P21" s="3">
        <v>890</v>
      </c>
      <c r="Q21" s="3">
        <v>934</v>
      </c>
      <c r="R21" s="3">
        <v>970</v>
      </c>
      <c r="S21" s="3">
        <v>988</v>
      </c>
      <c r="T21" s="3">
        <v>1013</v>
      </c>
      <c r="U21" s="3">
        <v>1040</v>
      </c>
      <c r="V21" s="3">
        <v>390</v>
      </c>
      <c r="W21" s="3">
        <v>194</v>
      </c>
      <c r="X21" s="3">
        <v>202</v>
      </c>
      <c r="Y21" s="3">
        <v>209</v>
      </c>
      <c r="Z21" s="3">
        <v>314</v>
      </c>
      <c r="AA21" s="3">
        <v>220</v>
      </c>
      <c r="AB21" s="3">
        <v>245</v>
      </c>
      <c r="AC21" s="3">
        <v>267</v>
      </c>
      <c r="AD21" s="3">
        <v>270</v>
      </c>
      <c r="AE21" s="3">
        <v>278</v>
      </c>
      <c r="AF21" s="3">
        <v>285</v>
      </c>
      <c r="AG21" s="3">
        <v>288</v>
      </c>
      <c r="AH21" s="3">
        <v>286</v>
      </c>
      <c r="AI21" s="3">
        <v>304</v>
      </c>
      <c r="AJ21" s="3">
        <v>327</v>
      </c>
      <c r="AK21" s="3">
        <v>337</v>
      </c>
    </row>
    <row r="22" spans="1:37" x14ac:dyDescent="0.3">
      <c r="A22" s="14" t="s">
        <v>337</v>
      </c>
      <c r="B22" s="3">
        <v>0</v>
      </c>
      <c r="C22" s="3">
        <v>0</v>
      </c>
      <c r="D22" s="3">
        <v>0</v>
      </c>
      <c r="E22" s="3">
        <v>0</v>
      </c>
      <c r="F22" s="3">
        <v>0</v>
      </c>
      <c r="G22" s="3">
        <v>0</v>
      </c>
      <c r="H22" s="3">
        <v>0</v>
      </c>
      <c r="I22" s="3">
        <v>0</v>
      </c>
      <c r="J22" s="3">
        <v>0</v>
      </c>
      <c r="K22" s="3">
        <v>0</v>
      </c>
      <c r="L22" s="3">
        <v>24</v>
      </c>
      <c r="M22" s="3">
        <v>51</v>
      </c>
      <c r="N22" s="3">
        <v>83</v>
      </c>
      <c r="O22" s="3">
        <v>97</v>
      </c>
      <c r="P22" s="3">
        <v>110</v>
      </c>
      <c r="Q22" s="3">
        <v>121</v>
      </c>
      <c r="R22" s="3">
        <v>127</v>
      </c>
      <c r="S22" s="3">
        <v>121</v>
      </c>
      <c r="T22" s="3">
        <v>125</v>
      </c>
      <c r="U22" s="3">
        <v>151</v>
      </c>
      <c r="V22" s="3">
        <v>155</v>
      </c>
      <c r="W22" s="3">
        <v>169</v>
      </c>
      <c r="X22" s="3">
        <v>178</v>
      </c>
      <c r="Y22" s="3">
        <v>206</v>
      </c>
      <c r="Z22" s="3">
        <v>208</v>
      </c>
      <c r="AA22" s="3">
        <v>217</v>
      </c>
      <c r="AB22" s="3">
        <v>224</v>
      </c>
      <c r="AC22" s="3">
        <v>250</v>
      </c>
      <c r="AD22" s="3">
        <v>244</v>
      </c>
      <c r="AE22" s="3">
        <v>254</v>
      </c>
      <c r="AF22" s="3">
        <v>262</v>
      </c>
      <c r="AG22" s="3">
        <v>265</v>
      </c>
      <c r="AH22" s="3">
        <v>265</v>
      </c>
      <c r="AI22" s="3">
        <v>283</v>
      </c>
      <c r="AJ22" s="3">
        <v>306</v>
      </c>
      <c r="AK22" s="3">
        <v>317</v>
      </c>
    </row>
    <row r="23" spans="1:37" x14ac:dyDescent="0.3">
      <c r="A23" s="14" t="s">
        <v>338</v>
      </c>
      <c r="B23" s="3" t="s">
        <v>328</v>
      </c>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59</v>
      </c>
      <c r="Z23" s="3">
        <v>298</v>
      </c>
      <c r="AA23" s="3">
        <v>338</v>
      </c>
      <c r="AB23" s="3">
        <v>55</v>
      </c>
      <c r="AC23" s="3">
        <v>56</v>
      </c>
      <c r="AD23" s="3">
        <v>59</v>
      </c>
      <c r="AE23" s="3">
        <v>61</v>
      </c>
      <c r="AF23" s="3">
        <v>62</v>
      </c>
      <c r="AG23" s="3">
        <v>64</v>
      </c>
      <c r="AH23" s="3">
        <v>66</v>
      </c>
      <c r="AI23" s="3">
        <v>67</v>
      </c>
      <c r="AJ23" s="3">
        <v>68</v>
      </c>
      <c r="AK23" s="3">
        <v>69</v>
      </c>
    </row>
    <row r="24" spans="1:37" x14ac:dyDescent="0.3">
      <c r="A24" s="11" t="s">
        <v>339</v>
      </c>
      <c r="B24" s="11">
        <v>187</v>
      </c>
      <c r="C24" s="11">
        <v>192</v>
      </c>
      <c r="D24" s="11">
        <v>206</v>
      </c>
      <c r="E24" s="11">
        <v>223</v>
      </c>
      <c r="F24" s="11">
        <v>230</v>
      </c>
      <c r="G24" s="11">
        <v>258</v>
      </c>
      <c r="H24" s="11">
        <v>263</v>
      </c>
      <c r="I24" s="11">
        <v>259</v>
      </c>
      <c r="J24" s="11">
        <v>261</v>
      </c>
      <c r="K24" s="11">
        <v>279</v>
      </c>
      <c r="L24" s="11">
        <v>279</v>
      </c>
      <c r="M24" s="11">
        <v>299</v>
      </c>
      <c r="N24" s="11">
        <v>320</v>
      </c>
      <c r="O24" s="11">
        <v>342</v>
      </c>
      <c r="P24" s="11">
        <v>369</v>
      </c>
      <c r="Q24" s="11">
        <v>387</v>
      </c>
      <c r="R24" s="11">
        <v>397</v>
      </c>
      <c r="S24" s="11">
        <v>420</v>
      </c>
      <c r="T24" s="11">
        <v>455</v>
      </c>
      <c r="U24" s="11">
        <v>2871</v>
      </c>
      <c r="V24" s="11">
        <v>2938</v>
      </c>
      <c r="W24" s="11">
        <v>2946</v>
      </c>
      <c r="X24" s="11">
        <v>3017</v>
      </c>
      <c r="Y24" s="11">
        <v>3060</v>
      </c>
      <c r="Z24" s="11">
        <v>3182</v>
      </c>
      <c r="AA24" s="11">
        <v>3150</v>
      </c>
      <c r="AB24" s="11">
        <v>3712</v>
      </c>
      <c r="AC24" s="11">
        <v>3917</v>
      </c>
      <c r="AD24" s="11">
        <v>4590</v>
      </c>
      <c r="AE24" s="11">
        <v>4866</v>
      </c>
      <c r="AF24" s="11">
        <v>4918</v>
      </c>
      <c r="AG24" s="11">
        <v>5063</v>
      </c>
      <c r="AH24" s="11">
        <v>5166</v>
      </c>
      <c r="AI24" s="11">
        <v>5269</v>
      </c>
      <c r="AJ24" s="11">
        <v>5377</v>
      </c>
      <c r="AK24" s="11">
        <v>5483</v>
      </c>
    </row>
    <row r="25" spans="1:37" x14ac:dyDescent="0.3">
      <c r="A25" s="14" t="s">
        <v>340</v>
      </c>
      <c r="B25" s="3">
        <v>0</v>
      </c>
      <c r="C25" s="3">
        <v>0</v>
      </c>
      <c r="D25" s="3">
        <v>0</v>
      </c>
      <c r="E25" s="3">
        <v>0</v>
      </c>
      <c r="F25" s="3">
        <v>0</v>
      </c>
      <c r="G25" s="3">
        <v>0</v>
      </c>
      <c r="H25" s="3">
        <v>0</v>
      </c>
      <c r="I25" s="3">
        <v>0</v>
      </c>
      <c r="J25" s="3">
        <v>0</v>
      </c>
      <c r="K25" s="3">
        <v>0</v>
      </c>
      <c r="L25" s="3">
        <v>2</v>
      </c>
      <c r="M25" s="3">
        <v>9</v>
      </c>
      <c r="N25" s="3">
        <v>12</v>
      </c>
      <c r="O25" s="3">
        <v>19</v>
      </c>
      <c r="P25" s="3">
        <v>27</v>
      </c>
      <c r="Q25" s="3">
        <v>23</v>
      </c>
      <c r="R25" s="3">
        <v>24</v>
      </c>
      <c r="S25" s="3">
        <v>22</v>
      </c>
      <c r="T25" s="3">
        <v>36</v>
      </c>
      <c r="U25" s="3">
        <v>31</v>
      </c>
      <c r="V25" s="3">
        <v>32</v>
      </c>
      <c r="W25" s="3">
        <v>24</v>
      </c>
      <c r="X25" s="3">
        <v>9</v>
      </c>
      <c r="Y25" s="3">
        <v>0</v>
      </c>
      <c r="Z25" s="3">
        <v>0</v>
      </c>
      <c r="AA25" s="3">
        <v>0</v>
      </c>
      <c r="AB25" s="3">
        <v>0</v>
      </c>
      <c r="AC25" s="3">
        <v>0</v>
      </c>
      <c r="AD25" s="3">
        <v>0</v>
      </c>
      <c r="AE25" s="3">
        <v>0</v>
      </c>
      <c r="AF25" s="3">
        <v>0</v>
      </c>
      <c r="AG25" s="3">
        <v>0</v>
      </c>
      <c r="AH25" s="3">
        <v>0</v>
      </c>
      <c r="AI25" s="3">
        <v>0</v>
      </c>
      <c r="AJ25" s="3">
        <v>0</v>
      </c>
      <c r="AK25" s="3">
        <v>0</v>
      </c>
    </row>
    <row r="26" spans="1:37" x14ac:dyDescent="0.3">
      <c r="A26" s="14" t="s">
        <v>341</v>
      </c>
      <c r="B26" s="3" t="s">
        <v>342</v>
      </c>
      <c r="C26" s="3">
        <v>19</v>
      </c>
      <c r="D26" s="3">
        <v>19</v>
      </c>
      <c r="E26" s="3">
        <v>19</v>
      </c>
      <c r="F26" s="3">
        <v>21</v>
      </c>
      <c r="G26" s="3">
        <v>20</v>
      </c>
      <c r="H26" s="3">
        <v>20</v>
      </c>
      <c r="I26" s="3">
        <v>18</v>
      </c>
      <c r="J26" s="3">
        <v>15</v>
      </c>
      <c r="K26" s="3">
        <v>14</v>
      </c>
      <c r="L26" s="3">
        <v>14</v>
      </c>
      <c r="M26" s="3">
        <v>14</v>
      </c>
      <c r="N26" s="3">
        <v>14</v>
      </c>
      <c r="O26" s="3">
        <v>13</v>
      </c>
      <c r="P26" s="3">
        <v>14</v>
      </c>
      <c r="Q26" s="3">
        <v>14</v>
      </c>
      <c r="R26" s="3">
        <v>14</v>
      </c>
      <c r="S26" s="3">
        <v>14</v>
      </c>
      <c r="T26" s="3">
        <v>14</v>
      </c>
      <c r="U26" s="3">
        <v>15</v>
      </c>
      <c r="V26" s="3">
        <v>15</v>
      </c>
      <c r="W26" s="3">
        <v>15</v>
      </c>
      <c r="X26" s="3">
        <v>10</v>
      </c>
      <c r="Y26" s="3">
        <v>5</v>
      </c>
      <c r="Z26" s="3">
        <v>2</v>
      </c>
      <c r="AA26" s="3">
        <v>3</v>
      </c>
      <c r="AB26" s="3">
        <v>0</v>
      </c>
      <c r="AC26" s="3">
        <v>0</v>
      </c>
      <c r="AD26" s="3">
        <v>0</v>
      </c>
      <c r="AE26" s="3">
        <v>0</v>
      </c>
      <c r="AF26" s="3">
        <v>17</v>
      </c>
      <c r="AG26" s="3">
        <v>50</v>
      </c>
      <c r="AH26" s="3">
        <v>70</v>
      </c>
      <c r="AI26" s="3">
        <v>76</v>
      </c>
      <c r="AJ26" s="3">
        <v>81</v>
      </c>
      <c r="AK26" s="3">
        <v>81</v>
      </c>
    </row>
    <row r="27" spans="1:37" x14ac:dyDescent="0.3">
      <c r="A27" s="14" t="s">
        <v>343</v>
      </c>
      <c r="B27" s="3">
        <v>168</v>
      </c>
      <c r="C27" s="3">
        <v>173</v>
      </c>
      <c r="D27" s="3">
        <v>188</v>
      </c>
      <c r="E27" s="3">
        <v>203</v>
      </c>
      <c r="F27" s="3">
        <v>210</v>
      </c>
      <c r="G27" s="3">
        <v>238</v>
      </c>
      <c r="H27" s="3">
        <v>243</v>
      </c>
      <c r="I27" s="3">
        <v>241</v>
      </c>
      <c r="J27" s="3">
        <v>247</v>
      </c>
      <c r="K27" s="3">
        <v>264</v>
      </c>
      <c r="L27" s="3">
        <v>262</v>
      </c>
      <c r="M27" s="3">
        <v>276</v>
      </c>
      <c r="N27" s="3">
        <v>294</v>
      </c>
      <c r="O27" s="3">
        <v>310</v>
      </c>
      <c r="P27" s="3">
        <v>328</v>
      </c>
      <c r="Q27" s="3">
        <v>350</v>
      </c>
      <c r="R27" s="3">
        <v>360</v>
      </c>
      <c r="S27" s="3">
        <v>384</v>
      </c>
      <c r="T27" s="3">
        <v>405</v>
      </c>
      <c r="U27" s="3">
        <v>459</v>
      </c>
      <c r="V27" s="3">
        <v>425</v>
      </c>
      <c r="W27" s="3">
        <v>446</v>
      </c>
      <c r="X27" s="3">
        <v>467</v>
      </c>
      <c r="Y27" s="3">
        <v>482</v>
      </c>
      <c r="Z27" s="3">
        <v>504</v>
      </c>
      <c r="AA27" s="3">
        <v>544</v>
      </c>
      <c r="AB27" s="3">
        <v>585</v>
      </c>
      <c r="AC27" s="3">
        <v>658</v>
      </c>
      <c r="AD27" s="3">
        <v>697</v>
      </c>
      <c r="AE27" s="3">
        <v>740</v>
      </c>
      <c r="AF27" s="3">
        <v>868</v>
      </c>
      <c r="AG27" s="3">
        <v>899</v>
      </c>
      <c r="AH27" s="3">
        <v>928</v>
      </c>
      <c r="AI27" s="3">
        <v>963</v>
      </c>
      <c r="AJ27" s="3">
        <v>999</v>
      </c>
      <c r="AK27" s="3">
        <v>1033</v>
      </c>
    </row>
    <row r="28" spans="1:37" x14ac:dyDescent="0.3">
      <c r="A28" s="14" t="s">
        <v>327</v>
      </c>
      <c r="B28" s="3" t="s">
        <v>328</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230</v>
      </c>
      <c r="V28" s="3">
        <v>236</v>
      </c>
      <c r="W28" s="3">
        <v>211</v>
      </c>
      <c r="X28" s="3">
        <v>213</v>
      </c>
      <c r="Y28" s="3">
        <v>212</v>
      </c>
      <c r="Z28" s="3">
        <v>163</v>
      </c>
      <c r="AA28" s="3">
        <v>170</v>
      </c>
      <c r="AB28" s="3">
        <v>169</v>
      </c>
      <c r="AC28" s="3">
        <v>139</v>
      </c>
      <c r="AD28" s="3">
        <v>112</v>
      </c>
      <c r="AE28" s="3">
        <v>111</v>
      </c>
      <c r="AF28" s="3">
        <v>77</v>
      </c>
      <c r="AG28" s="3">
        <v>32</v>
      </c>
      <c r="AH28" s="3">
        <v>11</v>
      </c>
      <c r="AI28" s="3">
        <v>5</v>
      </c>
      <c r="AJ28" s="3">
        <v>0</v>
      </c>
      <c r="AK28" s="3">
        <v>0</v>
      </c>
    </row>
    <row r="29" spans="1:37" x14ac:dyDescent="0.3">
      <c r="A29" s="14" t="s">
        <v>329</v>
      </c>
      <c r="B29" s="3">
        <v>0</v>
      </c>
      <c r="C29" s="3">
        <v>0</v>
      </c>
      <c r="D29" s="3">
        <v>0</v>
      </c>
      <c r="E29" s="3">
        <v>0</v>
      </c>
      <c r="F29" s="3">
        <v>0</v>
      </c>
      <c r="G29" s="3">
        <v>0</v>
      </c>
      <c r="H29" s="3">
        <v>0</v>
      </c>
      <c r="I29" s="3">
        <v>0</v>
      </c>
      <c r="J29" s="3">
        <v>0</v>
      </c>
      <c r="K29" s="3">
        <v>0</v>
      </c>
      <c r="L29" s="3">
        <v>0</v>
      </c>
      <c r="M29" s="3">
        <v>0</v>
      </c>
      <c r="N29" s="3">
        <v>0</v>
      </c>
      <c r="O29" s="3">
        <v>0</v>
      </c>
      <c r="P29" s="3">
        <v>0</v>
      </c>
      <c r="Q29" s="3">
        <v>0</v>
      </c>
      <c r="R29" s="3">
        <v>0</v>
      </c>
      <c r="S29" s="3">
        <v>0</v>
      </c>
      <c r="T29" s="3">
        <v>0</v>
      </c>
      <c r="U29" s="3">
        <v>1642</v>
      </c>
      <c r="V29" s="3">
        <v>1742</v>
      </c>
      <c r="W29" s="3">
        <v>1748</v>
      </c>
      <c r="X29" s="3">
        <v>1784</v>
      </c>
      <c r="Y29" s="3">
        <v>1793</v>
      </c>
      <c r="Z29" s="3">
        <v>1766</v>
      </c>
      <c r="AA29" s="3">
        <v>1848</v>
      </c>
      <c r="AB29" s="3">
        <v>1845</v>
      </c>
      <c r="AC29" s="3">
        <v>1932</v>
      </c>
      <c r="AD29" s="3">
        <v>2446</v>
      </c>
      <c r="AE29" s="3">
        <v>2637</v>
      </c>
      <c r="AF29" s="3">
        <v>2506</v>
      </c>
      <c r="AG29" s="3">
        <v>2583</v>
      </c>
      <c r="AH29" s="3">
        <v>2628</v>
      </c>
      <c r="AI29" s="3">
        <v>2668</v>
      </c>
      <c r="AJ29" s="3">
        <v>2711</v>
      </c>
      <c r="AK29" s="3">
        <v>2755</v>
      </c>
    </row>
    <row r="30" spans="1:37" ht="28.8" x14ac:dyDescent="0.3">
      <c r="A30" s="14" t="s">
        <v>344</v>
      </c>
      <c r="B30" s="3">
        <v>0</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494</v>
      </c>
      <c r="V30" s="3">
        <v>488</v>
      </c>
      <c r="W30" s="3">
        <v>501</v>
      </c>
      <c r="X30" s="3">
        <v>534</v>
      </c>
      <c r="Y30" s="3">
        <v>568</v>
      </c>
      <c r="Z30" s="3">
        <v>748</v>
      </c>
      <c r="AA30" s="3">
        <v>585</v>
      </c>
      <c r="AB30" s="3">
        <v>1113</v>
      </c>
      <c r="AC30" s="3">
        <v>1188</v>
      </c>
      <c r="AD30" s="3">
        <v>1336</v>
      </c>
      <c r="AE30" s="3">
        <v>1377</v>
      </c>
      <c r="AF30" s="3">
        <v>1450</v>
      </c>
      <c r="AG30" s="3">
        <v>1499</v>
      </c>
      <c r="AH30" s="3">
        <v>1529</v>
      </c>
      <c r="AI30" s="3">
        <v>1558</v>
      </c>
      <c r="AJ30" s="3">
        <v>1586</v>
      </c>
      <c r="AK30" s="3">
        <v>1613</v>
      </c>
    </row>
    <row r="31" spans="1:37" x14ac:dyDescent="0.3">
      <c r="A31" s="11" t="s">
        <v>345</v>
      </c>
      <c r="B31" s="11">
        <v>0</v>
      </c>
      <c r="C31" s="11">
        <v>0</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8</v>
      </c>
      <c r="V31" s="11">
        <v>8</v>
      </c>
      <c r="W31" s="11">
        <v>7</v>
      </c>
      <c r="X31" s="11">
        <v>6</v>
      </c>
      <c r="Y31" s="11">
        <v>7</v>
      </c>
      <c r="Z31" s="11">
        <v>7</v>
      </c>
      <c r="AA31" s="11">
        <v>9</v>
      </c>
      <c r="AB31" s="11">
        <v>10</v>
      </c>
      <c r="AC31" s="11">
        <v>11</v>
      </c>
      <c r="AD31" s="11">
        <v>10</v>
      </c>
      <c r="AE31" s="11">
        <v>13</v>
      </c>
      <c r="AF31" s="11">
        <v>13</v>
      </c>
      <c r="AG31" s="11">
        <v>14</v>
      </c>
      <c r="AH31" s="11">
        <v>14</v>
      </c>
      <c r="AI31" s="11">
        <v>14</v>
      </c>
      <c r="AJ31" s="11">
        <v>15</v>
      </c>
      <c r="AK31" s="11">
        <v>15</v>
      </c>
    </row>
    <row r="32" spans="1:37" x14ac:dyDescent="0.3">
      <c r="A32" s="3" t="s">
        <v>346</v>
      </c>
      <c r="B32" s="3">
        <v>0</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7</v>
      </c>
      <c r="V32" s="3">
        <v>7</v>
      </c>
      <c r="W32" s="3">
        <v>6</v>
      </c>
      <c r="X32" s="3">
        <v>6</v>
      </c>
      <c r="Y32" s="3">
        <v>6</v>
      </c>
      <c r="Z32" s="3">
        <v>6</v>
      </c>
      <c r="AA32" s="3">
        <v>8</v>
      </c>
      <c r="AB32" s="3">
        <v>8</v>
      </c>
      <c r="AC32" s="3">
        <v>9</v>
      </c>
      <c r="AD32" s="3">
        <v>7</v>
      </c>
      <c r="AE32" s="3">
        <v>9</v>
      </c>
      <c r="AF32" s="3">
        <v>10</v>
      </c>
      <c r="AG32" s="3">
        <v>10</v>
      </c>
      <c r="AH32" s="3">
        <v>10</v>
      </c>
      <c r="AI32" s="3">
        <v>10</v>
      </c>
      <c r="AJ32" s="3">
        <v>11</v>
      </c>
      <c r="AK32" s="3">
        <v>11</v>
      </c>
    </row>
    <row r="33" spans="1:37" x14ac:dyDescent="0.3">
      <c r="A33" s="11" t="s">
        <v>347</v>
      </c>
      <c r="B33" s="11">
        <v>1609</v>
      </c>
      <c r="C33" s="11">
        <v>1517</v>
      </c>
      <c r="D33" s="11">
        <v>1999</v>
      </c>
      <c r="E33" s="11">
        <v>2083</v>
      </c>
      <c r="F33" s="11">
        <v>3265</v>
      </c>
      <c r="G33" s="11">
        <v>3771</v>
      </c>
      <c r="H33" s="11">
        <v>3801</v>
      </c>
      <c r="I33" s="11">
        <v>4143</v>
      </c>
      <c r="J33" s="11">
        <v>4974</v>
      </c>
      <c r="K33" s="11">
        <v>5874</v>
      </c>
      <c r="L33" s="11">
        <v>6706</v>
      </c>
      <c r="M33" s="11">
        <v>7735</v>
      </c>
      <c r="N33" s="11">
        <v>8535</v>
      </c>
      <c r="O33" s="11">
        <v>9085</v>
      </c>
      <c r="P33" s="11">
        <v>10311</v>
      </c>
      <c r="Q33" s="11">
        <v>11131</v>
      </c>
      <c r="R33" s="11">
        <v>11221</v>
      </c>
      <c r="S33" s="11">
        <v>11332</v>
      </c>
      <c r="T33" s="11">
        <v>11829</v>
      </c>
      <c r="U33" s="11">
        <v>12079</v>
      </c>
      <c r="V33" s="11">
        <v>13909</v>
      </c>
      <c r="W33" s="11">
        <v>14660</v>
      </c>
      <c r="X33" s="11">
        <v>15966</v>
      </c>
      <c r="Y33" s="11">
        <v>16837</v>
      </c>
      <c r="Z33" s="11">
        <v>17430</v>
      </c>
      <c r="AA33" s="11">
        <v>18626</v>
      </c>
      <c r="AB33" s="11">
        <v>20227</v>
      </c>
      <c r="AC33" s="11">
        <v>21431</v>
      </c>
      <c r="AD33" s="11">
        <v>22247</v>
      </c>
      <c r="AE33" s="11">
        <v>23028</v>
      </c>
      <c r="AF33" s="11">
        <v>23481</v>
      </c>
      <c r="AG33" s="11">
        <v>23952</v>
      </c>
      <c r="AH33" s="11">
        <v>24369</v>
      </c>
      <c r="AI33" s="11">
        <v>25128</v>
      </c>
      <c r="AJ33" s="11">
        <v>25993</v>
      </c>
      <c r="AK33" s="11">
        <v>26624</v>
      </c>
    </row>
    <row r="34" spans="1:37" x14ac:dyDescent="0.3">
      <c r="A34" s="3" t="s">
        <v>346</v>
      </c>
      <c r="B34" s="3">
        <v>0</v>
      </c>
      <c r="C34" s="3">
        <v>0</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3201</v>
      </c>
      <c r="V34" s="3">
        <v>3328</v>
      </c>
      <c r="W34" s="3">
        <v>3334</v>
      </c>
      <c r="X34" s="3">
        <v>3387</v>
      </c>
      <c r="Y34" s="3">
        <v>3471</v>
      </c>
      <c r="Z34" s="3">
        <v>3428</v>
      </c>
      <c r="AA34" s="3">
        <v>3305</v>
      </c>
      <c r="AB34" s="3">
        <v>3781</v>
      </c>
      <c r="AC34" s="3">
        <v>3824</v>
      </c>
      <c r="AD34" s="3">
        <v>4324</v>
      </c>
      <c r="AE34" s="3">
        <v>4429</v>
      </c>
      <c r="AF34" s="3">
        <v>4296</v>
      </c>
      <c r="AG34" s="3">
        <v>4349</v>
      </c>
      <c r="AH34" s="3">
        <v>4408</v>
      </c>
      <c r="AI34" s="3">
        <v>4475</v>
      </c>
      <c r="AJ34" s="3">
        <v>4545</v>
      </c>
      <c r="AK34" s="3">
        <v>4620</v>
      </c>
    </row>
    <row r="35" spans="1:37" x14ac:dyDescent="0.3">
      <c r="A35" s="11" t="s">
        <v>348</v>
      </c>
      <c r="B35" s="11">
        <v>0</v>
      </c>
      <c r="C35" s="11">
        <v>0</v>
      </c>
      <c r="D35" s="11">
        <v>0</v>
      </c>
      <c r="E35" s="11">
        <v>0</v>
      </c>
      <c r="F35" s="11">
        <v>81</v>
      </c>
      <c r="G35" s="11">
        <v>99</v>
      </c>
      <c r="H35" s="11">
        <v>90</v>
      </c>
      <c r="I35" s="11">
        <v>154</v>
      </c>
      <c r="J35" s="11">
        <v>159</v>
      </c>
      <c r="K35" s="11">
        <v>258</v>
      </c>
      <c r="L35" s="11">
        <v>610</v>
      </c>
      <c r="M35" s="11">
        <v>651</v>
      </c>
      <c r="N35" s="11">
        <v>699</v>
      </c>
      <c r="O35" s="11">
        <v>690</v>
      </c>
      <c r="P35" s="11">
        <v>708</v>
      </c>
      <c r="Q35" s="11">
        <v>740</v>
      </c>
      <c r="R35" s="11">
        <v>720</v>
      </c>
      <c r="S35" s="11">
        <v>849</v>
      </c>
      <c r="T35" s="11">
        <v>842</v>
      </c>
      <c r="U35" s="11">
        <v>887</v>
      </c>
      <c r="V35" s="11">
        <v>979</v>
      </c>
      <c r="W35" s="11">
        <v>1119</v>
      </c>
      <c r="X35" s="11">
        <v>1118</v>
      </c>
      <c r="Y35" s="11">
        <v>1113</v>
      </c>
      <c r="Z35" s="11">
        <v>960</v>
      </c>
      <c r="AA35" s="11">
        <v>1050</v>
      </c>
      <c r="AB35" s="11">
        <v>1552</v>
      </c>
      <c r="AC35" s="11">
        <v>1596</v>
      </c>
      <c r="AD35" s="11">
        <v>1726</v>
      </c>
      <c r="AE35" s="11">
        <v>1727</v>
      </c>
      <c r="AF35" s="11">
        <v>1829</v>
      </c>
      <c r="AG35" s="11">
        <v>1884</v>
      </c>
      <c r="AH35" s="11">
        <v>2326</v>
      </c>
      <c r="AI35" s="11">
        <v>2486</v>
      </c>
      <c r="AJ35" s="11">
        <v>2530</v>
      </c>
      <c r="AK35" s="11">
        <v>2579</v>
      </c>
    </row>
    <row r="36" spans="1:37" x14ac:dyDescent="0.3">
      <c r="A36" s="14" t="s">
        <v>349</v>
      </c>
      <c r="B36" s="3">
        <v>0</v>
      </c>
      <c r="C36" s="3">
        <v>0</v>
      </c>
      <c r="D36" s="3">
        <v>0</v>
      </c>
      <c r="E36" s="3">
        <v>0</v>
      </c>
      <c r="F36" s="3">
        <v>81</v>
      </c>
      <c r="G36" s="3">
        <v>99</v>
      </c>
      <c r="H36" s="3">
        <v>90</v>
      </c>
      <c r="I36" s="3">
        <v>154</v>
      </c>
      <c r="J36" s="3">
        <v>158</v>
      </c>
      <c r="K36" s="3">
        <v>258</v>
      </c>
      <c r="L36" s="3">
        <v>610</v>
      </c>
      <c r="M36" s="3">
        <v>651</v>
      </c>
      <c r="N36" s="3">
        <v>698</v>
      </c>
      <c r="O36" s="3">
        <v>688</v>
      </c>
      <c r="P36" s="3">
        <v>705</v>
      </c>
      <c r="Q36" s="3">
        <v>737</v>
      </c>
      <c r="R36" s="3">
        <v>717</v>
      </c>
      <c r="S36" s="3">
        <v>920</v>
      </c>
      <c r="T36" s="3">
        <v>911</v>
      </c>
      <c r="U36" s="3">
        <v>958</v>
      </c>
      <c r="V36" s="3">
        <v>1057</v>
      </c>
      <c r="W36" s="3">
        <v>1117</v>
      </c>
      <c r="X36" s="3">
        <v>1117</v>
      </c>
      <c r="Y36" s="3">
        <v>1111</v>
      </c>
      <c r="Z36" s="3">
        <v>959</v>
      </c>
      <c r="AA36" s="3">
        <v>1048</v>
      </c>
      <c r="AB36" s="3">
        <v>1527</v>
      </c>
      <c r="AC36" s="3">
        <v>1558</v>
      </c>
      <c r="AD36" s="3">
        <v>1685</v>
      </c>
      <c r="AE36" s="3">
        <v>1685</v>
      </c>
      <c r="AF36" s="3">
        <v>1793</v>
      </c>
      <c r="AG36" s="3">
        <v>1845</v>
      </c>
      <c r="AH36" s="3">
        <v>2286</v>
      </c>
      <c r="AI36" s="3">
        <v>2444</v>
      </c>
      <c r="AJ36" s="3">
        <v>2487</v>
      </c>
      <c r="AK36" s="3">
        <v>2534</v>
      </c>
    </row>
    <row r="37" spans="1:37" x14ac:dyDescent="0.3">
      <c r="A37" s="14" t="s">
        <v>350</v>
      </c>
      <c r="B37" s="3">
        <v>0</v>
      </c>
      <c r="C37" s="3">
        <v>0</v>
      </c>
      <c r="D37" s="3">
        <v>0</v>
      </c>
      <c r="E37" s="3">
        <v>0</v>
      </c>
      <c r="F37" s="3">
        <v>0</v>
      </c>
      <c r="G37" s="3">
        <v>0</v>
      </c>
      <c r="H37" s="3">
        <v>0</v>
      </c>
      <c r="I37" s="3">
        <v>0</v>
      </c>
      <c r="J37" s="3">
        <v>0</v>
      </c>
      <c r="K37" s="3">
        <v>0</v>
      </c>
      <c r="L37" s="3">
        <v>1</v>
      </c>
      <c r="M37" s="3">
        <v>0</v>
      </c>
      <c r="N37" s="3">
        <v>1</v>
      </c>
      <c r="O37" s="3">
        <v>1</v>
      </c>
      <c r="P37" s="3">
        <v>3</v>
      </c>
      <c r="Q37" s="3">
        <v>2</v>
      </c>
      <c r="R37" s="3">
        <v>2</v>
      </c>
      <c r="S37" s="3">
        <v>3</v>
      </c>
      <c r="T37" s="3">
        <v>3</v>
      </c>
      <c r="U37" s="3">
        <v>3</v>
      </c>
      <c r="V37" s="3">
        <v>2</v>
      </c>
      <c r="W37" s="3">
        <v>2</v>
      </c>
      <c r="X37" s="3">
        <v>1</v>
      </c>
      <c r="Y37" s="3">
        <v>1</v>
      </c>
      <c r="Z37" s="3">
        <v>1</v>
      </c>
      <c r="AA37" s="3">
        <v>1</v>
      </c>
      <c r="AB37" s="3">
        <v>1</v>
      </c>
      <c r="AC37" s="3">
        <v>1</v>
      </c>
      <c r="AD37" s="3">
        <v>2</v>
      </c>
      <c r="AE37" s="3">
        <v>2</v>
      </c>
      <c r="AF37" s="3">
        <v>2</v>
      </c>
      <c r="AG37" s="3">
        <v>2</v>
      </c>
      <c r="AH37" s="3">
        <v>2</v>
      </c>
      <c r="AI37" s="3">
        <v>2</v>
      </c>
      <c r="AJ37" s="3">
        <v>2</v>
      </c>
      <c r="AK37" s="3">
        <v>2</v>
      </c>
    </row>
    <row r="38" spans="1:37" x14ac:dyDescent="0.3">
      <c r="A38" s="14" t="s">
        <v>351</v>
      </c>
      <c r="B38" s="3">
        <v>0</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30</v>
      </c>
      <c r="AC38" s="3">
        <v>32</v>
      </c>
      <c r="AD38" s="3">
        <v>33</v>
      </c>
      <c r="AE38" s="3">
        <v>34</v>
      </c>
      <c r="AF38" s="3">
        <v>35</v>
      </c>
      <c r="AG38" s="3">
        <v>36</v>
      </c>
      <c r="AH38" s="3">
        <v>38</v>
      </c>
      <c r="AI38" s="3">
        <v>39</v>
      </c>
      <c r="AJ38" s="3">
        <v>41</v>
      </c>
      <c r="AK38" s="3">
        <v>43</v>
      </c>
    </row>
    <row r="39" spans="1:37" ht="15" thickBot="1" x14ac:dyDescent="0.35">
      <c r="A39" s="14" t="s">
        <v>352</v>
      </c>
      <c r="B39" s="3">
        <v>0</v>
      </c>
      <c r="C39" s="3">
        <v>0</v>
      </c>
      <c r="D39" s="3">
        <v>0</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c r="AB39" s="3">
        <v>2</v>
      </c>
      <c r="AC39" s="3">
        <v>5</v>
      </c>
      <c r="AD39" s="3">
        <v>6</v>
      </c>
      <c r="AE39" s="3">
        <v>6</v>
      </c>
      <c r="AF39" s="3">
        <v>0</v>
      </c>
      <c r="AG39" s="3">
        <v>0</v>
      </c>
      <c r="AH39" s="3">
        <v>0</v>
      </c>
      <c r="AI39" s="3">
        <v>0</v>
      </c>
      <c r="AJ39" s="3">
        <v>0</v>
      </c>
      <c r="AK39" s="3">
        <v>0</v>
      </c>
    </row>
    <row r="40" spans="1:37" ht="15" customHeight="1" x14ac:dyDescent="0.3">
      <c r="A40" s="30" t="s">
        <v>353</v>
      </c>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spans="1:37" ht="15" customHeight="1" x14ac:dyDescent="0.3">
      <c r="A41" s="32" t="s">
        <v>354</v>
      </c>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row>
    <row r="42" spans="1:37" ht="15" customHeight="1" x14ac:dyDescent="0.3">
      <c r="A42" s="32" t="s">
        <v>355</v>
      </c>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row>
    <row r="43" spans="1:37" ht="15" customHeight="1" x14ac:dyDescent="0.3">
      <c r="A43" s="32" t="s">
        <v>356</v>
      </c>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row>
    <row r="44" spans="1:37" ht="15" customHeight="1" x14ac:dyDescent="0.3">
      <c r="A44" s="32" t="s">
        <v>357</v>
      </c>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row>
    <row r="45" spans="1:37" ht="15" customHeight="1" x14ac:dyDescent="0.3">
      <c r="A45" s="32" t="s">
        <v>358</v>
      </c>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row>
    <row r="46" spans="1:37" ht="15" customHeight="1" x14ac:dyDescent="0.3">
      <c r="A46" s="32" t="s">
        <v>359</v>
      </c>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row>
    <row r="47" spans="1:37" ht="15" customHeight="1" x14ac:dyDescent="0.3">
      <c r="A47" s="32" t="s">
        <v>360</v>
      </c>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row>
    <row r="48" spans="1:37" ht="15" customHeight="1" x14ac:dyDescent="0.3">
      <c r="A48" s="32" t="s">
        <v>361</v>
      </c>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row>
  </sheetData>
  <mergeCells count="11">
    <mergeCell ref="A43:AK43"/>
    <mergeCell ref="A1:AK1"/>
    <mergeCell ref="A2:AK2"/>
    <mergeCell ref="A40:AK40"/>
    <mergeCell ref="A41:AK41"/>
    <mergeCell ref="A42:AK42"/>
    <mergeCell ref="A44:AK44"/>
    <mergeCell ref="A45:AK45"/>
    <mergeCell ref="A46:AK46"/>
    <mergeCell ref="A47:AK47"/>
    <mergeCell ref="A48:AK4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C8DC-3825-4775-8B34-0F053B1C6F3A}">
  <dimension ref="A1:AK37"/>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7" style="1" bestFit="1" customWidth="1"/>
    <col min="38" max="16384" width="9.109375" style="1"/>
  </cols>
  <sheetData>
    <row r="1" spans="1:37" ht="15" customHeight="1" x14ac:dyDescent="0.3">
      <c r="A1" s="28" t="s">
        <v>297</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78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233</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row>
    <row r="5" spans="1:37" x14ac:dyDescent="0.3">
      <c r="A5" s="20" t="s">
        <v>254</v>
      </c>
      <c r="B5" s="3">
        <v>204527</v>
      </c>
      <c r="C5" s="3">
        <v>211369</v>
      </c>
      <c r="D5" s="3">
        <v>219048</v>
      </c>
      <c r="E5" s="3">
        <v>225004</v>
      </c>
      <c r="F5" s="3">
        <v>235767</v>
      </c>
      <c r="G5" s="3">
        <v>247549</v>
      </c>
      <c r="H5" s="3">
        <v>253595</v>
      </c>
      <c r="I5" s="3">
        <v>257340</v>
      </c>
      <c r="J5" s="3">
        <v>263912</v>
      </c>
      <c r="K5" s="3">
        <v>273943</v>
      </c>
      <c r="L5" s="3">
        <v>286306</v>
      </c>
      <c r="M5" s="3">
        <v>301747</v>
      </c>
      <c r="N5" s="3">
        <v>318331</v>
      </c>
      <c r="O5" s="3">
        <v>321625</v>
      </c>
      <c r="P5" s="3">
        <v>329174</v>
      </c>
      <c r="Q5" s="3">
        <v>340338</v>
      </c>
      <c r="R5" s="3">
        <v>351119</v>
      </c>
      <c r="S5" s="3">
        <v>357458</v>
      </c>
      <c r="T5" s="3">
        <v>361856</v>
      </c>
      <c r="U5" s="3">
        <v>365502</v>
      </c>
      <c r="V5" s="3">
        <v>371429</v>
      </c>
      <c r="W5" s="3">
        <v>383681</v>
      </c>
      <c r="X5" s="3">
        <v>395656</v>
      </c>
      <c r="Y5" s="3">
        <v>409417</v>
      </c>
      <c r="Z5" s="3">
        <v>412917</v>
      </c>
      <c r="AA5" s="3">
        <v>433404</v>
      </c>
      <c r="AB5" s="3">
        <v>478184</v>
      </c>
      <c r="AC5" s="3">
        <v>518286</v>
      </c>
      <c r="AD5" s="3">
        <v>535111</v>
      </c>
      <c r="AE5" s="3">
        <v>554117</v>
      </c>
      <c r="AF5" s="3">
        <v>571010</v>
      </c>
      <c r="AG5" s="3">
        <v>593885</v>
      </c>
      <c r="AH5" s="3">
        <v>612726</v>
      </c>
      <c r="AI5" s="3">
        <v>630703</v>
      </c>
      <c r="AJ5" s="3">
        <v>650311</v>
      </c>
      <c r="AK5" s="3">
        <v>668888</v>
      </c>
    </row>
    <row r="6" spans="1:37" x14ac:dyDescent="0.3">
      <c r="A6" s="21" t="s">
        <v>255</v>
      </c>
      <c r="B6" s="3">
        <v>7182</v>
      </c>
      <c r="C6" s="3">
        <v>7240</v>
      </c>
      <c r="D6" s="3">
        <v>7578</v>
      </c>
      <c r="E6" s="3">
        <v>7278</v>
      </c>
      <c r="F6" s="3">
        <v>7724</v>
      </c>
      <c r="G6" s="3">
        <v>7969</v>
      </c>
      <c r="H6" s="3">
        <v>7301</v>
      </c>
      <c r="I6" s="3">
        <v>7046</v>
      </c>
      <c r="J6" s="3">
        <v>6304</v>
      </c>
      <c r="K6" s="3">
        <v>7502</v>
      </c>
      <c r="L6" s="3">
        <v>8113</v>
      </c>
      <c r="M6" s="3">
        <v>8732</v>
      </c>
      <c r="N6" s="3">
        <v>7883</v>
      </c>
      <c r="O6" s="3">
        <v>8153</v>
      </c>
      <c r="P6" s="3">
        <v>9228</v>
      </c>
      <c r="Q6" s="3">
        <v>10240</v>
      </c>
      <c r="R6" s="3">
        <v>10430</v>
      </c>
      <c r="S6" s="3">
        <v>10574</v>
      </c>
      <c r="T6" s="3">
        <v>10657</v>
      </c>
      <c r="U6" s="3">
        <v>10734</v>
      </c>
      <c r="V6" s="3">
        <v>11033</v>
      </c>
      <c r="W6" s="3">
        <v>11301</v>
      </c>
      <c r="X6" s="3">
        <v>11856</v>
      </c>
      <c r="Y6" s="3">
        <v>11928</v>
      </c>
      <c r="Z6" s="3">
        <v>12454</v>
      </c>
      <c r="AA6" s="3">
        <v>12471</v>
      </c>
      <c r="AB6" s="3">
        <v>16714</v>
      </c>
      <c r="AC6" s="3">
        <v>20021</v>
      </c>
      <c r="AD6" s="3">
        <v>19356</v>
      </c>
      <c r="AE6" s="3">
        <v>19371</v>
      </c>
      <c r="AF6" s="3">
        <v>19683</v>
      </c>
      <c r="AG6" s="3">
        <v>20188</v>
      </c>
      <c r="AH6" s="3">
        <v>20809</v>
      </c>
      <c r="AI6" s="3">
        <v>21479</v>
      </c>
      <c r="AJ6" s="3">
        <v>22009</v>
      </c>
      <c r="AK6" s="3">
        <v>22503</v>
      </c>
    </row>
    <row r="7" spans="1:37" x14ac:dyDescent="0.3">
      <c r="A7" s="21" t="s">
        <v>298</v>
      </c>
      <c r="B7" s="3">
        <v>16909</v>
      </c>
      <c r="C7" s="3">
        <v>17712</v>
      </c>
      <c r="D7" s="3">
        <v>18169</v>
      </c>
      <c r="E7" s="3">
        <v>18910</v>
      </c>
      <c r="F7" s="3">
        <v>19425</v>
      </c>
      <c r="G7" s="3">
        <v>19794</v>
      </c>
      <c r="H7" s="3">
        <v>19140</v>
      </c>
      <c r="I7" s="3">
        <v>19396</v>
      </c>
      <c r="J7" s="3">
        <v>20063</v>
      </c>
      <c r="K7" s="3">
        <v>20733</v>
      </c>
      <c r="L7" s="3">
        <v>21833</v>
      </c>
      <c r="M7" s="3">
        <v>22491</v>
      </c>
      <c r="N7" s="3">
        <v>22896</v>
      </c>
      <c r="O7" s="3">
        <v>23534</v>
      </c>
      <c r="P7" s="3">
        <v>24460</v>
      </c>
      <c r="Q7" s="3">
        <v>24909</v>
      </c>
      <c r="R7" s="3">
        <v>25395</v>
      </c>
      <c r="S7" s="3">
        <v>25971</v>
      </c>
      <c r="T7" s="3">
        <v>27026</v>
      </c>
      <c r="U7" s="3">
        <v>27813</v>
      </c>
      <c r="V7" s="3">
        <v>28323</v>
      </c>
      <c r="W7" s="3">
        <v>28927</v>
      </c>
      <c r="X7" s="3">
        <v>29932</v>
      </c>
      <c r="Y7" s="3">
        <v>30689</v>
      </c>
      <c r="Z7" s="3">
        <v>28466</v>
      </c>
      <c r="AA7" s="3">
        <v>31391</v>
      </c>
      <c r="AB7" s="3">
        <v>33757</v>
      </c>
      <c r="AC7" s="3">
        <v>35777</v>
      </c>
      <c r="AD7" s="3">
        <v>36678</v>
      </c>
      <c r="AE7" s="3">
        <v>39834</v>
      </c>
      <c r="AF7" s="3">
        <v>41044</v>
      </c>
      <c r="AG7" s="3">
        <v>42369</v>
      </c>
      <c r="AH7" s="3">
        <v>43759</v>
      </c>
      <c r="AI7" s="3">
        <v>45157</v>
      </c>
      <c r="AJ7" s="3">
        <v>46512</v>
      </c>
      <c r="AK7" s="3">
        <v>47851</v>
      </c>
    </row>
    <row r="8" spans="1:37" x14ac:dyDescent="0.3">
      <c r="A8" s="21" t="s">
        <v>299</v>
      </c>
      <c r="B8" s="3">
        <v>111072</v>
      </c>
      <c r="C8" s="3">
        <v>115291</v>
      </c>
      <c r="D8" s="3">
        <v>119495</v>
      </c>
      <c r="E8" s="3">
        <v>125798</v>
      </c>
      <c r="F8" s="3">
        <v>131562</v>
      </c>
      <c r="G8" s="3">
        <v>138980</v>
      </c>
      <c r="H8" s="3">
        <v>145586</v>
      </c>
      <c r="I8" s="3">
        <v>148577</v>
      </c>
      <c r="J8" s="3">
        <v>153099</v>
      </c>
      <c r="K8" s="3">
        <v>158446</v>
      </c>
      <c r="L8" s="3">
        <v>166129</v>
      </c>
      <c r="M8" s="3">
        <v>175029</v>
      </c>
      <c r="N8" s="3">
        <v>184622</v>
      </c>
      <c r="O8" s="3">
        <v>186357</v>
      </c>
      <c r="P8" s="3">
        <v>190532</v>
      </c>
      <c r="Q8" s="3">
        <v>198965</v>
      </c>
      <c r="R8" s="3">
        <v>205696</v>
      </c>
      <c r="S8" s="3">
        <v>209686</v>
      </c>
      <c r="T8" s="3">
        <v>212560</v>
      </c>
      <c r="U8" s="3">
        <v>214689</v>
      </c>
      <c r="V8" s="3">
        <v>218942</v>
      </c>
      <c r="W8" s="3">
        <v>226542</v>
      </c>
      <c r="X8" s="3">
        <v>233964</v>
      </c>
      <c r="Y8" s="3">
        <v>242568</v>
      </c>
      <c r="Z8" s="3">
        <v>238777</v>
      </c>
      <c r="AA8" s="3">
        <v>253673</v>
      </c>
      <c r="AB8" s="3">
        <v>277464</v>
      </c>
      <c r="AC8" s="3">
        <v>299696</v>
      </c>
      <c r="AD8" s="3">
        <v>310278</v>
      </c>
      <c r="AE8" s="3">
        <v>320578</v>
      </c>
      <c r="AF8" s="3">
        <v>329711</v>
      </c>
      <c r="AG8" s="3">
        <v>343380</v>
      </c>
      <c r="AH8" s="3">
        <v>353918</v>
      </c>
      <c r="AI8" s="3">
        <v>363710</v>
      </c>
      <c r="AJ8" s="3">
        <v>374332</v>
      </c>
      <c r="AK8" s="3">
        <v>384509</v>
      </c>
    </row>
    <row r="9" spans="1:37" x14ac:dyDescent="0.3">
      <c r="A9" s="9" t="s">
        <v>300</v>
      </c>
      <c r="B9" s="3">
        <v>82306</v>
      </c>
      <c r="C9" s="3">
        <v>84963</v>
      </c>
      <c r="D9" s="3">
        <v>87700</v>
      </c>
      <c r="E9" s="3">
        <v>92734</v>
      </c>
      <c r="F9" s="3">
        <v>97735</v>
      </c>
      <c r="G9" s="3">
        <v>103344</v>
      </c>
      <c r="H9" s="3">
        <v>107685</v>
      </c>
      <c r="I9" s="3">
        <v>109704</v>
      </c>
      <c r="J9" s="3">
        <v>113256</v>
      </c>
      <c r="K9" s="3">
        <v>117329</v>
      </c>
      <c r="L9" s="3">
        <v>122936</v>
      </c>
      <c r="M9" s="3">
        <v>128655</v>
      </c>
      <c r="N9" s="3">
        <v>135518</v>
      </c>
      <c r="O9" s="3">
        <v>136158</v>
      </c>
      <c r="P9" s="3">
        <v>139277</v>
      </c>
      <c r="Q9" s="3">
        <v>145910</v>
      </c>
      <c r="R9" s="3">
        <v>150662</v>
      </c>
      <c r="S9" s="3">
        <v>153502</v>
      </c>
      <c r="T9" s="3">
        <v>156137</v>
      </c>
      <c r="U9" s="3">
        <v>157741</v>
      </c>
      <c r="V9" s="3">
        <v>163018</v>
      </c>
      <c r="W9" s="3">
        <v>169068</v>
      </c>
      <c r="X9" s="3">
        <v>175338</v>
      </c>
      <c r="Y9" s="3">
        <v>181910</v>
      </c>
      <c r="Z9" s="3">
        <v>178419</v>
      </c>
      <c r="AA9" s="3">
        <v>190705</v>
      </c>
      <c r="AB9" s="3">
        <v>209481</v>
      </c>
      <c r="AC9" s="3">
        <v>226018</v>
      </c>
      <c r="AD9" s="3">
        <v>233079</v>
      </c>
      <c r="AE9" s="3">
        <v>240536</v>
      </c>
      <c r="AF9" s="3">
        <v>247221</v>
      </c>
      <c r="AG9" s="3">
        <v>257180</v>
      </c>
      <c r="AH9" s="3">
        <v>264847</v>
      </c>
      <c r="AI9" s="3">
        <v>272234</v>
      </c>
      <c r="AJ9" s="3">
        <v>280122</v>
      </c>
      <c r="AK9" s="3">
        <v>287672</v>
      </c>
    </row>
    <row r="10" spans="1:37" x14ac:dyDescent="0.3">
      <c r="A10" s="9" t="s">
        <v>301</v>
      </c>
      <c r="B10" s="3">
        <v>22160</v>
      </c>
      <c r="C10" s="3">
        <v>23442</v>
      </c>
      <c r="D10" s="3">
        <v>24628</v>
      </c>
      <c r="E10" s="3">
        <v>25548</v>
      </c>
      <c r="F10" s="3">
        <v>25972</v>
      </c>
      <c r="G10" s="3">
        <v>27225</v>
      </c>
      <c r="H10" s="3">
        <v>28962</v>
      </c>
      <c r="I10" s="3">
        <v>29791</v>
      </c>
      <c r="J10" s="3">
        <v>30636</v>
      </c>
      <c r="K10" s="3">
        <v>31680</v>
      </c>
      <c r="L10" s="3">
        <v>33040</v>
      </c>
      <c r="M10" s="3">
        <v>35237</v>
      </c>
      <c r="N10" s="3">
        <v>37616</v>
      </c>
      <c r="O10" s="3">
        <v>38210</v>
      </c>
      <c r="P10" s="3">
        <v>39133</v>
      </c>
      <c r="Q10" s="3">
        <v>40646</v>
      </c>
      <c r="R10" s="3">
        <v>42294</v>
      </c>
      <c r="S10" s="3">
        <v>43057</v>
      </c>
      <c r="T10" s="3">
        <v>43186</v>
      </c>
      <c r="U10" s="3">
        <v>44232</v>
      </c>
      <c r="V10" s="3">
        <v>43321</v>
      </c>
      <c r="W10" s="3">
        <v>44336</v>
      </c>
      <c r="X10" s="3">
        <v>45330</v>
      </c>
      <c r="Y10" s="3">
        <v>46771</v>
      </c>
      <c r="Z10" s="3">
        <v>46206</v>
      </c>
      <c r="AA10" s="3">
        <v>48531</v>
      </c>
      <c r="AB10" s="3">
        <v>52584</v>
      </c>
      <c r="AC10" s="3">
        <v>56796</v>
      </c>
      <c r="AD10" s="3">
        <v>59466</v>
      </c>
      <c r="AE10" s="3">
        <v>62065</v>
      </c>
      <c r="AF10" s="3">
        <v>63696</v>
      </c>
      <c r="AG10" s="3">
        <v>66825</v>
      </c>
      <c r="AH10" s="3">
        <v>69396</v>
      </c>
      <c r="AI10" s="3">
        <v>71642</v>
      </c>
      <c r="AJ10" s="3">
        <v>74044</v>
      </c>
      <c r="AK10" s="3">
        <v>76384</v>
      </c>
    </row>
    <row r="11" spans="1:37" x14ac:dyDescent="0.3">
      <c r="A11" s="9" t="s">
        <v>302</v>
      </c>
      <c r="B11" s="3">
        <v>6605</v>
      </c>
      <c r="C11" s="3">
        <v>6886</v>
      </c>
      <c r="D11" s="3">
        <v>7167</v>
      </c>
      <c r="E11" s="3">
        <v>7516</v>
      </c>
      <c r="F11" s="3">
        <v>7856</v>
      </c>
      <c r="G11" s="3">
        <v>8410</v>
      </c>
      <c r="H11" s="3">
        <v>8939</v>
      </c>
      <c r="I11" s="3">
        <v>9082</v>
      </c>
      <c r="J11" s="3">
        <v>9207</v>
      </c>
      <c r="K11" s="3">
        <v>9437</v>
      </c>
      <c r="L11" s="3">
        <v>10153</v>
      </c>
      <c r="M11" s="3">
        <v>11137</v>
      </c>
      <c r="N11" s="3">
        <v>11488</v>
      </c>
      <c r="O11" s="3">
        <v>11990</v>
      </c>
      <c r="P11" s="3">
        <v>12122</v>
      </c>
      <c r="Q11" s="3">
        <v>12409</v>
      </c>
      <c r="R11" s="3">
        <v>12741</v>
      </c>
      <c r="S11" s="3">
        <v>13128</v>
      </c>
      <c r="T11" s="3">
        <v>13237</v>
      </c>
      <c r="U11" s="3">
        <v>12716</v>
      </c>
      <c r="V11" s="3">
        <v>12602</v>
      </c>
      <c r="W11" s="3">
        <v>13138</v>
      </c>
      <c r="X11" s="3">
        <v>13295</v>
      </c>
      <c r="Y11" s="3">
        <v>13886</v>
      </c>
      <c r="Z11" s="3">
        <v>14152</v>
      </c>
      <c r="AA11" s="3">
        <v>14438</v>
      </c>
      <c r="AB11" s="3">
        <v>15398</v>
      </c>
      <c r="AC11" s="3">
        <v>16881</v>
      </c>
      <c r="AD11" s="3">
        <v>17732</v>
      </c>
      <c r="AE11" s="3">
        <v>17977</v>
      </c>
      <c r="AF11" s="3">
        <v>18794</v>
      </c>
      <c r="AG11" s="3">
        <v>19374</v>
      </c>
      <c r="AH11" s="3">
        <v>19675</v>
      </c>
      <c r="AI11" s="3">
        <v>19835</v>
      </c>
      <c r="AJ11" s="3">
        <v>20166</v>
      </c>
      <c r="AK11" s="3">
        <v>20453</v>
      </c>
    </row>
    <row r="12" spans="1:37" x14ac:dyDescent="0.3">
      <c r="A12" s="21" t="s">
        <v>303</v>
      </c>
      <c r="B12" s="3">
        <v>26487</v>
      </c>
      <c r="C12" s="3">
        <v>26292</v>
      </c>
      <c r="D12" s="3">
        <v>27804</v>
      </c>
      <c r="E12" s="3">
        <v>26436</v>
      </c>
      <c r="F12" s="3">
        <v>29280</v>
      </c>
      <c r="G12" s="3">
        <v>30337</v>
      </c>
      <c r="H12" s="3">
        <v>27996</v>
      </c>
      <c r="I12" s="3">
        <v>26738</v>
      </c>
      <c r="J12" s="3">
        <v>27036</v>
      </c>
      <c r="K12" s="3">
        <v>27388</v>
      </c>
      <c r="L12" s="3">
        <v>28361</v>
      </c>
      <c r="M12" s="3">
        <v>30309</v>
      </c>
      <c r="N12" s="3">
        <v>33889</v>
      </c>
      <c r="O12" s="3">
        <v>29285</v>
      </c>
      <c r="P12" s="3">
        <v>28819</v>
      </c>
      <c r="Q12" s="3">
        <v>28314</v>
      </c>
      <c r="R12" s="3">
        <v>28241</v>
      </c>
      <c r="S12" s="3">
        <v>27419</v>
      </c>
      <c r="T12" s="3">
        <v>27092</v>
      </c>
      <c r="U12" s="3">
        <v>26514</v>
      </c>
      <c r="V12" s="3">
        <v>25233</v>
      </c>
      <c r="W12" s="3">
        <v>26665</v>
      </c>
      <c r="X12" s="3">
        <v>26977</v>
      </c>
      <c r="Y12" s="3">
        <v>27987</v>
      </c>
      <c r="Z12" s="3">
        <v>25019</v>
      </c>
      <c r="AA12" s="3">
        <v>29009</v>
      </c>
      <c r="AB12" s="3">
        <v>35927</v>
      </c>
      <c r="AC12" s="3">
        <v>41090</v>
      </c>
      <c r="AD12" s="3">
        <v>41815</v>
      </c>
      <c r="AE12" s="3">
        <v>43695</v>
      </c>
      <c r="AF12" s="3">
        <v>45575</v>
      </c>
      <c r="AG12" s="3">
        <v>47508</v>
      </c>
      <c r="AH12" s="3">
        <v>49001</v>
      </c>
      <c r="AI12" s="3">
        <v>50651</v>
      </c>
      <c r="AJ12" s="3">
        <v>52430</v>
      </c>
      <c r="AK12" s="3">
        <v>54145</v>
      </c>
    </row>
    <row r="13" spans="1:37" x14ac:dyDescent="0.3">
      <c r="A13" s="9" t="s">
        <v>285</v>
      </c>
      <c r="B13" s="3">
        <v>18048</v>
      </c>
      <c r="C13" s="3">
        <v>17636</v>
      </c>
      <c r="D13" s="3">
        <v>17534</v>
      </c>
      <c r="E13" s="3">
        <v>15099</v>
      </c>
      <c r="F13" s="3">
        <v>16832</v>
      </c>
      <c r="G13" s="3">
        <v>17078</v>
      </c>
      <c r="H13" s="3">
        <v>14103</v>
      </c>
      <c r="I13" s="3">
        <v>11162</v>
      </c>
      <c r="J13" s="3">
        <v>10257</v>
      </c>
      <c r="K13" s="3">
        <v>9968</v>
      </c>
      <c r="L13" s="3">
        <v>10402</v>
      </c>
      <c r="M13" s="3">
        <v>13274</v>
      </c>
      <c r="N13" s="3">
        <v>14108</v>
      </c>
      <c r="O13" s="3">
        <v>11069</v>
      </c>
      <c r="P13" s="3">
        <v>9137</v>
      </c>
      <c r="Q13" s="3">
        <v>7843</v>
      </c>
      <c r="R13" s="3">
        <v>5842</v>
      </c>
      <c r="S13" s="3">
        <v>4693</v>
      </c>
      <c r="T13" s="3">
        <v>3456</v>
      </c>
      <c r="U13" s="3">
        <v>2443</v>
      </c>
      <c r="V13" s="3">
        <v>1678</v>
      </c>
      <c r="W13" s="3">
        <v>1460</v>
      </c>
      <c r="X13" s="3">
        <v>1899</v>
      </c>
      <c r="Y13" s="3">
        <v>1093</v>
      </c>
      <c r="Z13" s="3">
        <v>269</v>
      </c>
      <c r="AA13" s="3">
        <v>-436</v>
      </c>
      <c r="AB13" s="3">
        <v>6334</v>
      </c>
      <c r="AC13" s="3">
        <v>15962</v>
      </c>
      <c r="AD13" s="3">
        <v>13943</v>
      </c>
      <c r="AE13" s="3">
        <v>11950</v>
      </c>
      <c r="AF13" s="3">
        <v>12228</v>
      </c>
      <c r="AG13" s="3">
        <v>12764</v>
      </c>
      <c r="AH13" s="3">
        <v>13061</v>
      </c>
      <c r="AI13" s="3">
        <v>13275</v>
      </c>
      <c r="AJ13" s="3">
        <v>13483</v>
      </c>
      <c r="AK13" s="3">
        <v>13688</v>
      </c>
    </row>
    <row r="14" spans="1:37" x14ac:dyDescent="0.3">
      <c r="A14" s="9" t="s">
        <v>286</v>
      </c>
      <c r="B14" s="3">
        <v>3057</v>
      </c>
      <c r="C14" s="3">
        <v>2966</v>
      </c>
      <c r="D14" s="3">
        <v>3553</v>
      </c>
      <c r="E14" s="3">
        <v>2961</v>
      </c>
      <c r="F14" s="3">
        <v>3980</v>
      </c>
      <c r="G14" s="3">
        <v>4201</v>
      </c>
      <c r="H14" s="3">
        <v>2972</v>
      </c>
      <c r="I14" s="3">
        <v>2519</v>
      </c>
      <c r="J14" s="3">
        <v>2027</v>
      </c>
      <c r="K14" s="3">
        <v>2874</v>
      </c>
      <c r="L14" s="3">
        <v>3931</v>
      </c>
      <c r="M14" s="3">
        <v>5816</v>
      </c>
      <c r="N14" s="3">
        <v>6362</v>
      </c>
      <c r="O14" s="3">
        <v>3957</v>
      </c>
      <c r="P14" s="3">
        <v>3964</v>
      </c>
      <c r="Q14" s="3">
        <v>3734</v>
      </c>
      <c r="R14" s="3">
        <v>2660</v>
      </c>
      <c r="S14" s="3">
        <v>2199</v>
      </c>
      <c r="T14" s="3">
        <v>2076</v>
      </c>
      <c r="U14" s="3">
        <v>1705</v>
      </c>
      <c r="V14" s="3">
        <v>1400</v>
      </c>
      <c r="W14" s="3">
        <v>1440</v>
      </c>
      <c r="X14" s="3">
        <v>1470</v>
      </c>
      <c r="Y14" s="3">
        <v>981</v>
      </c>
      <c r="Z14" s="3">
        <v>689</v>
      </c>
      <c r="AA14" s="3">
        <v>478</v>
      </c>
      <c r="AB14" s="3">
        <v>4572</v>
      </c>
      <c r="AC14" s="3">
        <v>11184</v>
      </c>
      <c r="AD14" s="3">
        <v>10226</v>
      </c>
      <c r="AE14" s="3">
        <v>8918</v>
      </c>
      <c r="AF14" s="3">
        <v>8960</v>
      </c>
      <c r="AG14" s="3">
        <v>9082</v>
      </c>
      <c r="AH14" s="3">
        <v>9199</v>
      </c>
      <c r="AI14" s="3">
        <v>9375</v>
      </c>
      <c r="AJ14" s="3">
        <v>9560</v>
      </c>
      <c r="AK14" s="3">
        <v>9755</v>
      </c>
    </row>
    <row r="15" spans="1:37" x14ac:dyDescent="0.3">
      <c r="A15" s="9" t="s">
        <v>304</v>
      </c>
      <c r="B15" s="3">
        <v>5307</v>
      </c>
      <c r="C15" s="3">
        <v>5323</v>
      </c>
      <c r="D15" s="3">
        <v>7042</v>
      </c>
      <c r="E15" s="3">
        <v>7769</v>
      </c>
      <c r="F15" s="3">
        <v>9472</v>
      </c>
      <c r="G15" s="3">
        <v>10249</v>
      </c>
      <c r="H15" s="3">
        <v>9324</v>
      </c>
      <c r="I15" s="3">
        <v>10608</v>
      </c>
      <c r="J15" s="3">
        <v>10756</v>
      </c>
      <c r="K15" s="3">
        <v>11002</v>
      </c>
      <c r="L15" s="3">
        <v>11616</v>
      </c>
      <c r="M15" s="3">
        <v>12589</v>
      </c>
      <c r="N15" s="3">
        <v>14170</v>
      </c>
      <c r="O15" s="3">
        <v>11772</v>
      </c>
      <c r="P15" s="3">
        <v>12084</v>
      </c>
      <c r="Q15" s="3">
        <v>12646</v>
      </c>
      <c r="R15" s="3">
        <v>13233</v>
      </c>
      <c r="S15" s="3">
        <v>13569</v>
      </c>
      <c r="T15" s="3">
        <v>13954</v>
      </c>
      <c r="U15" s="3">
        <v>14334</v>
      </c>
      <c r="V15" s="3">
        <v>14565</v>
      </c>
      <c r="W15" s="3">
        <v>15573</v>
      </c>
      <c r="X15" s="3">
        <v>15993</v>
      </c>
      <c r="Y15" s="3">
        <v>17402</v>
      </c>
      <c r="Z15" s="3">
        <v>15916</v>
      </c>
      <c r="AA15" s="3">
        <v>19994</v>
      </c>
      <c r="AB15" s="3">
        <v>23090</v>
      </c>
      <c r="AC15" s="3">
        <v>25012</v>
      </c>
      <c r="AD15" s="3">
        <v>26144</v>
      </c>
      <c r="AE15" s="3">
        <v>28269</v>
      </c>
      <c r="AF15" s="3">
        <v>29508</v>
      </c>
      <c r="AG15" s="3">
        <v>30622</v>
      </c>
      <c r="AH15" s="3">
        <v>31578</v>
      </c>
      <c r="AI15" s="3">
        <v>32784</v>
      </c>
      <c r="AJ15" s="3">
        <v>34141</v>
      </c>
      <c r="AK15" s="3">
        <v>35484</v>
      </c>
    </row>
    <row r="16" spans="1:37" x14ac:dyDescent="0.3">
      <c r="A16" s="9" t="s">
        <v>182</v>
      </c>
      <c r="B16" s="3">
        <v>6190</v>
      </c>
      <c r="C16" s="3">
        <v>6299</v>
      </c>
      <c r="D16" s="3">
        <v>6781</v>
      </c>
      <c r="E16" s="3">
        <v>6529</v>
      </c>
      <c r="F16" s="3">
        <v>6956</v>
      </c>
      <c r="G16" s="3">
        <v>7211</v>
      </c>
      <c r="H16" s="3">
        <v>7542</v>
      </c>
      <c r="I16" s="3">
        <v>7487</v>
      </c>
      <c r="J16" s="3">
        <v>8050</v>
      </c>
      <c r="K16" s="3">
        <v>9292</v>
      </c>
      <c r="L16" s="3">
        <v>10272</v>
      </c>
      <c r="M16" s="3">
        <v>10262</v>
      </c>
      <c r="N16" s="3">
        <v>11973</v>
      </c>
      <c r="O16" s="3">
        <v>10400</v>
      </c>
      <c r="P16" s="3">
        <v>11562</v>
      </c>
      <c r="Q16" s="3">
        <v>11559</v>
      </c>
      <c r="R16" s="3">
        <v>11826</v>
      </c>
      <c r="S16" s="3">
        <v>11356</v>
      </c>
      <c r="T16" s="3">
        <v>11759</v>
      </c>
      <c r="U16" s="3">
        <v>11442</v>
      </c>
      <c r="V16" s="3">
        <v>10390</v>
      </c>
      <c r="W16" s="3">
        <v>11072</v>
      </c>
      <c r="X16" s="3">
        <v>10555</v>
      </c>
      <c r="Y16" s="3">
        <v>10472</v>
      </c>
      <c r="Z16" s="3">
        <v>9522</v>
      </c>
      <c r="AA16" s="3">
        <v>9930</v>
      </c>
      <c r="AB16" s="3">
        <v>11075</v>
      </c>
      <c r="AC16" s="3">
        <v>11300</v>
      </c>
      <c r="AD16" s="3">
        <v>11955</v>
      </c>
      <c r="AE16" s="3">
        <v>12395</v>
      </c>
      <c r="AF16" s="3">
        <v>12799</v>
      </c>
      <c r="AG16" s="3">
        <v>13204</v>
      </c>
      <c r="AH16" s="3">
        <v>13562</v>
      </c>
      <c r="AI16" s="3">
        <v>13968</v>
      </c>
      <c r="AJ16" s="3">
        <v>14366</v>
      </c>
      <c r="AK16" s="3">
        <v>14728</v>
      </c>
    </row>
    <row r="17" spans="1:37" x14ac:dyDescent="0.3">
      <c r="A17" s="21" t="s">
        <v>305</v>
      </c>
      <c r="B17" s="3">
        <v>40775</v>
      </c>
      <c r="C17" s="3">
        <v>42250</v>
      </c>
      <c r="D17" s="3">
        <v>43456</v>
      </c>
      <c r="E17" s="3">
        <v>44453</v>
      </c>
      <c r="F17" s="3">
        <v>45715</v>
      </c>
      <c r="G17" s="3">
        <v>47954</v>
      </c>
      <c r="H17" s="3">
        <v>51236</v>
      </c>
      <c r="I17" s="3">
        <v>53483</v>
      </c>
      <c r="J17" s="3">
        <v>55232</v>
      </c>
      <c r="K17" s="3">
        <v>57060</v>
      </c>
      <c r="L17" s="3">
        <v>59068</v>
      </c>
      <c r="M17" s="3">
        <v>61756</v>
      </c>
      <c r="N17" s="3">
        <v>65288</v>
      </c>
      <c r="O17" s="3">
        <v>69850</v>
      </c>
      <c r="P17" s="3">
        <v>70708</v>
      </c>
      <c r="Q17" s="3">
        <v>73162</v>
      </c>
      <c r="R17" s="3">
        <v>76242</v>
      </c>
      <c r="S17" s="3">
        <v>78751</v>
      </c>
      <c r="T17" s="3">
        <v>79625</v>
      </c>
      <c r="U17" s="3">
        <v>81166</v>
      </c>
      <c r="V17" s="3">
        <v>83047</v>
      </c>
      <c r="W17" s="3">
        <v>85804</v>
      </c>
      <c r="X17" s="3">
        <v>88260</v>
      </c>
      <c r="Y17" s="3">
        <v>91371</v>
      </c>
      <c r="Z17" s="3">
        <v>103150</v>
      </c>
      <c r="AA17" s="3">
        <v>103006</v>
      </c>
      <c r="AB17" s="3">
        <v>108435</v>
      </c>
      <c r="AC17" s="3">
        <v>116832</v>
      </c>
      <c r="AD17" s="3">
        <v>124608</v>
      </c>
      <c r="AE17" s="3">
        <v>128659</v>
      </c>
      <c r="AF17" s="3">
        <v>132674</v>
      </c>
      <c r="AG17" s="3">
        <v>137689</v>
      </c>
      <c r="AH17" s="3">
        <v>142071</v>
      </c>
      <c r="AI17" s="3">
        <v>145999</v>
      </c>
      <c r="AJ17" s="3">
        <v>150988</v>
      </c>
      <c r="AK17" s="3">
        <v>155383</v>
      </c>
    </row>
    <row r="18" spans="1:37" x14ac:dyDescent="0.3">
      <c r="A18" s="21" t="s">
        <v>306</v>
      </c>
      <c r="B18" s="3">
        <v>770</v>
      </c>
      <c r="C18" s="3">
        <v>1088</v>
      </c>
      <c r="D18" s="3">
        <v>889</v>
      </c>
      <c r="E18" s="3">
        <v>706</v>
      </c>
      <c r="F18" s="3">
        <v>596</v>
      </c>
      <c r="G18" s="3">
        <v>1017</v>
      </c>
      <c r="H18" s="3">
        <v>737</v>
      </c>
      <c r="I18" s="3">
        <v>352</v>
      </c>
      <c r="J18" s="3">
        <v>452</v>
      </c>
      <c r="K18" s="3">
        <v>836</v>
      </c>
      <c r="L18" s="3">
        <v>837</v>
      </c>
      <c r="M18" s="3">
        <v>1274</v>
      </c>
      <c r="N18" s="3">
        <v>1425</v>
      </c>
      <c r="O18" s="3">
        <v>2250</v>
      </c>
      <c r="P18" s="3">
        <v>2176</v>
      </c>
      <c r="Q18" s="3">
        <v>2025</v>
      </c>
      <c r="R18" s="3">
        <v>1944</v>
      </c>
      <c r="S18" s="3">
        <v>1748</v>
      </c>
      <c r="T18" s="3">
        <v>1696</v>
      </c>
      <c r="U18" s="3">
        <v>1473</v>
      </c>
      <c r="V18" s="3">
        <v>1633</v>
      </c>
      <c r="W18" s="3">
        <v>1514</v>
      </c>
      <c r="X18" s="3">
        <v>1510</v>
      </c>
      <c r="Y18" s="3">
        <v>1563</v>
      </c>
      <c r="Z18" s="3">
        <v>2276</v>
      </c>
      <c r="AA18" s="3">
        <v>1465</v>
      </c>
      <c r="AB18" s="3">
        <v>3096</v>
      </c>
      <c r="AC18" s="3">
        <v>2139</v>
      </c>
      <c r="AD18" s="3">
        <v>845</v>
      </c>
      <c r="AE18" s="3">
        <v>843</v>
      </c>
      <c r="AF18" s="3">
        <v>919</v>
      </c>
      <c r="AG18" s="3">
        <v>1057</v>
      </c>
      <c r="AH18" s="3">
        <v>1291</v>
      </c>
      <c r="AI18" s="3">
        <v>1625</v>
      </c>
      <c r="AJ18" s="3">
        <v>1765</v>
      </c>
      <c r="AK18" s="3">
        <v>2045</v>
      </c>
    </row>
    <row r="19" spans="1:37" x14ac:dyDescent="0.3">
      <c r="A19" s="21" t="s">
        <v>307</v>
      </c>
      <c r="B19" s="3">
        <v>1331</v>
      </c>
      <c r="C19" s="3">
        <v>1496</v>
      </c>
      <c r="D19" s="3">
        <v>1657</v>
      </c>
      <c r="E19" s="3">
        <v>1424</v>
      </c>
      <c r="F19" s="3">
        <v>1465</v>
      </c>
      <c r="G19" s="3">
        <v>1498</v>
      </c>
      <c r="H19" s="3">
        <v>1598</v>
      </c>
      <c r="I19" s="3">
        <v>1747</v>
      </c>
      <c r="J19" s="3">
        <v>1727</v>
      </c>
      <c r="K19" s="3">
        <v>1979</v>
      </c>
      <c r="L19" s="3">
        <v>1965</v>
      </c>
      <c r="M19" s="3">
        <v>2155</v>
      </c>
      <c r="N19" s="3">
        <v>2329</v>
      </c>
      <c r="O19" s="3">
        <v>2196</v>
      </c>
      <c r="P19" s="3">
        <v>3250</v>
      </c>
      <c r="Q19" s="3">
        <v>2722</v>
      </c>
      <c r="R19" s="3">
        <v>3171</v>
      </c>
      <c r="S19" s="3">
        <v>3310</v>
      </c>
      <c r="T19" s="3">
        <v>3199</v>
      </c>
      <c r="U19" s="3">
        <v>3112</v>
      </c>
      <c r="V19" s="3">
        <v>3218</v>
      </c>
      <c r="W19" s="3">
        <v>2928</v>
      </c>
      <c r="X19" s="3">
        <v>3158</v>
      </c>
      <c r="Y19" s="3">
        <v>3311</v>
      </c>
      <c r="Z19" s="3">
        <v>2774</v>
      </c>
      <c r="AA19" s="3">
        <v>2389</v>
      </c>
      <c r="AB19" s="3">
        <v>2790</v>
      </c>
      <c r="AC19" s="3">
        <v>2730</v>
      </c>
      <c r="AD19" s="3">
        <v>1533</v>
      </c>
      <c r="AE19" s="3">
        <v>1135</v>
      </c>
      <c r="AF19" s="3">
        <v>1404</v>
      </c>
      <c r="AG19" s="3">
        <v>1694</v>
      </c>
      <c r="AH19" s="3">
        <v>1876</v>
      </c>
      <c r="AI19" s="3">
        <v>2082</v>
      </c>
      <c r="AJ19" s="3">
        <v>2274</v>
      </c>
      <c r="AK19" s="3">
        <v>2453</v>
      </c>
    </row>
    <row r="20" spans="1:37" x14ac:dyDescent="0.3">
      <c r="A20" s="20" t="s">
        <v>262</v>
      </c>
      <c r="B20" s="3">
        <v>185962</v>
      </c>
      <c r="C20" s="3">
        <v>193351</v>
      </c>
      <c r="D20" s="3">
        <v>201564</v>
      </c>
      <c r="E20" s="3">
        <v>206676</v>
      </c>
      <c r="F20" s="3">
        <v>218425</v>
      </c>
      <c r="G20" s="3">
        <v>227081</v>
      </c>
      <c r="H20" s="3">
        <v>233563</v>
      </c>
      <c r="I20" s="3">
        <v>238136</v>
      </c>
      <c r="J20" s="3">
        <v>246451</v>
      </c>
      <c r="K20" s="3">
        <v>256299</v>
      </c>
      <c r="L20" s="3">
        <v>266487</v>
      </c>
      <c r="M20" s="3">
        <v>280148</v>
      </c>
      <c r="N20" s="3">
        <v>294264</v>
      </c>
      <c r="O20" s="3">
        <v>296060</v>
      </c>
      <c r="P20" s="3">
        <v>310280</v>
      </c>
      <c r="Q20" s="3">
        <v>321784</v>
      </c>
      <c r="R20" s="3">
        <v>333668</v>
      </c>
      <c r="S20" s="3">
        <v>342602</v>
      </c>
      <c r="T20" s="3">
        <v>347952</v>
      </c>
      <c r="U20" s="3">
        <v>354170</v>
      </c>
      <c r="V20" s="3">
        <v>359907</v>
      </c>
      <c r="W20" s="3">
        <v>372925</v>
      </c>
      <c r="X20" s="3">
        <v>385028</v>
      </c>
      <c r="Y20" s="3">
        <v>394750</v>
      </c>
      <c r="Z20" s="3">
        <v>378241</v>
      </c>
      <c r="AA20" s="3">
        <v>404661</v>
      </c>
      <c r="AB20" s="3">
        <v>458472</v>
      </c>
      <c r="AC20" s="3">
        <v>491950</v>
      </c>
      <c r="AD20" s="3">
        <v>512317</v>
      </c>
      <c r="AE20" s="3">
        <v>531604</v>
      </c>
      <c r="AF20" s="3">
        <v>554078</v>
      </c>
      <c r="AG20" s="3">
        <v>576323</v>
      </c>
      <c r="AH20" s="3">
        <v>594437</v>
      </c>
      <c r="AI20" s="3">
        <v>610038</v>
      </c>
      <c r="AJ20" s="3">
        <v>628110</v>
      </c>
      <c r="AK20" s="3">
        <v>646635</v>
      </c>
    </row>
    <row r="21" spans="1:37" x14ac:dyDescent="0.3">
      <c r="A21" s="21" t="s">
        <v>263</v>
      </c>
      <c r="B21" s="3">
        <v>28512</v>
      </c>
      <c r="C21" s="3">
        <v>30351</v>
      </c>
      <c r="D21" s="3">
        <v>31483</v>
      </c>
      <c r="E21" s="3">
        <v>32033</v>
      </c>
      <c r="F21" s="3">
        <v>34233</v>
      </c>
      <c r="G21" s="3">
        <v>35967</v>
      </c>
      <c r="H21" s="3">
        <v>37208</v>
      </c>
      <c r="I21" s="3">
        <v>37254</v>
      </c>
      <c r="J21" s="3">
        <v>38864</v>
      </c>
      <c r="K21" s="3">
        <v>40456</v>
      </c>
      <c r="L21" s="3">
        <v>40858</v>
      </c>
      <c r="M21" s="3">
        <v>42546</v>
      </c>
      <c r="N21" s="3">
        <v>45246</v>
      </c>
      <c r="O21" s="3">
        <v>43777</v>
      </c>
      <c r="P21" s="3">
        <v>46179</v>
      </c>
      <c r="Q21" s="3">
        <v>48822</v>
      </c>
      <c r="R21" s="3">
        <v>50616</v>
      </c>
      <c r="S21" s="3">
        <v>53189</v>
      </c>
      <c r="T21" s="3">
        <v>54192</v>
      </c>
      <c r="U21" s="3">
        <v>54050</v>
      </c>
      <c r="V21" s="3">
        <v>53641</v>
      </c>
      <c r="W21" s="3">
        <v>55522</v>
      </c>
      <c r="X21" s="3">
        <v>57000</v>
      </c>
      <c r="Y21" s="3">
        <v>56796</v>
      </c>
      <c r="Z21" s="3">
        <v>56783</v>
      </c>
      <c r="AA21" s="3">
        <v>59910</v>
      </c>
      <c r="AB21" s="3">
        <v>69114</v>
      </c>
      <c r="AC21" s="3">
        <v>72794</v>
      </c>
      <c r="AD21" s="3">
        <v>77033</v>
      </c>
      <c r="AE21" s="3">
        <v>79273</v>
      </c>
      <c r="AF21" s="3">
        <v>83113</v>
      </c>
      <c r="AG21" s="3">
        <v>86102</v>
      </c>
      <c r="AH21" s="3">
        <v>88305</v>
      </c>
      <c r="AI21" s="3">
        <v>88876</v>
      </c>
      <c r="AJ21" s="3">
        <v>91027</v>
      </c>
      <c r="AK21" s="3">
        <v>93987</v>
      </c>
    </row>
    <row r="22" spans="1:37" x14ac:dyDescent="0.3">
      <c r="A22" s="21" t="s">
        <v>308</v>
      </c>
      <c r="B22" s="3">
        <v>42851</v>
      </c>
      <c r="C22" s="3">
        <v>44979</v>
      </c>
      <c r="D22" s="3">
        <v>46983</v>
      </c>
      <c r="E22" s="3">
        <v>48467</v>
      </c>
      <c r="F22" s="3">
        <v>50076</v>
      </c>
      <c r="G22" s="3">
        <v>52588</v>
      </c>
      <c r="H22" s="3">
        <v>55529</v>
      </c>
      <c r="I22" s="3">
        <v>56927</v>
      </c>
      <c r="J22" s="3">
        <v>58460</v>
      </c>
      <c r="K22" s="3">
        <v>60240</v>
      </c>
      <c r="L22" s="3">
        <v>62897</v>
      </c>
      <c r="M22" s="3">
        <v>67010</v>
      </c>
      <c r="N22" s="3">
        <v>70599</v>
      </c>
      <c r="O22" s="3">
        <v>72184</v>
      </c>
      <c r="P22" s="3">
        <v>73872</v>
      </c>
      <c r="Q22" s="3">
        <v>76482</v>
      </c>
      <c r="R22" s="3">
        <v>79328</v>
      </c>
      <c r="S22" s="3">
        <v>80909</v>
      </c>
      <c r="T22" s="3">
        <v>81511</v>
      </c>
      <c r="U22" s="3">
        <v>82721</v>
      </c>
      <c r="V22" s="3">
        <v>82088</v>
      </c>
      <c r="W22" s="3">
        <v>84316</v>
      </c>
      <c r="X22" s="3">
        <v>86298</v>
      </c>
      <c r="Y22" s="3">
        <v>89128</v>
      </c>
      <c r="Z22" s="3">
        <v>88420</v>
      </c>
      <c r="AA22" s="3">
        <v>92146</v>
      </c>
      <c r="AB22" s="3">
        <v>99704</v>
      </c>
      <c r="AC22" s="3">
        <v>108000</v>
      </c>
      <c r="AD22" s="3">
        <v>112346</v>
      </c>
      <c r="AE22" s="3">
        <v>116379</v>
      </c>
      <c r="AF22" s="3">
        <v>120094</v>
      </c>
      <c r="AG22" s="3">
        <v>125325</v>
      </c>
      <c r="AH22" s="3">
        <v>129303</v>
      </c>
      <c r="AI22" s="3">
        <v>132754</v>
      </c>
      <c r="AJ22" s="3">
        <v>136762</v>
      </c>
      <c r="AK22" s="3">
        <v>140626</v>
      </c>
    </row>
    <row r="23" spans="1:37" x14ac:dyDescent="0.3">
      <c r="A23" s="9" t="s">
        <v>292</v>
      </c>
      <c r="B23" s="3">
        <v>36246</v>
      </c>
      <c r="C23" s="3">
        <v>38094</v>
      </c>
      <c r="D23" s="3">
        <v>39817</v>
      </c>
      <c r="E23" s="3">
        <v>40950</v>
      </c>
      <c r="F23" s="3">
        <v>42221</v>
      </c>
      <c r="G23" s="3">
        <v>44178</v>
      </c>
      <c r="H23" s="3">
        <v>46590</v>
      </c>
      <c r="I23" s="3">
        <v>47845</v>
      </c>
      <c r="J23" s="3">
        <v>49253</v>
      </c>
      <c r="K23" s="3">
        <v>50802</v>
      </c>
      <c r="L23" s="3">
        <v>52744</v>
      </c>
      <c r="M23" s="3">
        <v>55873</v>
      </c>
      <c r="N23" s="3">
        <v>59111</v>
      </c>
      <c r="O23" s="3">
        <v>60195</v>
      </c>
      <c r="P23" s="3">
        <v>61750</v>
      </c>
      <c r="Q23" s="3">
        <v>64073</v>
      </c>
      <c r="R23" s="3">
        <v>66586</v>
      </c>
      <c r="S23" s="3">
        <v>67781</v>
      </c>
      <c r="T23" s="3">
        <v>68274</v>
      </c>
      <c r="U23" s="3">
        <v>70006</v>
      </c>
      <c r="V23" s="3">
        <v>69485</v>
      </c>
      <c r="W23" s="3">
        <v>71178</v>
      </c>
      <c r="X23" s="3">
        <v>73002</v>
      </c>
      <c r="Y23" s="3">
        <v>75242</v>
      </c>
      <c r="Z23" s="3">
        <v>74268</v>
      </c>
      <c r="AA23" s="3">
        <v>77708</v>
      </c>
      <c r="AB23" s="3">
        <v>84306</v>
      </c>
      <c r="AC23" s="3">
        <v>91119</v>
      </c>
      <c r="AD23" s="3">
        <v>94613</v>
      </c>
      <c r="AE23" s="3">
        <v>98402</v>
      </c>
      <c r="AF23" s="3">
        <v>101300</v>
      </c>
      <c r="AG23" s="3">
        <v>105951</v>
      </c>
      <c r="AH23" s="3">
        <v>109628</v>
      </c>
      <c r="AI23" s="3">
        <v>112919</v>
      </c>
      <c r="AJ23" s="3">
        <v>116596</v>
      </c>
      <c r="AK23" s="3">
        <v>120173</v>
      </c>
    </row>
    <row r="24" spans="1:37" x14ac:dyDescent="0.3">
      <c r="A24" s="9" t="s">
        <v>293</v>
      </c>
      <c r="B24" s="3">
        <v>6605</v>
      </c>
      <c r="C24" s="3">
        <v>6886</v>
      </c>
      <c r="D24" s="3">
        <v>7167</v>
      </c>
      <c r="E24" s="3">
        <v>7516</v>
      </c>
      <c r="F24" s="3">
        <v>7856</v>
      </c>
      <c r="G24" s="3">
        <v>8410</v>
      </c>
      <c r="H24" s="3">
        <v>8939</v>
      </c>
      <c r="I24" s="3">
        <v>9082</v>
      </c>
      <c r="J24" s="3">
        <v>9207</v>
      </c>
      <c r="K24" s="3">
        <v>9437</v>
      </c>
      <c r="L24" s="3">
        <v>10153</v>
      </c>
      <c r="M24" s="3">
        <v>11137</v>
      </c>
      <c r="N24" s="3">
        <v>11488</v>
      </c>
      <c r="O24" s="3">
        <v>11990</v>
      </c>
      <c r="P24" s="3">
        <v>12122</v>
      </c>
      <c r="Q24" s="3">
        <v>12409</v>
      </c>
      <c r="R24" s="3">
        <v>12741</v>
      </c>
      <c r="S24" s="3">
        <v>13128</v>
      </c>
      <c r="T24" s="3">
        <v>13237</v>
      </c>
      <c r="U24" s="3">
        <v>12716</v>
      </c>
      <c r="V24" s="3">
        <v>12602</v>
      </c>
      <c r="W24" s="3">
        <v>13138</v>
      </c>
      <c r="X24" s="3">
        <v>13295</v>
      </c>
      <c r="Y24" s="3">
        <v>13886</v>
      </c>
      <c r="Z24" s="3">
        <v>14152</v>
      </c>
      <c r="AA24" s="3">
        <v>14438</v>
      </c>
      <c r="AB24" s="3">
        <v>15398</v>
      </c>
      <c r="AC24" s="3">
        <v>16881</v>
      </c>
      <c r="AD24" s="3">
        <v>17732</v>
      </c>
      <c r="AE24" s="3">
        <v>17977</v>
      </c>
      <c r="AF24" s="3">
        <v>18794</v>
      </c>
      <c r="AG24" s="3">
        <v>19374</v>
      </c>
      <c r="AH24" s="3">
        <v>19675</v>
      </c>
      <c r="AI24" s="3">
        <v>19835</v>
      </c>
      <c r="AJ24" s="3">
        <v>20166</v>
      </c>
      <c r="AK24" s="3">
        <v>20453</v>
      </c>
    </row>
    <row r="25" spans="1:37" x14ac:dyDescent="0.3">
      <c r="A25" s="21" t="s">
        <v>309</v>
      </c>
      <c r="B25" s="3">
        <v>114598</v>
      </c>
      <c r="C25" s="3">
        <v>118021</v>
      </c>
      <c r="D25" s="3">
        <v>123097</v>
      </c>
      <c r="E25" s="3">
        <v>126176</v>
      </c>
      <c r="F25" s="3">
        <v>134116</v>
      </c>
      <c r="G25" s="3">
        <v>138526</v>
      </c>
      <c r="H25" s="3">
        <v>140826</v>
      </c>
      <c r="I25" s="3">
        <v>143956</v>
      </c>
      <c r="J25" s="3">
        <v>149127</v>
      </c>
      <c r="K25" s="3">
        <v>155603</v>
      </c>
      <c r="L25" s="3">
        <v>162732</v>
      </c>
      <c r="M25" s="3">
        <v>170592</v>
      </c>
      <c r="N25" s="3">
        <v>178419</v>
      </c>
      <c r="O25" s="3">
        <v>180100</v>
      </c>
      <c r="P25" s="3">
        <v>190228</v>
      </c>
      <c r="Q25" s="3">
        <v>196479</v>
      </c>
      <c r="R25" s="3">
        <v>203724</v>
      </c>
      <c r="S25" s="3">
        <v>208505</v>
      </c>
      <c r="T25" s="3">
        <v>212249</v>
      </c>
      <c r="U25" s="3">
        <v>217399</v>
      </c>
      <c r="V25" s="3">
        <v>224178</v>
      </c>
      <c r="W25" s="3">
        <v>233087</v>
      </c>
      <c r="X25" s="3">
        <v>241731</v>
      </c>
      <c r="Y25" s="3">
        <v>248826</v>
      </c>
      <c r="Z25" s="3">
        <v>233039</v>
      </c>
      <c r="AA25" s="3">
        <v>252605</v>
      </c>
      <c r="AB25" s="3">
        <v>289653</v>
      </c>
      <c r="AC25" s="3">
        <v>311157</v>
      </c>
      <c r="AD25" s="3">
        <v>322939</v>
      </c>
      <c r="AE25" s="3">
        <v>335951</v>
      </c>
      <c r="AF25" s="3">
        <v>350871</v>
      </c>
      <c r="AG25" s="3">
        <v>364896</v>
      </c>
      <c r="AH25" s="3">
        <v>376829</v>
      </c>
      <c r="AI25" s="3">
        <v>388407</v>
      </c>
      <c r="AJ25" s="3">
        <v>400321</v>
      </c>
      <c r="AK25" s="3">
        <v>412022</v>
      </c>
    </row>
    <row r="26" spans="1:37" x14ac:dyDescent="0.3">
      <c r="A26" s="20" t="s">
        <v>268</v>
      </c>
      <c r="B26" s="3">
        <v>18565</v>
      </c>
      <c r="C26" s="3">
        <v>18017</v>
      </c>
      <c r="D26" s="3">
        <v>17484</v>
      </c>
      <c r="E26" s="3">
        <v>18328</v>
      </c>
      <c r="F26" s="3">
        <v>17342</v>
      </c>
      <c r="G26" s="3">
        <v>20467</v>
      </c>
      <c r="H26" s="3">
        <v>20031</v>
      </c>
      <c r="I26" s="3">
        <v>19203</v>
      </c>
      <c r="J26" s="3">
        <v>17461</v>
      </c>
      <c r="K26" s="3">
        <v>17645</v>
      </c>
      <c r="L26" s="3">
        <v>19818</v>
      </c>
      <c r="M26" s="3">
        <v>21599</v>
      </c>
      <c r="N26" s="3">
        <v>24068</v>
      </c>
      <c r="O26" s="3">
        <v>25565</v>
      </c>
      <c r="P26" s="3">
        <v>18894</v>
      </c>
      <c r="Q26" s="3">
        <v>18554</v>
      </c>
      <c r="R26" s="3">
        <v>17451</v>
      </c>
      <c r="S26" s="3">
        <v>14856</v>
      </c>
      <c r="T26" s="3">
        <v>13903</v>
      </c>
      <c r="U26" s="3">
        <v>11332</v>
      </c>
      <c r="V26" s="3">
        <v>11522</v>
      </c>
      <c r="W26" s="3">
        <v>10757</v>
      </c>
      <c r="X26" s="3">
        <v>10628</v>
      </c>
      <c r="Y26" s="3">
        <v>14668</v>
      </c>
      <c r="Z26" s="3">
        <v>34676</v>
      </c>
      <c r="AA26" s="3">
        <v>28744</v>
      </c>
      <c r="AB26" s="3">
        <v>19712</v>
      </c>
      <c r="AC26" s="3">
        <v>26335</v>
      </c>
      <c r="AD26" s="3">
        <v>22794</v>
      </c>
      <c r="AE26" s="3">
        <v>22513</v>
      </c>
      <c r="AF26" s="3">
        <v>16932</v>
      </c>
      <c r="AG26" s="3">
        <v>17561</v>
      </c>
      <c r="AH26" s="3">
        <v>18288</v>
      </c>
      <c r="AI26" s="3">
        <v>20665</v>
      </c>
      <c r="AJ26" s="3">
        <v>22201</v>
      </c>
      <c r="AK26" s="3">
        <v>22253</v>
      </c>
    </row>
    <row r="27" spans="1:37" x14ac:dyDescent="0.3">
      <c r="A27" s="11" t="s">
        <v>249</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row>
    <row r="28" spans="1:37" x14ac:dyDescent="0.3">
      <c r="A28" s="20" t="s">
        <v>254</v>
      </c>
      <c r="B28" s="3">
        <v>1216</v>
      </c>
      <c r="C28" s="3">
        <v>1006</v>
      </c>
      <c r="D28" s="3">
        <v>1022</v>
      </c>
      <c r="E28" s="3">
        <v>1180</v>
      </c>
      <c r="F28" s="3">
        <v>1136</v>
      </c>
      <c r="G28" s="3">
        <v>603</v>
      </c>
      <c r="H28" s="3">
        <v>948</v>
      </c>
      <c r="I28" s="3">
        <v>676</v>
      </c>
      <c r="J28" s="3">
        <v>1171</v>
      </c>
      <c r="K28" s="3">
        <v>890</v>
      </c>
      <c r="L28" s="3">
        <v>752</v>
      </c>
      <c r="M28" s="3">
        <v>661</v>
      </c>
      <c r="N28" s="3">
        <v>861</v>
      </c>
      <c r="O28" s="3">
        <v>1162</v>
      </c>
      <c r="P28" s="3">
        <v>1180</v>
      </c>
      <c r="Q28" s="3">
        <v>2024</v>
      </c>
      <c r="R28" s="3">
        <v>2016</v>
      </c>
      <c r="S28" s="3">
        <v>1723</v>
      </c>
      <c r="T28" s="3">
        <v>1012</v>
      </c>
      <c r="U28" s="3">
        <v>729</v>
      </c>
      <c r="V28" s="3">
        <v>591</v>
      </c>
      <c r="W28" s="3">
        <v>598</v>
      </c>
      <c r="X28" s="3">
        <v>654</v>
      </c>
      <c r="Y28" s="3">
        <v>845</v>
      </c>
      <c r="Z28" s="3">
        <v>1245</v>
      </c>
      <c r="AA28" s="3">
        <v>2811</v>
      </c>
      <c r="AB28" s="3">
        <v>1167</v>
      </c>
      <c r="AC28" s="3">
        <v>1371</v>
      </c>
      <c r="AD28" s="3">
        <v>1426</v>
      </c>
      <c r="AE28" s="3">
        <v>1518</v>
      </c>
      <c r="AF28" s="3">
        <v>1244</v>
      </c>
      <c r="AG28" s="3">
        <v>1011</v>
      </c>
      <c r="AH28" s="3">
        <v>1014</v>
      </c>
      <c r="AI28" s="3">
        <v>1070</v>
      </c>
      <c r="AJ28" s="3">
        <v>1134</v>
      </c>
      <c r="AK28" s="3">
        <v>1126</v>
      </c>
    </row>
    <row r="29" spans="1:37" x14ac:dyDescent="0.3">
      <c r="A29" s="20" t="s">
        <v>262</v>
      </c>
      <c r="B29" s="3">
        <v>5892</v>
      </c>
      <c r="C29" s="3">
        <v>6861</v>
      </c>
      <c r="D29" s="3">
        <v>6144</v>
      </c>
      <c r="E29" s="3">
        <v>6491</v>
      </c>
      <c r="F29" s="3">
        <v>6232</v>
      </c>
      <c r="G29" s="3">
        <v>5168</v>
      </c>
      <c r="H29" s="3">
        <v>4644</v>
      </c>
      <c r="I29" s="3">
        <v>4799</v>
      </c>
      <c r="J29" s="3">
        <v>6244</v>
      </c>
      <c r="K29" s="3">
        <v>8175</v>
      </c>
      <c r="L29" s="3">
        <v>9332</v>
      </c>
      <c r="M29" s="3">
        <v>10156</v>
      </c>
      <c r="N29" s="3">
        <v>10220</v>
      </c>
      <c r="O29" s="3">
        <v>9397</v>
      </c>
      <c r="P29" s="3">
        <v>10041</v>
      </c>
      <c r="Q29" s="3">
        <v>9464</v>
      </c>
      <c r="R29" s="3">
        <v>10620</v>
      </c>
      <c r="S29" s="3">
        <v>10021</v>
      </c>
      <c r="T29" s="3">
        <v>11000</v>
      </c>
      <c r="U29" s="3">
        <v>10208</v>
      </c>
      <c r="V29" s="3">
        <v>10345</v>
      </c>
      <c r="W29" s="3">
        <v>10622</v>
      </c>
      <c r="X29" s="3">
        <v>11131</v>
      </c>
      <c r="Y29" s="3">
        <v>11927</v>
      </c>
      <c r="Z29" s="3">
        <v>10031</v>
      </c>
      <c r="AA29" s="3">
        <v>11799</v>
      </c>
      <c r="AB29" s="3">
        <v>12767</v>
      </c>
      <c r="AC29" s="3">
        <v>12433</v>
      </c>
      <c r="AD29" s="3">
        <v>10399</v>
      </c>
      <c r="AE29" s="3">
        <v>7545</v>
      </c>
      <c r="AF29" s="3">
        <v>7768</v>
      </c>
      <c r="AG29" s="3">
        <v>7909</v>
      </c>
      <c r="AH29" s="3">
        <v>7922</v>
      </c>
      <c r="AI29" s="3">
        <v>8409</v>
      </c>
      <c r="AJ29" s="3">
        <v>8959</v>
      </c>
      <c r="AK29" s="3">
        <v>9462</v>
      </c>
    </row>
    <row r="30" spans="1:37" x14ac:dyDescent="0.3">
      <c r="A30" s="21" t="s">
        <v>153</v>
      </c>
      <c r="B30" s="3">
        <v>13125</v>
      </c>
      <c r="C30" s="3">
        <v>14500</v>
      </c>
      <c r="D30" s="3">
        <v>13856</v>
      </c>
      <c r="E30" s="3">
        <v>14622</v>
      </c>
      <c r="F30" s="3">
        <v>14747</v>
      </c>
      <c r="G30" s="3">
        <v>14170</v>
      </c>
      <c r="H30" s="3">
        <v>13961</v>
      </c>
      <c r="I30" s="3">
        <v>14505</v>
      </c>
      <c r="J30" s="3">
        <v>15956</v>
      </c>
      <c r="K30" s="3">
        <v>18608</v>
      </c>
      <c r="L30" s="3">
        <v>20508</v>
      </c>
      <c r="M30" s="3">
        <v>22462</v>
      </c>
      <c r="N30" s="3">
        <v>23450</v>
      </c>
      <c r="O30" s="3">
        <v>21396</v>
      </c>
      <c r="P30" s="3">
        <v>22392</v>
      </c>
      <c r="Q30" s="3">
        <v>22687</v>
      </c>
      <c r="R30" s="3">
        <v>23687</v>
      </c>
      <c r="S30" s="3">
        <v>23324</v>
      </c>
      <c r="T30" s="3">
        <v>24649</v>
      </c>
      <c r="U30" s="3">
        <v>24171</v>
      </c>
      <c r="V30" s="3">
        <v>25083</v>
      </c>
      <c r="W30" s="3">
        <v>25936</v>
      </c>
      <c r="X30" s="3">
        <v>26737</v>
      </c>
      <c r="Y30" s="3">
        <v>28420</v>
      </c>
      <c r="Z30" s="3">
        <v>27480</v>
      </c>
      <c r="AA30" s="3">
        <v>29961</v>
      </c>
      <c r="AB30" s="3">
        <v>32172</v>
      </c>
      <c r="AC30" s="3">
        <v>33296</v>
      </c>
      <c r="AD30" s="3">
        <v>31888</v>
      </c>
      <c r="AE30" s="3">
        <v>29818</v>
      </c>
      <c r="AF30" s="3">
        <v>30452</v>
      </c>
      <c r="AG30" s="3">
        <v>31945</v>
      </c>
      <c r="AH30" s="3">
        <v>33563</v>
      </c>
      <c r="AI30" s="3">
        <v>35086</v>
      </c>
      <c r="AJ30" s="3">
        <v>36714</v>
      </c>
      <c r="AK30" s="3">
        <v>38303</v>
      </c>
    </row>
    <row r="31" spans="1:37" x14ac:dyDescent="0.3">
      <c r="A31" s="21" t="s">
        <v>269</v>
      </c>
      <c r="B31" s="3">
        <v>8158</v>
      </c>
      <c r="C31" s="3">
        <v>8465</v>
      </c>
      <c r="D31" s="3">
        <v>8800</v>
      </c>
      <c r="E31" s="3">
        <v>9201</v>
      </c>
      <c r="F31" s="3">
        <v>9739</v>
      </c>
      <c r="G31" s="3">
        <v>10207</v>
      </c>
      <c r="H31" s="3">
        <v>10554</v>
      </c>
      <c r="I31" s="3">
        <v>11084</v>
      </c>
      <c r="J31" s="3">
        <v>11805</v>
      </c>
      <c r="K31" s="3">
        <v>12474</v>
      </c>
      <c r="L31" s="3">
        <v>13289</v>
      </c>
      <c r="M31" s="3">
        <v>14074</v>
      </c>
      <c r="N31" s="3">
        <v>15265</v>
      </c>
      <c r="O31" s="3">
        <v>14070</v>
      </c>
      <c r="P31" s="3">
        <v>14613</v>
      </c>
      <c r="Q31" s="3">
        <v>15424</v>
      </c>
      <c r="R31" s="3">
        <v>15934</v>
      </c>
      <c r="S31" s="3">
        <v>16566</v>
      </c>
      <c r="T31" s="3">
        <v>16784</v>
      </c>
      <c r="U31" s="3">
        <v>17157</v>
      </c>
      <c r="V31" s="3">
        <v>17529</v>
      </c>
      <c r="W31" s="3">
        <v>18378</v>
      </c>
      <c r="X31" s="3">
        <v>18866</v>
      </c>
      <c r="Y31" s="3">
        <v>19641</v>
      </c>
      <c r="Z31" s="3">
        <v>20241</v>
      </c>
      <c r="AA31" s="3">
        <v>21669</v>
      </c>
      <c r="AB31" s="3">
        <v>23206</v>
      </c>
      <c r="AC31" s="3">
        <v>24402</v>
      </c>
      <c r="AD31" s="3">
        <v>25114</v>
      </c>
      <c r="AE31" s="3">
        <v>25754</v>
      </c>
      <c r="AF31" s="3">
        <v>26838</v>
      </c>
      <c r="AG31" s="3">
        <v>27943</v>
      </c>
      <c r="AH31" s="3">
        <v>29049</v>
      </c>
      <c r="AI31" s="3">
        <v>30180</v>
      </c>
      <c r="AJ31" s="3">
        <v>31403</v>
      </c>
      <c r="AK31" s="3">
        <v>32630</v>
      </c>
    </row>
    <row r="32" spans="1:37" x14ac:dyDescent="0.3">
      <c r="A32" s="21" t="s">
        <v>310</v>
      </c>
      <c r="B32" s="3">
        <v>830</v>
      </c>
      <c r="C32" s="3">
        <v>816</v>
      </c>
      <c r="D32" s="3">
        <v>956</v>
      </c>
      <c r="E32" s="3">
        <v>1022</v>
      </c>
      <c r="F32" s="3">
        <v>1175</v>
      </c>
      <c r="G32" s="3">
        <v>1206</v>
      </c>
      <c r="H32" s="3">
        <v>1256</v>
      </c>
      <c r="I32" s="3">
        <v>1390</v>
      </c>
      <c r="J32" s="3">
        <v>2177</v>
      </c>
      <c r="K32" s="3">
        <v>1873</v>
      </c>
      <c r="L32" s="3">
        <v>2153</v>
      </c>
      <c r="M32" s="3">
        <v>2216</v>
      </c>
      <c r="N32" s="3">
        <v>2370</v>
      </c>
      <c r="O32" s="3">
        <v>2235</v>
      </c>
      <c r="P32" s="3">
        <v>2596</v>
      </c>
      <c r="Q32" s="3">
        <v>2772</v>
      </c>
      <c r="R32" s="3">
        <v>3318</v>
      </c>
      <c r="S32" s="3">
        <v>3973</v>
      </c>
      <c r="T32" s="3">
        <v>3898</v>
      </c>
      <c r="U32" s="3">
        <v>3639</v>
      </c>
      <c r="V32" s="3">
        <v>3346</v>
      </c>
      <c r="W32" s="3">
        <v>3616</v>
      </c>
      <c r="X32" s="3">
        <v>3772</v>
      </c>
      <c r="Y32" s="3">
        <v>3391</v>
      </c>
      <c r="Z32" s="3">
        <v>3288</v>
      </c>
      <c r="AA32" s="3">
        <v>4079</v>
      </c>
      <c r="AB32" s="3">
        <v>3902</v>
      </c>
      <c r="AC32" s="3">
        <v>3959</v>
      </c>
      <c r="AD32" s="3">
        <v>4258</v>
      </c>
      <c r="AE32" s="3">
        <v>4318</v>
      </c>
      <c r="AF32" s="3">
        <v>5019</v>
      </c>
      <c r="AG32" s="3">
        <v>4763</v>
      </c>
      <c r="AH32" s="3">
        <v>4255</v>
      </c>
      <c r="AI32" s="3">
        <v>4342</v>
      </c>
      <c r="AJ32" s="3">
        <v>4478</v>
      </c>
      <c r="AK32" s="3">
        <v>4610</v>
      </c>
    </row>
    <row r="33" spans="1:37" x14ac:dyDescent="0.3">
      <c r="A33" s="21" t="s">
        <v>311</v>
      </c>
      <c r="B33" s="3">
        <v>-8</v>
      </c>
      <c r="C33" s="3">
        <v>-4</v>
      </c>
      <c r="D33" s="3">
        <v>91</v>
      </c>
      <c r="E33" s="3">
        <v>-6</v>
      </c>
      <c r="F33" s="3">
        <v>7</v>
      </c>
      <c r="G33" s="3">
        <v>-28</v>
      </c>
      <c r="H33" s="3">
        <v>-42</v>
      </c>
      <c r="I33" s="3">
        <v>-36</v>
      </c>
      <c r="J33" s="3">
        <v>-48</v>
      </c>
      <c r="K33" s="3">
        <v>-28</v>
      </c>
      <c r="L33" s="3">
        <v>46</v>
      </c>
      <c r="M33" s="3">
        <v>29</v>
      </c>
      <c r="N33" s="3">
        <v>56</v>
      </c>
      <c r="O33" s="3">
        <v>92</v>
      </c>
      <c r="P33" s="3">
        <v>98</v>
      </c>
      <c r="Q33" s="3">
        <v>112</v>
      </c>
      <c r="R33" s="3">
        <v>64</v>
      </c>
      <c r="S33" s="3">
        <v>138</v>
      </c>
      <c r="T33" s="3">
        <v>39</v>
      </c>
      <c r="U33" s="3">
        <v>14</v>
      </c>
      <c r="V33" s="3">
        <v>-19</v>
      </c>
      <c r="W33" s="3">
        <v>19</v>
      </c>
      <c r="X33" s="3">
        <v>13</v>
      </c>
      <c r="Y33" s="3">
        <v>93</v>
      </c>
      <c r="Z33" s="3">
        <v>147</v>
      </c>
      <c r="AA33" s="3">
        <v>144</v>
      </c>
      <c r="AB33" s="3">
        <v>375</v>
      </c>
      <c r="AC33" s="3">
        <v>237</v>
      </c>
      <c r="AD33" s="3">
        <v>145</v>
      </c>
      <c r="AE33" s="3">
        <v>151</v>
      </c>
      <c r="AF33" s="3">
        <v>156</v>
      </c>
      <c r="AG33" s="3">
        <v>162</v>
      </c>
      <c r="AH33" s="3">
        <v>167</v>
      </c>
      <c r="AI33" s="3">
        <v>171</v>
      </c>
      <c r="AJ33" s="3">
        <v>175</v>
      </c>
      <c r="AK33" s="3">
        <v>179</v>
      </c>
    </row>
    <row r="34" spans="1:37" x14ac:dyDescent="0.3">
      <c r="A34" s="21" t="s">
        <v>312</v>
      </c>
      <c r="B34" s="3">
        <v>-180</v>
      </c>
      <c r="C34" s="3">
        <v>-199</v>
      </c>
      <c r="D34" s="3">
        <v>-193</v>
      </c>
      <c r="E34" s="3">
        <v>-210</v>
      </c>
      <c r="F34" s="3">
        <v>-199</v>
      </c>
      <c r="G34" s="3">
        <v>-279</v>
      </c>
      <c r="H34" s="3">
        <v>-236</v>
      </c>
      <c r="I34" s="3">
        <v>-209</v>
      </c>
      <c r="J34" s="3">
        <v>-289</v>
      </c>
      <c r="K34" s="3">
        <v>-98</v>
      </c>
      <c r="L34" s="3">
        <v>-341</v>
      </c>
      <c r="M34" s="3">
        <v>-514</v>
      </c>
      <c r="N34" s="3">
        <v>-425</v>
      </c>
      <c r="O34" s="3">
        <v>-297</v>
      </c>
      <c r="P34" s="3">
        <v>-477</v>
      </c>
      <c r="Q34" s="3">
        <v>-769</v>
      </c>
      <c r="R34" s="3">
        <v>-576</v>
      </c>
      <c r="S34" s="3">
        <v>-897</v>
      </c>
      <c r="T34" s="3">
        <v>-861</v>
      </c>
      <c r="U34" s="3">
        <v>-499</v>
      </c>
      <c r="V34" s="3">
        <v>-591</v>
      </c>
      <c r="W34" s="3">
        <v>-636</v>
      </c>
      <c r="X34" s="3">
        <v>-584</v>
      </c>
      <c r="Y34" s="3">
        <v>-402</v>
      </c>
      <c r="Z34" s="3">
        <v>-704</v>
      </c>
      <c r="AA34" s="3">
        <v>-780</v>
      </c>
      <c r="AB34" s="3">
        <v>-754</v>
      </c>
      <c r="AC34" s="3">
        <v>-801</v>
      </c>
      <c r="AD34" s="3">
        <v>-877</v>
      </c>
      <c r="AE34" s="3">
        <v>-1186</v>
      </c>
      <c r="AF34" s="3">
        <v>-1186</v>
      </c>
      <c r="AG34" s="3">
        <v>-1186</v>
      </c>
      <c r="AH34" s="3">
        <v>-1186</v>
      </c>
      <c r="AI34" s="3">
        <v>-1186</v>
      </c>
      <c r="AJ34" s="3">
        <v>-1186</v>
      </c>
      <c r="AK34" s="3">
        <v>-1186</v>
      </c>
    </row>
    <row r="35" spans="1:37" x14ac:dyDescent="0.3">
      <c r="A35" s="21" t="s">
        <v>313</v>
      </c>
      <c r="B35" s="3">
        <v>282</v>
      </c>
      <c r="C35" s="3">
        <v>212</v>
      </c>
      <c r="D35" s="3">
        <v>233</v>
      </c>
      <c r="E35" s="3">
        <v>264</v>
      </c>
      <c r="F35" s="3">
        <v>241</v>
      </c>
      <c r="G35" s="3">
        <v>306</v>
      </c>
      <c r="H35" s="3">
        <v>258</v>
      </c>
      <c r="I35" s="3">
        <v>233</v>
      </c>
      <c r="J35" s="3">
        <v>253</v>
      </c>
      <c r="K35" s="3">
        <v>294</v>
      </c>
      <c r="L35" s="3">
        <v>255</v>
      </c>
      <c r="M35" s="3">
        <v>37</v>
      </c>
      <c r="N35" s="3">
        <v>34</v>
      </c>
      <c r="O35" s="3">
        <v>42</v>
      </c>
      <c r="P35" s="3">
        <v>44</v>
      </c>
      <c r="Q35" s="3">
        <v>86</v>
      </c>
      <c r="R35" s="3">
        <v>62</v>
      </c>
      <c r="S35" s="3">
        <v>48</v>
      </c>
      <c r="T35" s="3">
        <v>59</v>
      </c>
      <c r="U35" s="3">
        <v>41</v>
      </c>
      <c r="V35" s="3">
        <v>54</v>
      </c>
      <c r="W35" s="3">
        <v>65</v>
      </c>
      <c r="X35" s="3">
        <v>59</v>
      </c>
      <c r="Y35" s="3">
        <v>66</v>
      </c>
      <c r="Z35" s="3">
        <v>61</v>
      </c>
      <c r="AA35" s="3">
        <v>64</v>
      </c>
      <c r="AB35" s="3">
        <v>278</v>
      </c>
      <c r="AC35" s="3">
        <v>144</v>
      </c>
      <c r="AD35" s="3">
        <v>99</v>
      </c>
      <c r="AE35" s="3">
        <v>198</v>
      </c>
      <c r="AF35" s="3">
        <v>165</v>
      </c>
      <c r="AG35" s="3">
        <v>168</v>
      </c>
      <c r="AH35" s="3">
        <v>172</v>
      </c>
      <c r="AI35" s="3">
        <v>177</v>
      </c>
      <c r="AJ35" s="3">
        <v>182</v>
      </c>
      <c r="AK35" s="3">
        <v>187</v>
      </c>
    </row>
    <row r="36" spans="1:37" ht="15" thickBot="1" x14ac:dyDescent="0.35">
      <c r="A36" s="11" t="s">
        <v>314</v>
      </c>
      <c r="B36" s="3">
        <v>13889</v>
      </c>
      <c r="C36" s="3">
        <v>12163</v>
      </c>
      <c r="D36" s="3">
        <v>12363</v>
      </c>
      <c r="E36" s="3">
        <v>13016</v>
      </c>
      <c r="F36" s="3">
        <v>12246</v>
      </c>
      <c r="G36" s="3">
        <v>15902</v>
      </c>
      <c r="H36" s="3">
        <v>16335</v>
      </c>
      <c r="I36" s="3">
        <v>15081</v>
      </c>
      <c r="J36" s="3">
        <v>12388</v>
      </c>
      <c r="K36" s="3">
        <v>10360</v>
      </c>
      <c r="L36" s="3">
        <v>11238</v>
      </c>
      <c r="M36" s="3">
        <v>12103</v>
      </c>
      <c r="N36" s="3">
        <v>14708</v>
      </c>
      <c r="O36" s="3">
        <v>17330</v>
      </c>
      <c r="P36" s="3">
        <v>10032</v>
      </c>
      <c r="Q36" s="3">
        <v>11115</v>
      </c>
      <c r="R36" s="3">
        <v>8847</v>
      </c>
      <c r="S36" s="3">
        <v>6558</v>
      </c>
      <c r="T36" s="3">
        <v>3915</v>
      </c>
      <c r="U36" s="3">
        <v>1852</v>
      </c>
      <c r="V36" s="3">
        <v>1769</v>
      </c>
      <c r="W36" s="3">
        <v>732</v>
      </c>
      <c r="X36" s="3">
        <v>151</v>
      </c>
      <c r="Y36" s="3">
        <v>3586</v>
      </c>
      <c r="Z36" s="3">
        <v>25891</v>
      </c>
      <c r="AA36" s="3">
        <v>19756</v>
      </c>
      <c r="AB36" s="3">
        <v>8112</v>
      </c>
      <c r="AC36" s="3">
        <v>15273</v>
      </c>
      <c r="AD36" s="3">
        <v>13821</v>
      </c>
      <c r="AE36" s="3">
        <v>16486</v>
      </c>
      <c r="AF36" s="3">
        <v>10408</v>
      </c>
      <c r="AG36" s="3">
        <v>10664</v>
      </c>
      <c r="AH36" s="3">
        <v>11380</v>
      </c>
      <c r="AI36" s="3">
        <v>13326</v>
      </c>
      <c r="AJ36" s="3">
        <v>14375</v>
      </c>
      <c r="AK36" s="3">
        <v>13917</v>
      </c>
    </row>
    <row r="37" spans="1:37" ht="15" customHeight="1" x14ac:dyDescent="0.3">
      <c r="A37" s="30" t="s">
        <v>315</v>
      </c>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sheetData>
  <mergeCells count="3">
    <mergeCell ref="A1:AK1"/>
    <mergeCell ref="A2:AK2"/>
    <mergeCell ref="A37:AK3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3343-3C16-4264-B647-2647B57DB9EA}">
  <dimension ref="A1:AK25"/>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2" width="5.33203125" style="1" bestFit="1" customWidth="1"/>
    <col min="3" max="4" width="5" style="1" bestFit="1" customWidth="1"/>
    <col min="5" max="5" width="5.33203125" style="1" bestFit="1" customWidth="1"/>
    <col min="6" max="7" width="5" style="1" bestFit="1" customWidth="1"/>
    <col min="8" max="10" width="5.33203125" style="1" bestFit="1" customWidth="1"/>
    <col min="11" max="14" width="5" style="1" bestFit="1" customWidth="1"/>
    <col min="15" max="23" width="5.33203125" style="1" bestFit="1" customWidth="1"/>
    <col min="24" max="24" width="5" style="1" bestFit="1" customWidth="1"/>
    <col min="25" max="26" width="5.33203125" style="1" bestFit="1" customWidth="1"/>
    <col min="27" max="27" width="6.33203125" style="1" bestFit="1" customWidth="1"/>
    <col min="28" max="28" width="7.33203125" style="1" bestFit="1" customWidth="1"/>
    <col min="29" max="29" width="5.5546875" style="1" bestFit="1" customWidth="1"/>
    <col min="30" max="31" width="5.33203125" style="1" bestFit="1" customWidth="1"/>
    <col min="32" max="37" width="5" style="1" bestFit="1" customWidth="1"/>
    <col min="38" max="16384" width="9.109375" style="1"/>
  </cols>
  <sheetData>
    <row r="1" spans="1:37" ht="15" customHeight="1" x14ac:dyDescent="0.3">
      <c r="A1" s="28" t="s">
        <v>275</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276</v>
      </c>
      <c r="B4" s="6">
        <v>0</v>
      </c>
      <c r="C4" s="6">
        <v>1.6</v>
      </c>
      <c r="D4" s="6">
        <v>2.7</v>
      </c>
      <c r="E4" s="6">
        <v>2.8</v>
      </c>
      <c r="F4" s="6">
        <v>1.9</v>
      </c>
      <c r="G4" s="6">
        <v>2.5</v>
      </c>
      <c r="H4" s="6">
        <v>0.5</v>
      </c>
      <c r="I4" s="6">
        <v>-0.4</v>
      </c>
      <c r="J4" s="6">
        <v>0.1</v>
      </c>
      <c r="K4" s="6">
        <v>0.9</v>
      </c>
      <c r="L4" s="6">
        <v>2.1</v>
      </c>
      <c r="M4" s="6">
        <v>2.7</v>
      </c>
      <c r="N4" s="6">
        <v>2.2999999999999998</v>
      </c>
      <c r="O4" s="6">
        <v>-0.6</v>
      </c>
      <c r="P4" s="6">
        <v>0.6</v>
      </c>
      <c r="Q4" s="6">
        <v>1.1000000000000001</v>
      </c>
      <c r="R4" s="6">
        <v>0.5</v>
      </c>
      <c r="S4" s="6">
        <v>0.6</v>
      </c>
      <c r="T4" s="6">
        <v>0.5</v>
      </c>
      <c r="U4" s="6">
        <v>0.2</v>
      </c>
      <c r="V4" s="6">
        <v>-0.1</v>
      </c>
      <c r="W4" s="6">
        <v>1.5</v>
      </c>
      <c r="X4" s="6">
        <v>1.1000000000000001</v>
      </c>
      <c r="Y4" s="6">
        <v>2</v>
      </c>
      <c r="Z4" s="6">
        <v>-3.2</v>
      </c>
      <c r="AA4" s="6">
        <v>4.4000000000000004</v>
      </c>
      <c r="AB4" s="6">
        <v>0.5</v>
      </c>
      <c r="AC4" s="6">
        <v>2.2999999999999998</v>
      </c>
      <c r="AD4" s="6">
        <v>1.2</v>
      </c>
      <c r="AE4" s="6">
        <v>1.4</v>
      </c>
      <c r="AF4" s="6">
        <v>-0.3</v>
      </c>
      <c r="AG4" s="6">
        <v>1.1000000000000001</v>
      </c>
      <c r="AH4" s="6">
        <v>0.9</v>
      </c>
      <c r="AI4" s="6">
        <v>1.1000000000000001</v>
      </c>
      <c r="AJ4" s="6">
        <v>1.3</v>
      </c>
      <c r="AK4" s="6">
        <v>1.1000000000000001</v>
      </c>
    </row>
    <row r="5" spans="1:37" x14ac:dyDescent="0.3">
      <c r="A5" s="21" t="s">
        <v>277</v>
      </c>
      <c r="B5" s="8">
        <v>1.4</v>
      </c>
      <c r="C5" s="8">
        <v>2.2999999999999998</v>
      </c>
      <c r="D5" s="8">
        <v>2.5</v>
      </c>
      <c r="E5" s="8">
        <v>4.9000000000000004</v>
      </c>
      <c r="F5" s="8">
        <v>1.2</v>
      </c>
      <c r="G5" s="8">
        <v>3.2</v>
      </c>
      <c r="H5" s="8">
        <v>3.7</v>
      </c>
      <c r="I5" s="8">
        <v>0.6</v>
      </c>
      <c r="J5" s="8">
        <v>0.5</v>
      </c>
      <c r="K5" s="8">
        <v>0.6</v>
      </c>
      <c r="L5" s="8">
        <v>2</v>
      </c>
      <c r="M5" s="8">
        <v>2.6</v>
      </c>
      <c r="N5" s="8">
        <v>2.2000000000000002</v>
      </c>
      <c r="O5" s="8">
        <v>1.5</v>
      </c>
      <c r="P5" s="8">
        <v>0.5</v>
      </c>
      <c r="Q5" s="8">
        <v>1.7</v>
      </c>
      <c r="R5" s="8">
        <v>1.1000000000000001</v>
      </c>
      <c r="S5" s="8">
        <v>0.9</v>
      </c>
      <c r="T5" s="8">
        <v>0.6</v>
      </c>
      <c r="U5" s="8">
        <v>0.2</v>
      </c>
      <c r="V5" s="8">
        <v>0.5</v>
      </c>
      <c r="W5" s="8">
        <v>1.4</v>
      </c>
      <c r="X5" s="8">
        <v>1.2</v>
      </c>
      <c r="Y5" s="8">
        <v>2.2000000000000002</v>
      </c>
      <c r="Z5" s="8">
        <v>-2.5</v>
      </c>
      <c r="AA5" s="8">
        <v>3.5</v>
      </c>
      <c r="AB5" s="8">
        <v>-1.1000000000000001</v>
      </c>
      <c r="AC5" s="8">
        <v>1.6</v>
      </c>
      <c r="AD5" s="8">
        <v>1.8</v>
      </c>
      <c r="AE5" s="8">
        <v>1</v>
      </c>
      <c r="AF5" s="8">
        <v>-0.5</v>
      </c>
      <c r="AG5" s="8">
        <v>1.2</v>
      </c>
      <c r="AH5" s="8">
        <v>0.8</v>
      </c>
      <c r="AI5" s="8">
        <v>0.9</v>
      </c>
      <c r="AJ5" s="8">
        <v>1.2</v>
      </c>
      <c r="AK5" s="8">
        <v>1</v>
      </c>
    </row>
    <row r="6" spans="1:37" x14ac:dyDescent="0.3">
      <c r="A6" s="13" t="s">
        <v>278</v>
      </c>
      <c r="B6" s="8">
        <v>1.3</v>
      </c>
      <c r="C6" s="8">
        <v>2.6</v>
      </c>
      <c r="D6" s="8">
        <v>2.6</v>
      </c>
      <c r="E6" s="8">
        <v>5</v>
      </c>
      <c r="F6" s="8">
        <v>1.4</v>
      </c>
      <c r="G6" s="8">
        <v>3.5</v>
      </c>
      <c r="H6" s="8">
        <v>2.8</v>
      </c>
      <c r="I6" s="8">
        <v>-0.3</v>
      </c>
      <c r="J6" s="8">
        <v>0.4</v>
      </c>
      <c r="K6" s="8">
        <v>0.1</v>
      </c>
      <c r="L6" s="8">
        <v>2.2000000000000002</v>
      </c>
      <c r="M6" s="8">
        <v>3</v>
      </c>
      <c r="N6" s="8">
        <v>2.2999999999999998</v>
      </c>
      <c r="O6" s="8">
        <v>0.1</v>
      </c>
      <c r="P6" s="8">
        <v>0.1</v>
      </c>
      <c r="Q6" s="8">
        <v>2</v>
      </c>
      <c r="R6" s="8">
        <v>0.8</v>
      </c>
      <c r="S6" s="8">
        <v>0.5</v>
      </c>
      <c r="T6" s="8">
        <v>-0.1</v>
      </c>
      <c r="U6" s="8">
        <v>0.4</v>
      </c>
      <c r="V6" s="8">
        <v>0.2</v>
      </c>
      <c r="W6" s="8">
        <v>1.5</v>
      </c>
      <c r="X6" s="8">
        <v>1.3</v>
      </c>
      <c r="Y6" s="8">
        <v>2.2999999999999998</v>
      </c>
      <c r="Z6" s="8">
        <v>-4.2</v>
      </c>
      <c r="AA6" s="8">
        <v>4.5999999999999996</v>
      </c>
      <c r="AB6" s="8">
        <v>-0.6</v>
      </c>
      <c r="AC6" s="8">
        <v>2</v>
      </c>
      <c r="AD6" s="8">
        <v>1.2</v>
      </c>
      <c r="AE6" s="8">
        <v>1</v>
      </c>
      <c r="AF6" s="8">
        <v>-0.6</v>
      </c>
      <c r="AG6" s="8">
        <v>1.6</v>
      </c>
      <c r="AH6" s="8">
        <v>1.1000000000000001</v>
      </c>
      <c r="AI6" s="8">
        <v>1.4</v>
      </c>
      <c r="AJ6" s="8">
        <v>1.4</v>
      </c>
      <c r="AK6" s="8">
        <v>1.2</v>
      </c>
    </row>
    <row r="7" spans="1:37" x14ac:dyDescent="0.3">
      <c r="A7" s="13" t="s">
        <v>279</v>
      </c>
      <c r="B7" s="8">
        <v>1.5</v>
      </c>
      <c r="C7" s="8">
        <v>1.9</v>
      </c>
      <c r="D7" s="8">
        <v>1.8</v>
      </c>
      <c r="E7" s="8">
        <v>4.0999999999999996</v>
      </c>
      <c r="F7" s="8">
        <v>0.4</v>
      </c>
      <c r="G7" s="8">
        <v>2.1</v>
      </c>
      <c r="H7" s="8">
        <v>6.3</v>
      </c>
      <c r="I7" s="8">
        <v>2.6</v>
      </c>
      <c r="J7" s="8">
        <v>0.5</v>
      </c>
      <c r="K7" s="8">
        <v>2.2999999999999998</v>
      </c>
      <c r="L7" s="8">
        <v>1.5</v>
      </c>
      <c r="M7" s="8">
        <v>1.5</v>
      </c>
      <c r="N7" s="8">
        <v>2.5</v>
      </c>
      <c r="O7" s="8">
        <v>5.4</v>
      </c>
      <c r="P7" s="8">
        <v>1.3</v>
      </c>
      <c r="Q7" s="8">
        <v>1.4</v>
      </c>
      <c r="R7" s="8">
        <v>1.9</v>
      </c>
      <c r="S7" s="8">
        <v>2.1</v>
      </c>
      <c r="T7" s="8">
        <v>2.1</v>
      </c>
      <c r="U7" s="8">
        <v>-0.5</v>
      </c>
      <c r="V7" s="8">
        <v>1.1000000000000001</v>
      </c>
      <c r="W7" s="8">
        <v>1</v>
      </c>
      <c r="X7" s="8">
        <v>0.8</v>
      </c>
      <c r="Y7" s="8">
        <v>1.7</v>
      </c>
      <c r="Z7" s="8">
        <v>2.1</v>
      </c>
      <c r="AA7" s="8">
        <v>1.1000000000000001</v>
      </c>
      <c r="AB7" s="8">
        <v>-1.9</v>
      </c>
      <c r="AC7" s="8">
        <v>1.6</v>
      </c>
      <c r="AD7" s="8">
        <v>3.3</v>
      </c>
      <c r="AE7" s="8">
        <v>1.4</v>
      </c>
      <c r="AF7" s="8">
        <v>-0.1</v>
      </c>
      <c r="AG7" s="8">
        <v>0.3</v>
      </c>
      <c r="AH7" s="8">
        <v>0</v>
      </c>
      <c r="AI7" s="8">
        <v>-0.4</v>
      </c>
      <c r="AJ7" s="8">
        <v>0.4</v>
      </c>
      <c r="AK7" s="8">
        <v>0.2</v>
      </c>
    </row>
    <row r="8" spans="1:37" x14ac:dyDescent="0.3">
      <c r="A8" s="13" t="s">
        <v>280</v>
      </c>
      <c r="B8" s="8">
        <v>3.7</v>
      </c>
      <c r="C8" s="8">
        <v>-1.6</v>
      </c>
      <c r="D8" s="8">
        <v>6.7</v>
      </c>
      <c r="E8" s="8">
        <v>7.8</v>
      </c>
      <c r="F8" s="8">
        <v>2.4</v>
      </c>
      <c r="G8" s="8">
        <v>6.6</v>
      </c>
      <c r="H8" s="8">
        <v>9</v>
      </c>
      <c r="I8" s="8">
        <v>6.9</v>
      </c>
      <c r="J8" s="8">
        <v>6</v>
      </c>
      <c r="K8" s="8">
        <v>2.1</v>
      </c>
      <c r="L8" s="8">
        <v>3.3</v>
      </c>
      <c r="M8" s="8">
        <v>1.3</v>
      </c>
      <c r="N8" s="8">
        <v>-1.7</v>
      </c>
      <c r="O8" s="8">
        <v>7.7</v>
      </c>
      <c r="P8" s="8">
        <v>3.7</v>
      </c>
      <c r="Q8" s="8">
        <v>-1.9</v>
      </c>
      <c r="R8" s="8">
        <v>0.5</v>
      </c>
      <c r="S8" s="8">
        <v>1.5</v>
      </c>
      <c r="T8" s="8">
        <v>3.4</v>
      </c>
      <c r="U8" s="8">
        <v>2.5</v>
      </c>
      <c r="V8" s="8">
        <v>1.7</v>
      </c>
      <c r="W8" s="8">
        <v>3.3</v>
      </c>
      <c r="X8" s="8">
        <v>1.1000000000000001</v>
      </c>
      <c r="Y8" s="8">
        <v>3.2</v>
      </c>
      <c r="Z8" s="8">
        <v>3.2</v>
      </c>
      <c r="AA8" s="8">
        <v>-1.6</v>
      </c>
      <c r="AB8" s="8">
        <v>-7.3</v>
      </c>
      <c r="AC8" s="8">
        <v>-6.3</v>
      </c>
      <c r="AD8" s="8">
        <v>2.9</v>
      </c>
      <c r="AE8" s="8">
        <v>-1.3</v>
      </c>
      <c r="AF8" s="8">
        <v>-0.7</v>
      </c>
      <c r="AG8" s="8">
        <v>0.8</v>
      </c>
      <c r="AH8" s="8">
        <v>0</v>
      </c>
      <c r="AI8" s="8">
        <v>0.2</v>
      </c>
      <c r="AJ8" s="8">
        <v>0.3</v>
      </c>
      <c r="AK8" s="8">
        <v>0.2</v>
      </c>
    </row>
    <row r="9" spans="1:37" x14ac:dyDescent="0.3">
      <c r="A9" s="21" t="s">
        <v>281</v>
      </c>
      <c r="B9" s="8">
        <v>1.1000000000000001</v>
      </c>
      <c r="C9" s="8">
        <v>2.2000000000000002</v>
      </c>
      <c r="D9" s="8">
        <v>2.2000000000000002</v>
      </c>
      <c r="E9" s="8">
        <v>2.1</v>
      </c>
      <c r="F9" s="8">
        <v>0.8</v>
      </c>
      <c r="G9" s="8">
        <v>0.6</v>
      </c>
      <c r="H9" s="8">
        <v>-3.6</v>
      </c>
      <c r="I9" s="8">
        <v>-0.1</v>
      </c>
      <c r="J9" s="8">
        <v>-0.8</v>
      </c>
      <c r="K9" s="8">
        <v>3.7</v>
      </c>
      <c r="L9" s="8">
        <v>3.4</v>
      </c>
      <c r="M9" s="8">
        <v>2</v>
      </c>
      <c r="N9" s="8">
        <v>-1.5</v>
      </c>
      <c r="O9" s="8">
        <v>0</v>
      </c>
      <c r="P9" s="8">
        <v>3.7</v>
      </c>
      <c r="Q9" s="8">
        <v>2</v>
      </c>
      <c r="R9" s="8">
        <v>0.1</v>
      </c>
      <c r="S9" s="8">
        <v>1.6</v>
      </c>
      <c r="T9" s="8">
        <v>1.7</v>
      </c>
      <c r="U9" s="8">
        <v>1.5</v>
      </c>
      <c r="V9" s="8">
        <v>0.6</v>
      </c>
      <c r="W9" s="8">
        <v>1</v>
      </c>
      <c r="X9" s="8">
        <v>1.4</v>
      </c>
      <c r="Y9" s="8">
        <v>1.2</v>
      </c>
      <c r="Z9" s="8">
        <v>-2.7</v>
      </c>
      <c r="AA9" s="8">
        <v>4.4000000000000004</v>
      </c>
      <c r="AB9" s="8">
        <v>1.7</v>
      </c>
      <c r="AC9" s="8">
        <v>2.4</v>
      </c>
      <c r="AD9" s="8">
        <v>-0.5</v>
      </c>
      <c r="AE9" s="8">
        <v>2.4</v>
      </c>
      <c r="AF9" s="8">
        <v>-0.3</v>
      </c>
      <c r="AG9" s="8">
        <v>0.5</v>
      </c>
      <c r="AH9" s="8">
        <v>1.2</v>
      </c>
      <c r="AI9" s="8">
        <v>1.5</v>
      </c>
      <c r="AJ9" s="8">
        <v>1.4</v>
      </c>
      <c r="AK9" s="8">
        <v>1.3</v>
      </c>
    </row>
    <row r="10" spans="1:37" x14ac:dyDescent="0.3">
      <c r="A10" s="13" t="s">
        <v>282</v>
      </c>
      <c r="B10" s="8">
        <v>0.3</v>
      </c>
      <c r="C10" s="8">
        <v>0.9</v>
      </c>
      <c r="D10" s="8">
        <v>3.3</v>
      </c>
      <c r="E10" s="8">
        <v>-0.1</v>
      </c>
      <c r="F10" s="8">
        <v>2.7</v>
      </c>
      <c r="G10" s="8">
        <v>1.9</v>
      </c>
      <c r="H10" s="8">
        <v>-2.9</v>
      </c>
      <c r="I10" s="8">
        <v>-0.6</v>
      </c>
      <c r="J10" s="8">
        <v>-2.9</v>
      </c>
      <c r="K10" s="8">
        <v>8.6</v>
      </c>
      <c r="L10" s="8">
        <v>5</v>
      </c>
      <c r="M10" s="8">
        <v>4.2</v>
      </c>
      <c r="N10" s="8">
        <v>-1.9</v>
      </c>
      <c r="O10" s="8">
        <v>-3.2</v>
      </c>
      <c r="P10" s="8">
        <v>6</v>
      </c>
      <c r="Q10" s="8">
        <v>5.3</v>
      </c>
      <c r="R10" s="8">
        <v>0.4</v>
      </c>
      <c r="S10" s="8">
        <v>2.2000000000000002</v>
      </c>
      <c r="T10" s="8">
        <v>0.5</v>
      </c>
      <c r="U10" s="8">
        <v>1.1000000000000001</v>
      </c>
      <c r="V10" s="8">
        <v>1.3</v>
      </c>
      <c r="W10" s="8">
        <v>2.2999999999999998</v>
      </c>
      <c r="X10" s="8">
        <v>1.8</v>
      </c>
      <c r="Y10" s="8">
        <v>1.6</v>
      </c>
      <c r="Z10" s="8">
        <v>3.1</v>
      </c>
      <c r="AA10" s="8">
        <v>1.9</v>
      </c>
      <c r="AB10" s="8">
        <v>6.3</v>
      </c>
      <c r="AC10" s="8">
        <v>5.3</v>
      </c>
      <c r="AD10" s="8">
        <v>-1.5</v>
      </c>
      <c r="AE10" s="8">
        <v>-1.3</v>
      </c>
      <c r="AF10" s="8">
        <v>-0.3</v>
      </c>
      <c r="AG10" s="8">
        <v>0.6</v>
      </c>
      <c r="AH10" s="8">
        <v>1.3</v>
      </c>
      <c r="AI10" s="8">
        <v>1.8</v>
      </c>
      <c r="AJ10" s="8">
        <v>1.6</v>
      </c>
      <c r="AK10" s="8">
        <v>1.5</v>
      </c>
    </row>
    <row r="11" spans="1:37" x14ac:dyDescent="0.3">
      <c r="A11" s="13" t="s">
        <v>283</v>
      </c>
      <c r="B11" s="8">
        <v>1.6</v>
      </c>
      <c r="C11" s="8">
        <v>3</v>
      </c>
      <c r="D11" s="8">
        <v>1.5</v>
      </c>
      <c r="E11" s="8">
        <v>3.6</v>
      </c>
      <c r="F11" s="8">
        <v>-0.4</v>
      </c>
      <c r="G11" s="8">
        <v>-0.4</v>
      </c>
      <c r="H11" s="8">
        <v>-4</v>
      </c>
      <c r="I11" s="8">
        <v>0.3</v>
      </c>
      <c r="J11" s="8">
        <v>0.8</v>
      </c>
      <c r="K11" s="8">
        <v>0.3</v>
      </c>
      <c r="L11" s="8">
        <v>2.1</v>
      </c>
      <c r="M11" s="8">
        <v>0.3</v>
      </c>
      <c r="N11" s="8">
        <v>-1.1000000000000001</v>
      </c>
      <c r="O11" s="8">
        <v>2.5</v>
      </c>
      <c r="P11" s="8">
        <v>2</v>
      </c>
      <c r="Q11" s="8">
        <v>-0.6</v>
      </c>
      <c r="R11" s="8">
        <v>-0.2</v>
      </c>
      <c r="S11" s="8">
        <v>1</v>
      </c>
      <c r="T11" s="8">
        <v>2.8</v>
      </c>
      <c r="U11" s="8">
        <v>1.8</v>
      </c>
      <c r="V11" s="8">
        <v>0.1</v>
      </c>
      <c r="W11" s="8">
        <v>-0.1</v>
      </c>
      <c r="X11" s="8">
        <v>1.1000000000000001</v>
      </c>
      <c r="Y11" s="8">
        <v>0.8</v>
      </c>
      <c r="Z11" s="8">
        <v>-7.6</v>
      </c>
      <c r="AA11" s="8">
        <v>6.7</v>
      </c>
      <c r="AB11" s="8">
        <v>-2.6</v>
      </c>
      <c r="AC11" s="8">
        <v>-0.4</v>
      </c>
      <c r="AD11" s="8">
        <v>0.5</v>
      </c>
      <c r="AE11" s="8">
        <v>6.2</v>
      </c>
      <c r="AF11" s="8">
        <v>-0.3</v>
      </c>
      <c r="AG11" s="8">
        <v>0.3</v>
      </c>
      <c r="AH11" s="8">
        <v>1</v>
      </c>
      <c r="AI11" s="8">
        <v>1.3</v>
      </c>
      <c r="AJ11" s="8">
        <v>1.2</v>
      </c>
      <c r="AK11" s="8">
        <v>1.1000000000000001</v>
      </c>
    </row>
    <row r="12" spans="1:37" x14ac:dyDescent="0.3">
      <c r="A12" s="21" t="s">
        <v>284</v>
      </c>
      <c r="B12" s="8">
        <v>-6.9</v>
      </c>
      <c r="C12" s="8">
        <v>-2.1</v>
      </c>
      <c r="D12" s="8">
        <v>4.5999999999999996</v>
      </c>
      <c r="E12" s="8">
        <v>-5.3</v>
      </c>
      <c r="F12" s="8">
        <v>7.1</v>
      </c>
      <c r="G12" s="8">
        <v>1.3</v>
      </c>
      <c r="H12" s="8">
        <v>-8.6999999999999993</v>
      </c>
      <c r="I12" s="8">
        <v>-5.9</v>
      </c>
      <c r="J12" s="8">
        <v>-1.3</v>
      </c>
      <c r="K12" s="8">
        <v>-1.5</v>
      </c>
      <c r="L12" s="8">
        <v>0.8</v>
      </c>
      <c r="M12" s="8">
        <v>4.0999999999999996</v>
      </c>
      <c r="N12" s="8">
        <v>8.4</v>
      </c>
      <c r="O12" s="8">
        <v>-13.1</v>
      </c>
      <c r="P12" s="8">
        <v>-3.3</v>
      </c>
      <c r="Q12" s="8">
        <v>-4.3</v>
      </c>
      <c r="R12" s="8">
        <v>-2.5</v>
      </c>
      <c r="S12" s="8">
        <v>-3.9</v>
      </c>
      <c r="T12" s="8">
        <v>-2</v>
      </c>
      <c r="U12" s="8">
        <v>-2.9</v>
      </c>
      <c r="V12" s="8">
        <v>-6.2</v>
      </c>
      <c r="W12" s="8">
        <v>3.6</v>
      </c>
      <c r="X12" s="8">
        <v>-0.9</v>
      </c>
      <c r="Y12" s="8">
        <v>2.2000000000000002</v>
      </c>
      <c r="Z12" s="8">
        <v>-11.4</v>
      </c>
      <c r="AA12" s="8">
        <v>12.9</v>
      </c>
      <c r="AB12" s="8">
        <v>12</v>
      </c>
      <c r="AC12" s="8">
        <v>7.6</v>
      </c>
      <c r="AD12" s="8">
        <v>0</v>
      </c>
      <c r="AE12" s="8">
        <v>2.2000000000000002</v>
      </c>
      <c r="AF12" s="8">
        <v>0.9</v>
      </c>
      <c r="AG12" s="8">
        <v>1.3</v>
      </c>
      <c r="AH12" s="8">
        <v>0.9</v>
      </c>
      <c r="AI12" s="8">
        <v>1.5</v>
      </c>
      <c r="AJ12" s="8">
        <v>1.7</v>
      </c>
      <c r="AK12" s="8">
        <v>1.5</v>
      </c>
    </row>
    <row r="13" spans="1:37" x14ac:dyDescent="0.3">
      <c r="A13" s="13" t="s">
        <v>285</v>
      </c>
      <c r="B13" s="8">
        <v>-8</v>
      </c>
      <c r="C13" s="8">
        <v>-3.7</v>
      </c>
      <c r="D13" s="8">
        <v>-1.7</v>
      </c>
      <c r="E13" s="8">
        <v>-14.2</v>
      </c>
      <c r="F13" s="8">
        <v>7.8</v>
      </c>
      <c r="G13" s="8">
        <v>-0.8</v>
      </c>
      <c r="H13" s="8">
        <v>-18.3</v>
      </c>
      <c r="I13" s="8">
        <v>-22</v>
      </c>
      <c r="J13" s="8">
        <v>-10.3</v>
      </c>
      <c r="K13" s="8">
        <v>-5.5</v>
      </c>
      <c r="L13" s="8">
        <v>1.6</v>
      </c>
      <c r="M13" s="8">
        <v>24.3</v>
      </c>
      <c r="N13" s="8">
        <v>3</v>
      </c>
      <c r="O13" s="8">
        <v>-21.1</v>
      </c>
      <c r="P13" s="8">
        <v>-18.899999999999999</v>
      </c>
      <c r="Q13" s="8">
        <v>-16.399999999999999</v>
      </c>
      <c r="R13" s="8">
        <v>-27.2</v>
      </c>
      <c r="S13" s="8">
        <v>-20.5</v>
      </c>
      <c r="T13" s="8">
        <v>-27</v>
      </c>
      <c r="U13" s="8">
        <v>-29.9</v>
      </c>
      <c r="V13" s="8">
        <v>-32.299999999999997</v>
      </c>
      <c r="W13" s="8">
        <v>-14.8</v>
      </c>
      <c r="X13" s="8">
        <v>27.5</v>
      </c>
      <c r="Y13" s="8">
        <v>-43.3</v>
      </c>
      <c r="Z13" s="8">
        <v>-75.599999999999994</v>
      </c>
      <c r="AA13" s="8">
        <v>-257.8</v>
      </c>
      <c r="AB13" s="8">
        <v>-1412.6</v>
      </c>
      <c r="AC13" s="8">
        <v>137.1</v>
      </c>
      <c r="AD13" s="8">
        <v>-14.1</v>
      </c>
      <c r="AE13" s="8">
        <v>-16.2</v>
      </c>
      <c r="AF13" s="8">
        <v>-1</v>
      </c>
      <c r="AG13" s="8">
        <v>1.5</v>
      </c>
      <c r="AH13" s="8">
        <v>0.1</v>
      </c>
      <c r="AI13" s="8">
        <v>-0.2</v>
      </c>
      <c r="AJ13" s="8">
        <v>-0.2</v>
      </c>
      <c r="AK13" s="8">
        <v>-0.2</v>
      </c>
    </row>
    <row r="14" spans="1:37" x14ac:dyDescent="0.3">
      <c r="A14" s="13" t="s">
        <v>286</v>
      </c>
      <c r="B14" s="8">
        <v>-10.9</v>
      </c>
      <c r="C14" s="8">
        <v>-4.4000000000000004</v>
      </c>
      <c r="D14" s="8">
        <v>18.5</v>
      </c>
      <c r="E14" s="8">
        <v>-17</v>
      </c>
      <c r="F14" s="8">
        <v>30</v>
      </c>
      <c r="G14" s="8">
        <v>3.2</v>
      </c>
      <c r="H14" s="8">
        <v>-30</v>
      </c>
      <c r="I14" s="8">
        <v>-16.5</v>
      </c>
      <c r="J14" s="8">
        <v>-21.5</v>
      </c>
      <c r="K14" s="8">
        <v>37.799999999999997</v>
      </c>
      <c r="L14" s="8">
        <v>33.1</v>
      </c>
      <c r="M14" s="8">
        <v>44.1</v>
      </c>
      <c r="N14" s="8">
        <v>6</v>
      </c>
      <c r="O14" s="8">
        <v>-37.4</v>
      </c>
      <c r="P14" s="8">
        <v>-1.6</v>
      </c>
      <c r="Q14" s="8">
        <v>-8.1999999999999993</v>
      </c>
      <c r="R14" s="8">
        <v>-30.3</v>
      </c>
      <c r="S14" s="8">
        <v>-18.2</v>
      </c>
      <c r="T14" s="8">
        <v>-6.3</v>
      </c>
      <c r="U14" s="8">
        <v>-18.5</v>
      </c>
      <c r="V14" s="8">
        <v>-19.100000000000001</v>
      </c>
      <c r="W14" s="8">
        <v>0.8</v>
      </c>
      <c r="X14" s="8">
        <v>0</v>
      </c>
      <c r="Y14" s="8">
        <v>-34.200000000000003</v>
      </c>
      <c r="Z14" s="8">
        <v>-30.4</v>
      </c>
      <c r="AA14" s="8">
        <v>-32.4</v>
      </c>
      <c r="AB14" s="8">
        <v>764.4</v>
      </c>
      <c r="AC14" s="8">
        <v>130.19999999999999</v>
      </c>
      <c r="AD14" s="8">
        <v>-10.1</v>
      </c>
      <c r="AE14" s="8">
        <v>-14.7</v>
      </c>
      <c r="AF14" s="8">
        <v>-2.8</v>
      </c>
      <c r="AG14" s="8">
        <v>-1.5</v>
      </c>
      <c r="AH14" s="8">
        <v>-0.9</v>
      </c>
      <c r="AI14" s="8">
        <v>0.1</v>
      </c>
      <c r="AJ14" s="8">
        <v>0.2</v>
      </c>
      <c r="AK14" s="8">
        <v>0.3</v>
      </c>
    </row>
    <row r="15" spans="1:37" x14ac:dyDescent="0.3">
      <c r="A15" s="13" t="s">
        <v>287</v>
      </c>
      <c r="B15" s="8">
        <v>-15.7</v>
      </c>
      <c r="C15" s="8">
        <v>-1.1000000000000001</v>
      </c>
      <c r="D15" s="8">
        <v>30.8</v>
      </c>
      <c r="E15" s="8">
        <v>9.9</v>
      </c>
      <c r="F15" s="8">
        <v>17.899999999999999</v>
      </c>
      <c r="G15" s="8">
        <v>5.7</v>
      </c>
      <c r="H15" s="8">
        <v>-10</v>
      </c>
      <c r="I15" s="8">
        <v>12.1</v>
      </c>
      <c r="J15" s="8">
        <v>-1.1000000000000001</v>
      </c>
      <c r="K15" s="8">
        <v>-0.6</v>
      </c>
      <c r="L15" s="8">
        <v>2.8</v>
      </c>
      <c r="M15" s="8">
        <v>5.5</v>
      </c>
      <c r="N15" s="8">
        <v>9.1</v>
      </c>
      <c r="O15" s="8">
        <v>-16.399999999999999</v>
      </c>
      <c r="P15" s="8">
        <v>0.9</v>
      </c>
      <c r="Q15" s="8">
        <v>1.9</v>
      </c>
      <c r="R15" s="8">
        <v>2.2999999999999998</v>
      </c>
      <c r="S15" s="8">
        <v>1.5</v>
      </c>
      <c r="T15" s="8">
        <v>2</v>
      </c>
      <c r="U15" s="8">
        <v>1.9</v>
      </c>
      <c r="V15" s="8">
        <v>0.1</v>
      </c>
      <c r="W15" s="8">
        <v>4.8</v>
      </c>
      <c r="X15" s="8">
        <v>0.6</v>
      </c>
      <c r="Y15" s="8">
        <v>7.2</v>
      </c>
      <c r="Z15" s="8">
        <v>-9.4</v>
      </c>
      <c r="AA15" s="8">
        <v>22.4</v>
      </c>
      <c r="AB15" s="8">
        <v>4.4000000000000004</v>
      </c>
      <c r="AC15" s="8">
        <v>1.9</v>
      </c>
      <c r="AD15" s="8">
        <v>2.8</v>
      </c>
      <c r="AE15" s="8">
        <v>5.7</v>
      </c>
      <c r="AF15" s="8">
        <v>1</v>
      </c>
      <c r="AG15" s="8">
        <v>0.9</v>
      </c>
      <c r="AH15" s="8">
        <v>0.8</v>
      </c>
      <c r="AI15" s="8">
        <v>1.9</v>
      </c>
      <c r="AJ15" s="8">
        <v>2.4</v>
      </c>
      <c r="AK15" s="8">
        <v>2.2000000000000002</v>
      </c>
    </row>
    <row r="16" spans="1:37" x14ac:dyDescent="0.3">
      <c r="A16" s="11" t="s">
        <v>288</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spans="1:37" x14ac:dyDescent="0.3">
      <c r="A17" s="21" t="s">
        <v>289</v>
      </c>
      <c r="B17" s="8">
        <v>1.2</v>
      </c>
      <c r="C17" s="8">
        <v>2.8</v>
      </c>
      <c r="D17" s="8">
        <v>1.2</v>
      </c>
      <c r="E17" s="8">
        <v>1.5</v>
      </c>
      <c r="F17" s="8">
        <v>-0.8</v>
      </c>
      <c r="G17" s="8">
        <v>3.3</v>
      </c>
      <c r="H17" s="8">
        <v>5</v>
      </c>
      <c r="I17" s="8">
        <v>2.1</v>
      </c>
      <c r="J17" s="8">
        <v>0.9</v>
      </c>
      <c r="K17" s="8">
        <v>1.1000000000000001</v>
      </c>
      <c r="L17" s="8">
        <v>0.7</v>
      </c>
      <c r="M17" s="8">
        <v>2.5</v>
      </c>
      <c r="N17" s="8">
        <v>2.6</v>
      </c>
      <c r="O17" s="8">
        <v>8.8000000000000007</v>
      </c>
      <c r="P17" s="8">
        <v>-0.7</v>
      </c>
      <c r="Q17" s="8">
        <v>0.5</v>
      </c>
      <c r="R17" s="8">
        <v>1.7</v>
      </c>
      <c r="S17" s="8">
        <v>1.9</v>
      </c>
      <c r="T17" s="8">
        <v>0.2</v>
      </c>
      <c r="U17" s="8">
        <v>0.8</v>
      </c>
      <c r="V17" s="8">
        <v>1</v>
      </c>
      <c r="W17" s="8">
        <v>1.1000000000000001</v>
      </c>
      <c r="X17" s="8">
        <v>0.7</v>
      </c>
      <c r="Y17" s="8">
        <v>2</v>
      </c>
      <c r="Z17" s="8">
        <v>12.4</v>
      </c>
      <c r="AA17" s="8">
        <v>-3.5</v>
      </c>
      <c r="AB17" s="8">
        <v>-3.5</v>
      </c>
      <c r="AC17" s="8">
        <v>0.4</v>
      </c>
      <c r="AD17" s="8">
        <v>3.6</v>
      </c>
      <c r="AE17" s="8">
        <v>0.9</v>
      </c>
      <c r="AF17" s="8">
        <v>-0.2</v>
      </c>
      <c r="AG17" s="8">
        <v>1</v>
      </c>
      <c r="AH17" s="8">
        <v>1.1000000000000001</v>
      </c>
      <c r="AI17" s="8">
        <v>1.1000000000000001</v>
      </c>
      <c r="AJ17" s="8">
        <v>1.7</v>
      </c>
      <c r="AK17" s="8">
        <v>1.3</v>
      </c>
    </row>
    <row r="18" spans="1:37" x14ac:dyDescent="0.3">
      <c r="A18" s="13" t="s">
        <v>290</v>
      </c>
      <c r="B18" s="8">
        <v>1.7</v>
      </c>
      <c r="C18" s="8">
        <v>2.2000000000000002</v>
      </c>
      <c r="D18" s="8">
        <v>1.7</v>
      </c>
      <c r="E18" s="8">
        <v>1.9</v>
      </c>
      <c r="F18" s="8">
        <v>-0.5</v>
      </c>
      <c r="G18" s="8">
        <v>2.5</v>
      </c>
      <c r="H18" s="8">
        <v>5.7</v>
      </c>
      <c r="I18" s="8">
        <v>2.9</v>
      </c>
      <c r="J18" s="8">
        <v>0.8</v>
      </c>
      <c r="K18" s="8">
        <v>0.4</v>
      </c>
      <c r="L18" s="8">
        <v>0.7</v>
      </c>
      <c r="M18" s="8">
        <v>1.8</v>
      </c>
      <c r="N18" s="8">
        <v>2.5</v>
      </c>
      <c r="O18" s="8">
        <v>7.7</v>
      </c>
      <c r="P18" s="8">
        <v>-0.5</v>
      </c>
      <c r="Q18" s="8">
        <v>0.8</v>
      </c>
      <c r="R18" s="8">
        <v>1.9</v>
      </c>
      <c r="S18" s="8">
        <v>2.2999999999999998</v>
      </c>
      <c r="T18" s="8">
        <v>0.3</v>
      </c>
      <c r="U18" s="8">
        <v>1.2</v>
      </c>
      <c r="V18" s="8">
        <v>0.8</v>
      </c>
      <c r="W18" s="8">
        <v>1.3</v>
      </c>
      <c r="X18" s="8">
        <v>0.8</v>
      </c>
      <c r="Y18" s="8">
        <v>2</v>
      </c>
      <c r="Z18" s="8">
        <v>11.9</v>
      </c>
      <c r="AA18" s="8">
        <v>-2.7</v>
      </c>
      <c r="AB18" s="8">
        <v>-4.8</v>
      </c>
      <c r="AC18" s="8">
        <v>1.4</v>
      </c>
      <c r="AD18" s="8">
        <v>4.8</v>
      </c>
      <c r="AE18" s="8">
        <v>1</v>
      </c>
      <c r="AF18" s="8">
        <v>-0.3</v>
      </c>
      <c r="AG18" s="8">
        <v>0.9</v>
      </c>
      <c r="AH18" s="8">
        <v>0.9</v>
      </c>
      <c r="AI18" s="8">
        <v>0.9</v>
      </c>
      <c r="AJ18" s="8">
        <v>1.6</v>
      </c>
      <c r="AK18" s="8">
        <v>1.2</v>
      </c>
    </row>
    <row r="19" spans="1:37" x14ac:dyDescent="0.3">
      <c r="A19" s="21" t="s">
        <v>291</v>
      </c>
      <c r="B19" s="8">
        <v>2</v>
      </c>
      <c r="C19" s="8">
        <v>3.5</v>
      </c>
      <c r="D19" s="8">
        <v>3.3</v>
      </c>
      <c r="E19" s="8">
        <v>2.8</v>
      </c>
      <c r="F19" s="8">
        <v>-0.1</v>
      </c>
      <c r="G19" s="8">
        <v>2.6</v>
      </c>
      <c r="H19" s="8">
        <v>4.5</v>
      </c>
      <c r="I19" s="8">
        <v>1</v>
      </c>
      <c r="J19" s="8">
        <v>0.2</v>
      </c>
      <c r="K19" s="8">
        <v>0.2</v>
      </c>
      <c r="L19" s="8">
        <v>1.6</v>
      </c>
      <c r="M19" s="8">
        <v>3.8</v>
      </c>
      <c r="N19" s="8">
        <v>2.1</v>
      </c>
      <c r="O19" s="8">
        <v>2.9</v>
      </c>
      <c r="P19" s="8">
        <v>0.6</v>
      </c>
      <c r="Q19" s="8">
        <v>0.9</v>
      </c>
      <c r="R19" s="8">
        <v>1.4</v>
      </c>
      <c r="S19" s="8">
        <v>1</v>
      </c>
      <c r="T19" s="8">
        <v>0</v>
      </c>
      <c r="U19" s="8">
        <v>0.7</v>
      </c>
      <c r="V19" s="8">
        <v>-2.2000000000000002</v>
      </c>
      <c r="W19" s="8">
        <v>0.7</v>
      </c>
      <c r="X19" s="8">
        <v>0.3</v>
      </c>
      <c r="Y19" s="8">
        <v>1.8</v>
      </c>
      <c r="Z19" s="8">
        <v>-1.7</v>
      </c>
      <c r="AA19" s="8">
        <v>1.5</v>
      </c>
      <c r="AB19" s="8">
        <v>-2.2000000000000002</v>
      </c>
      <c r="AC19" s="8">
        <v>1.9</v>
      </c>
      <c r="AD19" s="8">
        <v>2.2000000000000002</v>
      </c>
      <c r="AE19" s="8">
        <v>1.3</v>
      </c>
      <c r="AF19" s="8">
        <v>-0.2</v>
      </c>
      <c r="AG19" s="8">
        <v>1.4</v>
      </c>
      <c r="AH19" s="8">
        <v>0.9</v>
      </c>
      <c r="AI19" s="8">
        <v>0.8</v>
      </c>
      <c r="AJ19" s="8">
        <v>1.3</v>
      </c>
      <c r="AK19" s="8">
        <v>1.1000000000000001</v>
      </c>
    </row>
    <row r="20" spans="1:37" x14ac:dyDescent="0.3">
      <c r="A20" s="13" t="s">
        <v>292</v>
      </c>
      <c r="B20" s="8">
        <v>2.2999999999999998</v>
      </c>
      <c r="C20" s="8">
        <v>3.6</v>
      </c>
      <c r="D20" s="8">
        <v>3.4</v>
      </c>
      <c r="E20" s="8">
        <v>2.5</v>
      </c>
      <c r="F20" s="8">
        <v>-0.3</v>
      </c>
      <c r="G20" s="8">
        <v>2.2999999999999998</v>
      </c>
      <c r="H20" s="8">
        <v>4.4000000000000004</v>
      </c>
      <c r="I20" s="8">
        <v>1.3</v>
      </c>
      <c r="J20" s="8">
        <v>0.5</v>
      </c>
      <c r="K20" s="8">
        <v>0.4</v>
      </c>
      <c r="L20" s="8">
        <v>1.1000000000000001</v>
      </c>
      <c r="M20" s="8">
        <v>3.3</v>
      </c>
      <c r="N20" s="8">
        <v>2.5</v>
      </c>
      <c r="O20" s="8">
        <v>2.5</v>
      </c>
      <c r="P20" s="8">
        <v>0.8</v>
      </c>
      <c r="Q20" s="8">
        <v>1.1000000000000001</v>
      </c>
      <c r="R20" s="8">
        <v>1.6</v>
      </c>
      <c r="S20" s="8">
        <v>0.8</v>
      </c>
      <c r="T20" s="8">
        <v>0</v>
      </c>
      <c r="U20" s="8">
        <v>1.7</v>
      </c>
      <c r="V20" s="8">
        <v>-2.1</v>
      </c>
      <c r="W20" s="8">
        <v>0.4</v>
      </c>
      <c r="X20" s="8">
        <v>0.5</v>
      </c>
      <c r="Y20" s="8">
        <v>1.6</v>
      </c>
      <c r="Z20" s="8">
        <v>-2.1</v>
      </c>
      <c r="AA20" s="8">
        <v>1.9</v>
      </c>
      <c r="AB20" s="8">
        <v>-2</v>
      </c>
      <c r="AC20" s="8">
        <v>1.7</v>
      </c>
      <c r="AD20" s="8">
        <v>2.1</v>
      </c>
      <c r="AE20" s="8">
        <v>1.6</v>
      </c>
      <c r="AF20" s="8">
        <v>-0.5</v>
      </c>
      <c r="AG20" s="8">
        <v>1.6</v>
      </c>
      <c r="AH20" s="8">
        <v>1.2</v>
      </c>
      <c r="AI20" s="8">
        <v>1.1000000000000001</v>
      </c>
      <c r="AJ20" s="8">
        <v>1.5</v>
      </c>
      <c r="AK20" s="8">
        <v>1.3</v>
      </c>
    </row>
    <row r="21" spans="1:37" x14ac:dyDescent="0.3">
      <c r="A21" s="13" t="s">
        <v>293</v>
      </c>
      <c r="B21" s="8">
        <v>0.6</v>
      </c>
      <c r="C21" s="8">
        <v>2.9</v>
      </c>
      <c r="D21" s="8">
        <v>2.8</v>
      </c>
      <c r="E21" s="8">
        <v>4.5</v>
      </c>
      <c r="F21" s="8">
        <v>1.2</v>
      </c>
      <c r="G21" s="8">
        <v>4.2</v>
      </c>
      <c r="H21" s="8">
        <v>5.3</v>
      </c>
      <c r="I21" s="8">
        <v>-0.4</v>
      </c>
      <c r="J21" s="8">
        <v>-1.5</v>
      </c>
      <c r="K21" s="8">
        <v>-1</v>
      </c>
      <c r="L21" s="8">
        <v>4.7</v>
      </c>
      <c r="M21" s="8">
        <v>6.6</v>
      </c>
      <c r="N21" s="8">
        <v>0</v>
      </c>
      <c r="O21" s="8">
        <v>5.2</v>
      </c>
      <c r="P21" s="8">
        <v>-0.8</v>
      </c>
      <c r="Q21" s="8">
        <v>-0.4</v>
      </c>
      <c r="R21" s="8">
        <v>0.6</v>
      </c>
      <c r="S21" s="8">
        <v>2.1</v>
      </c>
      <c r="T21" s="8">
        <v>-0.1</v>
      </c>
      <c r="U21" s="8">
        <v>-5.0999999999999996</v>
      </c>
      <c r="V21" s="8">
        <v>-2.7</v>
      </c>
      <c r="W21" s="8">
        <v>2.2000000000000002</v>
      </c>
      <c r="X21" s="8">
        <v>-0.8</v>
      </c>
      <c r="Y21" s="8">
        <v>2.8</v>
      </c>
      <c r="Z21" s="8">
        <v>0.7</v>
      </c>
      <c r="AA21" s="8">
        <v>-0.5</v>
      </c>
      <c r="AB21" s="8">
        <v>-3.4</v>
      </c>
      <c r="AC21" s="8">
        <v>3.5</v>
      </c>
      <c r="AD21" s="8">
        <v>3.1</v>
      </c>
      <c r="AE21" s="8">
        <v>-0.7</v>
      </c>
      <c r="AF21" s="8">
        <v>1.4</v>
      </c>
      <c r="AG21" s="8">
        <v>0.4</v>
      </c>
      <c r="AH21" s="8">
        <v>-0.6</v>
      </c>
      <c r="AI21" s="8">
        <v>-1</v>
      </c>
      <c r="AJ21" s="8">
        <v>0</v>
      </c>
      <c r="AK21" s="8">
        <v>-0.2</v>
      </c>
    </row>
    <row r="22" spans="1:37" x14ac:dyDescent="0.3">
      <c r="A22" s="21" t="s">
        <v>294</v>
      </c>
      <c r="B22" s="8">
        <v>-0.7</v>
      </c>
      <c r="C22" s="8">
        <v>4.9000000000000004</v>
      </c>
      <c r="D22" s="8">
        <v>2.6</v>
      </c>
      <c r="E22" s="8">
        <v>1.4</v>
      </c>
      <c r="F22" s="8">
        <v>3.4</v>
      </c>
      <c r="G22" s="8">
        <v>2.7</v>
      </c>
      <c r="H22" s="8">
        <v>2.4</v>
      </c>
      <c r="I22" s="8">
        <v>-1.3</v>
      </c>
      <c r="J22" s="8">
        <v>1.8</v>
      </c>
      <c r="K22" s="8">
        <v>1.2</v>
      </c>
      <c r="L22" s="8">
        <v>-1.7</v>
      </c>
      <c r="M22" s="8">
        <v>1.4</v>
      </c>
      <c r="N22" s="8">
        <v>3.1</v>
      </c>
      <c r="O22" s="8">
        <v>-2.7</v>
      </c>
      <c r="P22" s="8">
        <v>3.7</v>
      </c>
      <c r="Q22" s="8">
        <v>3</v>
      </c>
      <c r="R22" s="8">
        <v>1.4</v>
      </c>
      <c r="S22" s="8">
        <v>4</v>
      </c>
      <c r="T22" s="8">
        <v>1.1000000000000001</v>
      </c>
      <c r="U22" s="8">
        <v>-1</v>
      </c>
      <c r="V22" s="8">
        <v>-2.2000000000000002</v>
      </c>
      <c r="W22" s="8">
        <v>1.5</v>
      </c>
      <c r="X22" s="8">
        <v>0.6</v>
      </c>
      <c r="Y22" s="8">
        <v>-1.8</v>
      </c>
      <c r="Z22" s="8">
        <v>-0.9</v>
      </c>
      <c r="AA22" s="8">
        <v>2.8</v>
      </c>
      <c r="AB22" s="8">
        <v>4.3</v>
      </c>
      <c r="AC22" s="8">
        <v>-0.9</v>
      </c>
      <c r="AD22" s="8">
        <v>4</v>
      </c>
      <c r="AE22" s="8">
        <v>0.6</v>
      </c>
      <c r="AF22" s="8">
        <v>1.4</v>
      </c>
      <c r="AG22" s="8">
        <v>0.7</v>
      </c>
      <c r="AH22" s="8">
        <v>0.3</v>
      </c>
      <c r="AI22" s="8">
        <v>-1.2</v>
      </c>
      <c r="AJ22" s="8">
        <v>0.7</v>
      </c>
      <c r="AK22" s="8">
        <v>1.5</v>
      </c>
    </row>
    <row r="23" spans="1:37" ht="15" thickBot="1" x14ac:dyDescent="0.35">
      <c r="A23" s="11" t="s">
        <v>295</v>
      </c>
      <c r="B23" s="8">
        <v>-0.2</v>
      </c>
      <c r="C23" s="8">
        <v>0.7</v>
      </c>
      <c r="D23" s="8">
        <v>2.1</v>
      </c>
      <c r="E23" s="8">
        <v>2.7</v>
      </c>
      <c r="F23" s="8">
        <v>1.5</v>
      </c>
      <c r="G23" s="8">
        <v>2.6</v>
      </c>
      <c r="H23" s="8">
        <v>0.2</v>
      </c>
      <c r="I23" s="8">
        <v>0.1</v>
      </c>
      <c r="J23" s="8">
        <v>-0.1</v>
      </c>
      <c r="K23" s="8">
        <v>1.1000000000000001</v>
      </c>
      <c r="L23" s="8">
        <v>2.7</v>
      </c>
      <c r="M23" s="8">
        <v>2.5</v>
      </c>
      <c r="N23" s="8">
        <v>2.2999999999999998</v>
      </c>
      <c r="O23" s="8">
        <v>1.6</v>
      </c>
      <c r="P23" s="8">
        <v>-0.4</v>
      </c>
      <c r="Q23" s="8">
        <v>0.6</v>
      </c>
      <c r="R23" s="8">
        <v>0.4</v>
      </c>
      <c r="S23" s="8">
        <v>0.1</v>
      </c>
      <c r="T23" s="8">
        <v>0.5</v>
      </c>
      <c r="U23" s="8">
        <v>0.5</v>
      </c>
      <c r="V23" s="8">
        <v>1.5</v>
      </c>
      <c r="W23" s="8">
        <v>1.7</v>
      </c>
      <c r="X23" s="8">
        <v>1.3</v>
      </c>
      <c r="Y23" s="8">
        <v>2.9</v>
      </c>
      <c r="Z23" s="8">
        <v>1</v>
      </c>
      <c r="AA23" s="8">
        <v>2.7</v>
      </c>
      <c r="AB23" s="8">
        <v>-0.8</v>
      </c>
      <c r="AC23" s="8">
        <v>2.5</v>
      </c>
      <c r="AD23" s="8">
        <v>1.1000000000000001</v>
      </c>
      <c r="AE23" s="8">
        <v>1.4</v>
      </c>
      <c r="AF23" s="8">
        <v>-0.7</v>
      </c>
      <c r="AG23" s="8">
        <v>1</v>
      </c>
      <c r="AH23" s="8">
        <v>1</v>
      </c>
      <c r="AI23" s="8">
        <v>1.7</v>
      </c>
      <c r="AJ23" s="8">
        <v>1.5</v>
      </c>
      <c r="AK23" s="8">
        <v>1.1000000000000001</v>
      </c>
    </row>
    <row r="24" spans="1:37" ht="15" customHeight="1" x14ac:dyDescent="0.3">
      <c r="A24" s="39" t="s">
        <v>296</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row>
    <row r="25" spans="1:37" x14ac:dyDescent="0.3">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sheetData>
  <mergeCells count="3">
    <mergeCell ref="A1:AK1"/>
    <mergeCell ref="A2:AK2"/>
    <mergeCell ref="A24:AK2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D62DD-4E6C-4AE4-9CEA-447F048816BE}">
  <dimension ref="A1:AK29"/>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5" width="6" style="1" bestFit="1" customWidth="1"/>
    <col min="6" max="30" width="6.6640625" style="1" bestFit="1" customWidth="1"/>
    <col min="31" max="37" width="7" style="1" bestFit="1" customWidth="1"/>
    <col min="38" max="16384" width="9.109375" style="1"/>
  </cols>
  <sheetData>
    <row r="1" spans="1:37" ht="15" customHeight="1" x14ac:dyDescent="0.3">
      <c r="A1" s="28" t="s">
        <v>253</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78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233</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row>
    <row r="5" spans="1:37" x14ac:dyDescent="0.3">
      <c r="A5" s="20" t="s">
        <v>254</v>
      </c>
      <c r="B5" s="3">
        <v>23201</v>
      </c>
      <c r="C5" s="3">
        <v>25050</v>
      </c>
      <c r="D5" s="3">
        <v>25082</v>
      </c>
      <c r="E5" s="3">
        <v>24984</v>
      </c>
      <c r="F5" s="3">
        <v>27037</v>
      </c>
      <c r="G5" s="3">
        <v>22295</v>
      </c>
      <c r="H5" s="3">
        <v>25108</v>
      </c>
      <c r="I5" s="3">
        <v>28523</v>
      </c>
      <c r="J5" s="3">
        <v>32945</v>
      </c>
      <c r="K5" s="3">
        <v>34492</v>
      </c>
      <c r="L5" s="3">
        <v>35496</v>
      </c>
      <c r="M5" s="3">
        <v>38661</v>
      </c>
      <c r="N5" s="3">
        <v>32915</v>
      </c>
      <c r="O5" s="3">
        <v>32501</v>
      </c>
      <c r="P5" s="3">
        <v>37378</v>
      </c>
      <c r="Q5" s="3">
        <v>33354</v>
      </c>
      <c r="R5" s="3">
        <v>39195</v>
      </c>
      <c r="S5" s="3">
        <v>38765</v>
      </c>
      <c r="T5" s="3">
        <v>44099</v>
      </c>
      <c r="U5" s="3">
        <v>46510</v>
      </c>
      <c r="V5" s="3">
        <v>48570</v>
      </c>
      <c r="W5" s="3">
        <v>47359</v>
      </c>
      <c r="X5" s="3">
        <v>49986</v>
      </c>
      <c r="Y5" s="3">
        <v>54089</v>
      </c>
      <c r="Z5" s="3">
        <v>55908</v>
      </c>
      <c r="AA5" s="3">
        <v>63481</v>
      </c>
      <c r="AB5" s="3">
        <v>68728</v>
      </c>
      <c r="AC5" s="3">
        <v>70271</v>
      </c>
      <c r="AD5" s="3">
        <v>71197</v>
      </c>
      <c r="AE5" s="3">
        <v>75224</v>
      </c>
      <c r="AF5" s="3">
        <v>79890</v>
      </c>
      <c r="AG5" s="3">
        <v>81449</v>
      </c>
      <c r="AH5" s="3">
        <v>83186</v>
      </c>
      <c r="AI5" s="3">
        <v>87019</v>
      </c>
      <c r="AJ5" s="3">
        <v>90345</v>
      </c>
      <c r="AK5" s="3">
        <v>93863</v>
      </c>
    </row>
    <row r="6" spans="1:37" x14ac:dyDescent="0.3">
      <c r="A6" s="21" t="s">
        <v>255</v>
      </c>
      <c r="B6" s="3">
        <v>23684</v>
      </c>
      <c r="C6" s="3">
        <v>24674</v>
      </c>
      <c r="D6" s="3">
        <v>25671</v>
      </c>
      <c r="E6" s="3">
        <v>24820</v>
      </c>
      <c r="F6" s="3">
        <v>28230</v>
      </c>
      <c r="G6" s="3">
        <v>26393</v>
      </c>
      <c r="H6" s="3">
        <v>27613</v>
      </c>
      <c r="I6" s="3">
        <v>29445</v>
      </c>
      <c r="J6" s="3">
        <v>36324</v>
      </c>
      <c r="K6" s="3">
        <v>39538</v>
      </c>
      <c r="L6" s="3">
        <v>40938</v>
      </c>
      <c r="M6" s="3">
        <v>45039</v>
      </c>
      <c r="N6" s="3">
        <v>39697</v>
      </c>
      <c r="O6" s="3">
        <v>36620</v>
      </c>
      <c r="P6" s="3">
        <v>42893</v>
      </c>
      <c r="Q6" s="3">
        <v>44585</v>
      </c>
      <c r="R6" s="3">
        <v>41524</v>
      </c>
      <c r="S6" s="3">
        <v>41688</v>
      </c>
      <c r="T6" s="3">
        <v>46723</v>
      </c>
      <c r="U6" s="3">
        <v>51620</v>
      </c>
      <c r="V6" s="3">
        <v>54945</v>
      </c>
      <c r="W6" s="3">
        <v>56594</v>
      </c>
      <c r="X6" s="3">
        <v>59261</v>
      </c>
      <c r="Y6" s="3">
        <v>65352</v>
      </c>
      <c r="Z6" s="3">
        <v>61696</v>
      </c>
      <c r="AA6" s="3">
        <v>72439</v>
      </c>
      <c r="AB6" s="3">
        <v>84045</v>
      </c>
      <c r="AC6" s="3">
        <v>86544</v>
      </c>
      <c r="AD6" s="3">
        <v>89848</v>
      </c>
      <c r="AE6" s="3">
        <v>93566</v>
      </c>
      <c r="AF6" s="3">
        <v>96828</v>
      </c>
      <c r="AG6" s="3">
        <v>97039</v>
      </c>
      <c r="AH6" s="3">
        <v>97994</v>
      </c>
      <c r="AI6" s="3">
        <v>100711</v>
      </c>
      <c r="AJ6" s="3">
        <v>103051</v>
      </c>
      <c r="AK6" s="3">
        <v>105388</v>
      </c>
    </row>
    <row r="7" spans="1:37" x14ac:dyDescent="0.3">
      <c r="A7" s="21" t="s">
        <v>256</v>
      </c>
      <c r="B7" s="3">
        <v>7468</v>
      </c>
      <c r="C7" s="3">
        <v>8160</v>
      </c>
      <c r="D7" s="3">
        <v>8801</v>
      </c>
      <c r="E7" s="3">
        <v>8814</v>
      </c>
      <c r="F7" s="3">
        <v>9172</v>
      </c>
      <c r="G7" s="3">
        <v>9803</v>
      </c>
      <c r="H7" s="3">
        <v>10464</v>
      </c>
      <c r="I7" s="3">
        <v>10858</v>
      </c>
      <c r="J7" s="3">
        <v>10828</v>
      </c>
      <c r="K7" s="3">
        <v>11210</v>
      </c>
      <c r="L7" s="3">
        <v>11568</v>
      </c>
      <c r="M7" s="3">
        <v>12491</v>
      </c>
      <c r="N7" s="3">
        <v>12967</v>
      </c>
      <c r="O7" s="3">
        <v>13062</v>
      </c>
      <c r="P7" s="3">
        <v>13313</v>
      </c>
      <c r="Q7" s="3">
        <v>12857</v>
      </c>
      <c r="R7" s="3">
        <v>13107</v>
      </c>
      <c r="S7" s="3">
        <v>12985</v>
      </c>
      <c r="T7" s="3">
        <v>12812</v>
      </c>
      <c r="U7" s="3">
        <v>12707</v>
      </c>
      <c r="V7" s="3">
        <v>12470</v>
      </c>
      <c r="W7" s="3">
        <v>12711</v>
      </c>
      <c r="X7" s="3">
        <v>13285</v>
      </c>
      <c r="Y7" s="3">
        <v>13616</v>
      </c>
      <c r="Z7" s="3">
        <v>13488</v>
      </c>
      <c r="AA7" s="3">
        <v>13673</v>
      </c>
      <c r="AB7" s="3">
        <v>14686</v>
      </c>
      <c r="AC7" s="3">
        <v>16016</v>
      </c>
      <c r="AD7" s="3">
        <v>15947</v>
      </c>
      <c r="AE7" s="3">
        <v>16685</v>
      </c>
      <c r="AF7" s="3">
        <v>17636</v>
      </c>
      <c r="AG7" s="3">
        <v>18433</v>
      </c>
      <c r="AH7" s="3">
        <v>19047</v>
      </c>
      <c r="AI7" s="3">
        <v>19670</v>
      </c>
      <c r="AJ7" s="3">
        <v>20392</v>
      </c>
      <c r="AK7" s="3">
        <v>21093</v>
      </c>
    </row>
    <row r="8" spans="1:37" x14ac:dyDescent="0.3">
      <c r="A8" s="22" t="s">
        <v>257</v>
      </c>
      <c r="B8" s="3">
        <v>3765</v>
      </c>
      <c r="C8" s="3">
        <v>4151</v>
      </c>
      <c r="D8" s="3">
        <v>4614</v>
      </c>
      <c r="E8" s="3">
        <v>4688</v>
      </c>
      <c r="F8" s="3">
        <v>4867</v>
      </c>
      <c r="G8" s="3">
        <v>5314</v>
      </c>
      <c r="H8" s="3">
        <v>5736</v>
      </c>
      <c r="I8" s="3">
        <v>5990</v>
      </c>
      <c r="J8" s="3">
        <v>6125</v>
      </c>
      <c r="K8" s="3">
        <v>6324</v>
      </c>
      <c r="L8" s="3">
        <v>6486</v>
      </c>
      <c r="M8" s="3">
        <v>6939</v>
      </c>
      <c r="N8" s="3">
        <v>7750</v>
      </c>
      <c r="O8" s="3">
        <v>7753</v>
      </c>
      <c r="P8" s="3">
        <v>7986</v>
      </c>
      <c r="Q8" s="3">
        <v>7792</v>
      </c>
      <c r="R8" s="3">
        <v>8044</v>
      </c>
      <c r="S8" s="3">
        <v>7995</v>
      </c>
      <c r="T8" s="3">
        <v>7712</v>
      </c>
      <c r="U8" s="3">
        <v>7815</v>
      </c>
      <c r="V8" s="3">
        <v>8010</v>
      </c>
      <c r="W8" s="3">
        <v>8171</v>
      </c>
      <c r="X8" s="3">
        <v>8914</v>
      </c>
      <c r="Y8" s="3">
        <v>8951</v>
      </c>
      <c r="Z8" s="3">
        <v>9073</v>
      </c>
      <c r="AA8" s="3">
        <v>9338</v>
      </c>
      <c r="AB8" s="3">
        <v>10068</v>
      </c>
      <c r="AC8" s="3">
        <v>11073</v>
      </c>
      <c r="AD8" s="3">
        <v>10998</v>
      </c>
      <c r="AE8" s="3">
        <v>12172</v>
      </c>
      <c r="AF8" s="3">
        <v>12719</v>
      </c>
      <c r="AG8" s="3">
        <v>13386</v>
      </c>
      <c r="AH8" s="3">
        <v>13943</v>
      </c>
      <c r="AI8" s="3">
        <v>14527</v>
      </c>
      <c r="AJ8" s="3">
        <v>15120</v>
      </c>
      <c r="AK8" s="3">
        <v>15708</v>
      </c>
    </row>
    <row r="9" spans="1:37" x14ac:dyDescent="0.3">
      <c r="A9" s="22" t="s">
        <v>258</v>
      </c>
      <c r="B9" s="3">
        <v>1778</v>
      </c>
      <c r="C9" s="3">
        <v>2026</v>
      </c>
      <c r="D9" s="3">
        <v>2146</v>
      </c>
      <c r="E9" s="3">
        <v>1886</v>
      </c>
      <c r="F9" s="3">
        <v>1969</v>
      </c>
      <c r="G9" s="3">
        <v>1943</v>
      </c>
      <c r="H9" s="3">
        <v>2043</v>
      </c>
      <c r="I9" s="3">
        <v>2175</v>
      </c>
      <c r="J9" s="3">
        <v>2138</v>
      </c>
      <c r="K9" s="3">
        <v>2303</v>
      </c>
      <c r="L9" s="3">
        <v>2332</v>
      </c>
      <c r="M9" s="3">
        <v>2251</v>
      </c>
      <c r="N9" s="3">
        <v>2004</v>
      </c>
      <c r="O9" s="3">
        <v>1988</v>
      </c>
      <c r="P9" s="3">
        <v>2133</v>
      </c>
      <c r="Q9" s="3">
        <v>2146</v>
      </c>
      <c r="R9" s="3">
        <v>2214</v>
      </c>
      <c r="S9" s="3">
        <v>2168</v>
      </c>
      <c r="T9" s="3">
        <v>2233</v>
      </c>
      <c r="U9" s="3">
        <v>2208</v>
      </c>
      <c r="V9" s="3">
        <v>2210</v>
      </c>
      <c r="W9" s="3">
        <v>2172</v>
      </c>
      <c r="X9" s="3">
        <v>2099</v>
      </c>
      <c r="Y9" s="3">
        <v>2071</v>
      </c>
      <c r="Z9" s="3">
        <v>1943</v>
      </c>
      <c r="AA9" s="3">
        <v>1853</v>
      </c>
      <c r="AB9" s="3">
        <v>2240</v>
      </c>
      <c r="AC9" s="3">
        <v>2089</v>
      </c>
      <c r="AD9" s="3">
        <v>1888</v>
      </c>
      <c r="AE9" s="3">
        <v>1947</v>
      </c>
      <c r="AF9" s="3">
        <v>2074</v>
      </c>
      <c r="AG9" s="3">
        <v>2144</v>
      </c>
      <c r="AH9" s="3">
        <v>2217</v>
      </c>
      <c r="AI9" s="3">
        <v>2289</v>
      </c>
      <c r="AJ9" s="3">
        <v>2367</v>
      </c>
      <c r="AK9" s="3">
        <v>2447</v>
      </c>
    </row>
    <row r="10" spans="1:37" x14ac:dyDescent="0.3">
      <c r="A10" s="22" t="s">
        <v>259</v>
      </c>
      <c r="B10" s="3">
        <v>1925</v>
      </c>
      <c r="C10" s="3">
        <v>1983</v>
      </c>
      <c r="D10" s="3">
        <v>2040</v>
      </c>
      <c r="E10" s="3">
        <v>2241</v>
      </c>
      <c r="F10" s="3">
        <v>2336</v>
      </c>
      <c r="G10" s="3">
        <v>2546</v>
      </c>
      <c r="H10" s="3">
        <v>2685</v>
      </c>
      <c r="I10" s="3">
        <v>2692</v>
      </c>
      <c r="J10" s="3">
        <v>2564</v>
      </c>
      <c r="K10" s="3">
        <v>2583</v>
      </c>
      <c r="L10" s="3">
        <v>2751</v>
      </c>
      <c r="M10" s="3">
        <v>3300</v>
      </c>
      <c r="N10" s="3">
        <v>3214</v>
      </c>
      <c r="O10" s="3">
        <v>3322</v>
      </c>
      <c r="P10" s="3">
        <v>3194</v>
      </c>
      <c r="Q10" s="3">
        <v>2919</v>
      </c>
      <c r="R10" s="3">
        <v>2849</v>
      </c>
      <c r="S10" s="3">
        <v>2822</v>
      </c>
      <c r="T10" s="3">
        <v>2867</v>
      </c>
      <c r="U10" s="3">
        <v>2683</v>
      </c>
      <c r="V10" s="3">
        <v>2250</v>
      </c>
      <c r="W10" s="3">
        <v>2368</v>
      </c>
      <c r="X10" s="3">
        <v>2272</v>
      </c>
      <c r="Y10" s="3">
        <v>2594</v>
      </c>
      <c r="Z10" s="3">
        <v>2472</v>
      </c>
      <c r="AA10" s="3">
        <v>2481</v>
      </c>
      <c r="AB10" s="3">
        <v>2378</v>
      </c>
      <c r="AC10" s="3">
        <v>2854</v>
      </c>
      <c r="AD10" s="3">
        <v>3060</v>
      </c>
      <c r="AE10" s="3">
        <v>2565</v>
      </c>
      <c r="AF10" s="3">
        <v>2843</v>
      </c>
      <c r="AG10" s="3">
        <v>2903</v>
      </c>
      <c r="AH10" s="3">
        <v>2887</v>
      </c>
      <c r="AI10" s="3">
        <v>2853</v>
      </c>
      <c r="AJ10" s="3">
        <v>2905</v>
      </c>
      <c r="AK10" s="3">
        <v>2938</v>
      </c>
    </row>
    <row r="11" spans="1:37" x14ac:dyDescent="0.3">
      <c r="A11" s="21" t="s">
        <v>260</v>
      </c>
      <c r="B11" s="3">
        <v>-8386</v>
      </c>
      <c r="C11" s="3">
        <v>-8248</v>
      </c>
      <c r="D11" s="3">
        <v>-9764</v>
      </c>
      <c r="E11" s="3">
        <v>-9100</v>
      </c>
      <c r="F11" s="3">
        <v>-11010</v>
      </c>
      <c r="G11" s="3">
        <v>-14477</v>
      </c>
      <c r="H11" s="3">
        <v>-13673</v>
      </c>
      <c r="I11" s="3">
        <v>-12698</v>
      </c>
      <c r="J11" s="3">
        <v>-14680</v>
      </c>
      <c r="K11" s="3">
        <v>-16547</v>
      </c>
      <c r="L11" s="3">
        <v>-17325</v>
      </c>
      <c r="M11" s="3">
        <v>-19034</v>
      </c>
      <c r="N11" s="3">
        <v>-18985</v>
      </c>
      <c r="O11" s="3">
        <v>-16770</v>
      </c>
      <c r="P11" s="3">
        <v>-18921</v>
      </c>
      <c r="Q11" s="3">
        <v>-23807</v>
      </c>
      <c r="R11" s="3">
        <v>-15410</v>
      </c>
      <c r="S11" s="3">
        <v>-15517</v>
      </c>
      <c r="T11" s="3">
        <v>-15037</v>
      </c>
      <c r="U11" s="3">
        <v>-17303</v>
      </c>
      <c r="V11" s="3">
        <v>-18728</v>
      </c>
      <c r="W11" s="3">
        <v>-21779</v>
      </c>
      <c r="X11" s="3">
        <v>-22506</v>
      </c>
      <c r="Y11" s="3">
        <v>-24418</v>
      </c>
      <c r="Z11" s="3">
        <v>-21508</v>
      </c>
      <c r="AA11" s="3">
        <v>-24085</v>
      </c>
      <c r="AB11" s="3">
        <v>-29817</v>
      </c>
      <c r="AC11" s="3">
        <v>-30745</v>
      </c>
      <c r="AD11" s="3">
        <v>-31608</v>
      </c>
      <c r="AE11" s="3">
        <v>-34084</v>
      </c>
      <c r="AF11" s="3">
        <v>-33605</v>
      </c>
      <c r="AG11" s="3">
        <v>-32982</v>
      </c>
      <c r="AH11" s="3">
        <v>-32798</v>
      </c>
      <c r="AI11" s="3">
        <v>-32293</v>
      </c>
      <c r="AJ11" s="3">
        <v>-32021</v>
      </c>
      <c r="AK11" s="3">
        <v>-31529</v>
      </c>
    </row>
    <row r="12" spans="1:37" x14ac:dyDescent="0.3">
      <c r="A12" s="21" t="s">
        <v>261</v>
      </c>
      <c r="B12" s="3">
        <v>437</v>
      </c>
      <c r="C12" s="3">
        <v>464</v>
      </c>
      <c r="D12" s="3">
        <v>373</v>
      </c>
      <c r="E12" s="3">
        <v>450</v>
      </c>
      <c r="F12" s="3">
        <v>646</v>
      </c>
      <c r="G12" s="3">
        <v>576</v>
      </c>
      <c r="H12" s="3">
        <v>704</v>
      </c>
      <c r="I12" s="3">
        <v>918</v>
      </c>
      <c r="J12" s="3">
        <v>474</v>
      </c>
      <c r="K12" s="3">
        <v>291</v>
      </c>
      <c r="L12" s="3">
        <v>314</v>
      </c>
      <c r="M12" s="3">
        <v>165</v>
      </c>
      <c r="N12" s="3">
        <v>-763</v>
      </c>
      <c r="O12" s="3">
        <v>-411</v>
      </c>
      <c r="P12" s="3">
        <v>93</v>
      </c>
      <c r="Q12" s="3">
        <v>-282</v>
      </c>
      <c r="R12" s="3">
        <v>-26</v>
      </c>
      <c r="S12" s="3">
        <v>-392</v>
      </c>
      <c r="T12" s="3">
        <v>-399</v>
      </c>
      <c r="U12" s="3">
        <v>-514</v>
      </c>
      <c r="V12" s="3">
        <v>-117</v>
      </c>
      <c r="W12" s="3">
        <v>-167</v>
      </c>
      <c r="X12" s="3">
        <v>-53</v>
      </c>
      <c r="Y12" s="3">
        <v>-460</v>
      </c>
      <c r="Z12" s="3">
        <v>2232</v>
      </c>
      <c r="AA12" s="3">
        <v>1454</v>
      </c>
      <c r="AB12" s="3">
        <v>-185</v>
      </c>
      <c r="AC12" s="3">
        <v>-1544</v>
      </c>
      <c r="AD12" s="3">
        <v>-2990</v>
      </c>
      <c r="AE12" s="3">
        <v>-942</v>
      </c>
      <c r="AF12" s="3">
        <v>-969</v>
      </c>
      <c r="AG12" s="3">
        <v>-1042</v>
      </c>
      <c r="AH12" s="3">
        <v>-1057</v>
      </c>
      <c r="AI12" s="3">
        <v>-1069</v>
      </c>
      <c r="AJ12" s="3">
        <v>-1078</v>
      </c>
      <c r="AK12" s="3">
        <v>-1088</v>
      </c>
    </row>
    <row r="13" spans="1:37" x14ac:dyDescent="0.3">
      <c r="A13" s="20" t="s">
        <v>262</v>
      </c>
      <c r="B13" s="3">
        <v>13818</v>
      </c>
      <c r="C13" s="3">
        <v>15115</v>
      </c>
      <c r="D13" s="3">
        <v>17267</v>
      </c>
      <c r="E13" s="3">
        <v>17205</v>
      </c>
      <c r="F13" s="3">
        <v>17880</v>
      </c>
      <c r="G13" s="3">
        <v>18586</v>
      </c>
      <c r="H13" s="3">
        <v>19306</v>
      </c>
      <c r="I13" s="3">
        <v>19462</v>
      </c>
      <c r="J13" s="3">
        <v>20595</v>
      </c>
      <c r="K13" s="3">
        <v>21794</v>
      </c>
      <c r="L13" s="3">
        <v>23763</v>
      </c>
      <c r="M13" s="3">
        <v>24321</v>
      </c>
      <c r="N13" s="3">
        <v>24591</v>
      </c>
      <c r="O13" s="3">
        <v>21357</v>
      </c>
      <c r="P13" s="3">
        <v>22844</v>
      </c>
      <c r="Q13" s="3">
        <v>23706</v>
      </c>
      <c r="R13" s="3">
        <v>24969</v>
      </c>
      <c r="S13" s="3">
        <v>25490</v>
      </c>
      <c r="T13" s="3">
        <v>25595</v>
      </c>
      <c r="U13" s="3">
        <v>26637</v>
      </c>
      <c r="V13" s="3">
        <v>27631</v>
      </c>
      <c r="W13" s="3">
        <v>31073</v>
      </c>
      <c r="X13" s="3">
        <v>33334</v>
      </c>
      <c r="Y13" s="3">
        <v>31731</v>
      </c>
      <c r="Z13" s="3">
        <v>28759</v>
      </c>
      <c r="AA13" s="3">
        <v>33264</v>
      </c>
      <c r="AB13" s="3">
        <v>37103</v>
      </c>
      <c r="AC13" s="3">
        <v>39565</v>
      </c>
      <c r="AD13" s="3">
        <v>43302</v>
      </c>
      <c r="AE13" s="3">
        <v>42008</v>
      </c>
      <c r="AF13" s="3">
        <v>44806</v>
      </c>
      <c r="AG13" s="3">
        <v>46419</v>
      </c>
      <c r="AH13" s="3">
        <v>47596</v>
      </c>
      <c r="AI13" s="3">
        <v>48838</v>
      </c>
      <c r="AJ13" s="3">
        <v>49942</v>
      </c>
      <c r="AK13" s="3">
        <v>50981</v>
      </c>
    </row>
    <row r="14" spans="1:37" x14ac:dyDescent="0.3">
      <c r="A14" s="21" t="s">
        <v>263</v>
      </c>
      <c r="B14" s="3">
        <v>5744</v>
      </c>
      <c r="C14" s="3">
        <v>6459</v>
      </c>
      <c r="D14" s="3">
        <v>7963</v>
      </c>
      <c r="E14" s="3">
        <v>7884</v>
      </c>
      <c r="F14" s="3">
        <v>8248</v>
      </c>
      <c r="G14" s="3">
        <v>8306</v>
      </c>
      <c r="H14" s="3">
        <v>8345</v>
      </c>
      <c r="I14" s="3">
        <v>8108</v>
      </c>
      <c r="J14" s="3">
        <v>9217</v>
      </c>
      <c r="K14" s="3">
        <v>10040</v>
      </c>
      <c r="L14" s="3">
        <v>11686</v>
      </c>
      <c r="M14" s="3">
        <v>11981</v>
      </c>
      <c r="N14" s="3">
        <v>11870</v>
      </c>
      <c r="O14" s="3">
        <v>8376</v>
      </c>
      <c r="P14" s="3">
        <v>9543</v>
      </c>
      <c r="Q14" s="3">
        <v>10957</v>
      </c>
      <c r="R14" s="3">
        <v>11942</v>
      </c>
      <c r="S14" s="3">
        <v>12501</v>
      </c>
      <c r="T14" s="3">
        <v>12891</v>
      </c>
      <c r="U14" s="3">
        <v>13961</v>
      </c>
      <c r="V14" s="3">
        <v>15080</v>
      </c>
      <c r="W14" s="3">
        <v>18387</v>
      </c>
      <c r="X14" s="3">
        <v>20086</v>
      </c>
      <c r="Y14" s="3">
        <v>18033</v>
      </c>
      <c r="Z14" s="3">
        <v>15298</v>
      </c>
      <c r="AA14" s="3">
        <v>19467</v>
      </c>
      <c r="AB14" s="3">
        <v>22161</v>
      </c>
      <c r="AC14" s="3">
        <v>23758</v>
      </c>
      <c r="AD14" s="3">
        <v>27602</v>
      </c>
      <c r="AE14" s="3">
        <v>26852</v>
      </c>
      <c r="AF14" s="3">
        <v>28745</v>
      </c>
      <c r="AG14" s="3">
        <v>29608</v>
      </c>
      <c r="AH14" s="3">
        <v>30202</v>
      </c>
      <c r="AI14" s="3">
        <v>30856</v>
      </c>
      <c r="AJ14" s="3">
        <v>31270</v>
      </c>
      <c r="AK14" s="3">
        <v>31638</v>
      </c>
    </row>
    <row r="15" spans="1:37" x14ac:dyDescent="0.3">
      <c r="A15" s="21" t="s">
        <v>264</v>
      </c>
      <c r="B15" s="3">
        <v>6745</v>
      </c>
      <c r="C15" s="3">
        <v>7162</v>
      </c>
      <c r="D15" s="3">
        <v>7649</v>
      </c>
      <c r="E15" s="3">
        <v>7900</v>
      </c>
      <c r="F15" s="3">
        <v>8170</v>
      </c>
      <c r="G15" s="3">
        <v>8782</v>
      </c>
      <c r="H15" s="3">
        <v>9363</v>
      </c>
      <c r="I15" s="3">
        <v>9601</v>
      </c>
      <c r="J15" s="3">
        <v>9653</v>
      </c>
      <c r="K15" s="3">
        <v>9772</v>
      </c>
      <c r="L15" s="3">
        <v>10110</v>
      </c>
      <c r="M15" s="3">
        <v>10179</v>
      </c>
      <c r="N15" s="3">
        <v>10389</v>
      </c>
      <c r="O15" s="3">
        <v>10773</v>
      </c>
      <c r="P15" s="3">
        <v>10038</v>
      </c>
      <c r="Q15" s="3">
        <v>10011</v>
      </c>
      <c r="R15" s="3">
        <v>9817</v>
      </c>
      <c r="S15" s="3">
        <v>9638</v>
      </c>
      <c r="T15" s="3">
        <v>9460</v>
      </c>
      <c r="U15" s="3">
        <v>9514</v>
      </c>
      <c r="V15" s="3">
        <v>9274</v>
      </c>
      <c r="W15" s="3">
        <v>9713</v>
      </c>
      <c r="X15" s="3">
        <v>10020</v>
      </c>
      <c r="Y15" s="3">
        <v>10276</v>
      </c>
      <c r="Z15" s="3">
        <v>10460</v>
      </c>
      <c r="AA15" s="3">
        <v>11256</v>
      </c>
      <c r="AB15" s="3">
        <v>11993</v>
      </c>
      <c r="AC15" s="3">
        <v>12885</v>
      </c>
      <c r="AD15" s="3">
        <v>14229</v>
      </c>
      <c r="AE15" s="3">
        <v>14081</v>
      </c>
      <c r="AF15" s="3">
        <v>14719</v>
      </c>
      <c r="AG15" s="3">
        <v>15177</v>
      </c>
      <c r="AH15" s="3">
        <v>15579</v>
      </c>
      <c r="AI15" s="3">
        <v>15961</v>
      </c>
      <c r="AJ15" s="3">
        <v>16459</v>
      </c>
      <c r="AK15" s="3">
        <v>16951</v>
      </c>
    </row>
    <row r="16" spans="1:37" x14ac:dyDescent="0.3">
      <c r="A16" s="22" t="s">
        <v>265</v>
      </c>
      <c r="B16" s="3">
        <v>4021</v>
      </c>
      <c r="C16" s="3">
        <v>4557</v>
      </c>
      <c r="D16" s="3">
        <v>4960</v>
      </c>
      <c r="E16" s="3">
        <v>5030</v>
      </c>
      <c r="F16" s="3">
        <v>5221</v>
      </c>
      <c r="G16" s="3">
        <v>5619</v>
      </c>
      <c r="H16" s="3">
        <v>6051</v>
      </c>
      <c r="I16" s="3">
        <v>6290</v>
      </c>
      <c r="J16" s="3">
        <v>6483</v>
      </c>
      <c r="K16" s="3">
        <v>6558</v>
      </c>
      <c r="L16" s="3">
        <v>6711</v>
      </c>
      <c r="M16" s="3">
        <v>6879</v>
      </c>
      <c r="N16" s="3">
        <v>7175</v>
      </c>
      <c r="O16" s="3">
        <v>7451</v>
      </c>
      <c r="P16" s="3">
        <v>6844</v>
      </c>
      <c r="Q16" s="3">
        <v>7092</v>
      </c>
      <c r="R16" s="3">
        <v>6969</v>
      </c>
      <c r="S16" s="3">
        <v>6816</v>
      </c>
      <c r="T16" s="3">
        <v>6593</v>
      </c>
      <c r="U16" s="3">
        <v>6831</v>
      </c>
      <c r="V16" s="3">
        <v>7023</v>
      </c>
      <c r="W16" s="3">
        <v>7345</v>
      </c>
      <c r="X16" s="3">
        <v>7749</v>
      </c>
      <c r="Y16" s="3">
        <v>7682</v>
      </c>
      <c r="Z16" s="3">
        <v>7988</v>
      </c>
      <c r="AA16" s="3">
        <v>8775</v>
      </c>
      <c r="AB16" s="3">
        <v>9616</v>
      </c>
      <c r="AC16" s="3">
        <v>10031</v>
      </c>
      <c r="AD16" s="3">
        <v>11168</v>
      </c>
      <c r="AE16" s="3">
        <v>11516</v>
      </c>
      <c r="AF16" s="3">
        <v>11876</v>
      </c>
      <c r="AG16" s="3">
        <v>12274</v>
      </c>
      <c r="AH16" s="3">
        <v>12692</v>
      </c>
      <c r="AI16" s="3">
        <v>13108</v>
      </c>
      <c r="AJ16" s="3">
        <v>13554</v>
      </c>
      <c r="AK16" s="3">
        <v>14013</v>
      </c>
    </row>
    <row r="17" spans="1:37" x14ac:dyDescent="0.3">
      <c r="A17" s="22" t="s">
        <v>266</v>
      </c>
      <c r="B17" s="3">
        <v>2724</v>
      </c>
      <c r="C17" s="3">
        <v>2605</v>
      </c>
      <c r="D17" s="3">
        <v>2690</v>
      </c>
      <c r="E17" s="3">
        <v>2870</v>
      </c>
      <c r="F17" s="3">
        <v>2949</v>
      </c>
      <c r="G17" s="3">
        <v>3163</v>
      </c>
      <c r="H17" s="3">
        <v>3312</v>
      </c>
      <c r="I17" s="3">
        <v>3311</v>
      </c>
      <c r="J17" s="3">
        <v>3171</v>
      </c>
      <c r="K17" s="3">
        <v>3214</v>
      </c>
      <c r="L17" s="3">
        <v>3399</v>
      </c>
      <c r="M17" s="3">
        <v>3300</v>
      </c>
      <c r="N17" s="3">
        <v>3214</v>
      </c>
      <c r="O17" s="3">
        <v>3322</v>
      </c>
      <c r="P17" s="3">
        <v>3194</v>
      </c>
      <c r="Q17" s="3">
        <v>2919</v>
      </c>
      <c r="R17" s="3">
        <v>2849</v>
      </c>
      <c r="S17" s="3">
        <v>2822</v>
      </c>
      <c r="T17" s="3">
        <v>2867</v>
      </c>
      <c r="U17" s="3">
        <v>2683</v>
      </c>
      <c r="V17" s="3">
        <v>2250</v>
      </c>
      <c r="W17" s="3">
        <v>2368</v>
      </c>
      <c r="X17" s="3">
        <v>2272</v>
      </c>
      <c r="Y17" s="3">
        <v>2594</v>
      </c>
      <c r="Z17" s="3">
        <v>2472</v>
      </c>
      <c r="AA17" s="3">
        <v>2481</v>
      </c>
      <c r="AB17" s="3">
        <v>2378</v>
      </c>
      <c r="AC17" s="3">
        <v>2854</v>
      </c>
      <c r="AD17" s="3">
        <v>3060</v>
      </c>
      <c r="AE17" s="3">
        <v>2565</v>
      </c>
      <c r="AF17" s="3">
        <v>2843</v>
      </c>
      <c r="AG17" s="3">
        <v>2903</v>
      </c>
      <c r="AH17" s="3">
        <v>2887</v>
      </c>
      <c r="AI17" s="3">
        <v>2853</v>
      </c>
      <c r="AJ17" s="3">
        <v>2905</v>
      </c>
      <c r="AK17" s="3">
        <v>2938</v>
      </c>
    </row>
    <row r="18" spans="1:37" x14ac:dyDescent="0.3">
      <c r="A18" s="21" t="s">
        <v>267</v>
      </c>
      <c r="B18" s="3">
        <v>1329</v>
      </c>
      <c r="C18" s="3">
        <v>1495</v>
      </c>
      <c r="D18" s="3">
        <v>1655</v>
      </c>
      <c r="E18" s="3">
        <v>1421</v>
      </c>
      <c r="F18" s="3">
        <v>1463</v>
      </c>
      <c r="G18" s="3">
        <v>1497</v>
      </c>
      <c r="H18" s="3">
        <v>1598</v>
      </c>
      <c r="I18" s="3">
        <v>1753</v>
      </c>
      <c r="J18" s="3">
        <v>1724</v>
      </c>
      <c r="K18" s="3">
        <v>1982</v>
      </c>
      <c r="L18" s="3">
        <v>1968</v>
      </c>
      <c r="M18" s="3">
        <v>2161</v>
      </c>
      <c r="N18" s="3">
        <v>2332</v>
      </c>
      <c r="O18" s="3">
        <v>2208</v>
      </c>
      <c r="P18" s="3">
        <v>3264</v>
      </c>
      <c r="Q18" s="3">
        <v>2738</v>
      </c>
      <c r="R18" s="3">
        <v>3210</v>
      </c>
      <c r="S18" s="3">
        <v>3352</v>
      </c>
      <c r="T18" s="3">
        <v>3244</v>
      </c>
      <c r="U18" s="3">
        <v>3161</v>
      </c>
      <c r="V18" s="3">
        <v>3278</v>
      </c>
      <c r="W18" s="3">
        <v>2972</v>
      </c>
      <c r="X18" s="3">
        <v>3228</v>
      </c>
      <c r="Y18" s="3">
        <v>3422</v>
      </c>
      <c r="Z18" s="3">
        <v>3000</v>
      </c>
      <c r="AA18" s="3">
        <v>2541</v>
      </c>
      <c r="AB18" s="3">
        <v>2949</v>
      </c>
      <c r="AC18" s="3">
        <v>2922</v>
      </c>
      <c r="AD18" s="3">
        <v>1472</v>
      </c>
      <c r="AE18" s="3">
        <v>1074</v>
      </c>
      <c r="AF18" s="3">
        <v>1343</v>
      </c>
      <c r="AG18" s="3">
        <v>1633</v>
      </c>
      <c r="AH18" s="3">
        <v>1815</v>
      </c>
      <c r="AI18" s="3">
        <v>2021</v>
      </c>
      <c r="AJ18" s="3">
        <v>2213</v>
      </c>
      <c r="AK18" s="3">
        <v>2392</v>
      </c>
    </row>
    <row r="19" spans="1:37" x14ac:dyDescent="0.3">
      <c r="A19" s="20" t="s">
        <v>268</v>
      </c>
      <c r="B19" s="3">
        <v>9383</v>
      </c>
      <c r="C19" s="3">
        <v>9935</v>
      </c>
      <c r="D19" s="3">
        <v>7814</v>
      </c>
      <c r="E19" s="3">
        <v>7779</v>
      </c>
      <c r="F19" s="3">
        <v>9157</v>
      </c>
      <c r="G19" s="3">
        <v>3710</v>
      </c>
      <c r="H19" s="3">
        <v>5802</v>
      </c>
      <c r="I19" s="3">
        <v>9061</v>
      </c>
      <c r="J19" s="3">
        <v>12350</v>
      </c>
      <c r="K19" s="3">
        <v>12698</v>
      </c>
      <c r="L19" s="3">
        <v>11733</v>
      </c>
      <c r="M19" s="3">
        <v>14340</v>
      </c>
      <c r="N19" s="3">
        <v>8325</v>
      </c>
      <c r="O19" s="3">
        <v>11144</v>
      </c>
      <c r="P19" s="3">
        <v>14533</v>
      </c>
      <c r="Q19" s="3">
        <v>9648</v>
      </c>
      <c r="R19" s="3">
        <v>14226</v>
      </c>
      <c r="S19" s="3">
        <v>13274</v>
      </c>
      <c r="T19" s="3">
        <v>18504</v>
      </c>
      <c r="U19" s="3">
        <v>19873</v>
      </c>
      <c r="V19" s="3">
        <v>20939</v>
      </c>
      <c r="W19" s="3">
        <v>16286</v>
      </c>
      <c r="X19" s="3">
        <v>16652</v>
      </c>
      <c r="Y19" s="3">
        <v>22358</v>
      </c>
      <c r="Z19" s="3">
        <v>27149</v>
      </c>
      <c r="AA19" s="3">
        <v>30217</v>
      </c>
      <c r="AB19" s="3">
        <v>31626</v>
      </c>
      <c r="AC19" s="3">
        <v>30706</v>
      </c>
      <c r="AD19" s="3">
        <v>27895</v>
      </c>
      <c r="AE19" s="3">
        <v>33216</v>
      </c>
      <c r="AF19" s="3">
        <v>35083</v>
      </c>
      <c r="AG19" s="3">
        <v>35030</v>
      </c>
      <c r="AH19" s="3">
        <v>35591</v>
      </c>
      <c r="AI19" s="3">
        <v>38181</v>
      </c>
      <c r="AJ19" s="3">
        <v>40403</v>
      </c>
      <c r="AK19" s="3">
        <v>42882</v>
      </c>
    </row>
    <row r="20" spans="1:37" x14ac:dyDescent="0.3">
      <c r="A20" s="11" t="s">
        <v>249</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spans="1:37" x14ac:dyDescent="0.3">
      <c r="A21" s="20" t="s">
        <v>254</v>
      </c>
      <c r="B21" s="3">
        <v>2420</v>
      </c>
      <c r="C21" s="3">
        <v>3184</v>
      </c>
      <c r="D21" s="3">
        <v>2983</v>
      </c>
      <c r="E21" s="3">
        <v>2768</v>
      </c>
      <c r="F21" s="3">
        <v>2942</v>
      </c>
      <c r="G21" s="3">
        <v>2349</v>
      </c>
      <c r="H21" s="3">
        <v>2322</v>
      </c>
      <c r="I21" s="3">
        <v>3932</v>
      </c>
      <c r="J21" s="3">
        <v>2832</v>
      </c>
      <c r="K21" s="3">
        <v>10945</v>
      </c>
      <c r="L21" s="3">
        <v>3702</v>
      </c>
      <c r="M21" s="3">
        <v>3972</v>
      </c>
      <c r="N21" s="3">
        <v>4145</v>
      </c>
      <c r="O21" s="3">
        <v>4060</v>
      </c>
      <c r="P21" s="3">
        <v>4336</v>
      </c>
      <c r="Q21" s="3">
        <v>6109</v>
      </c>
      <c r="R21" s="3">
        <v>10640</v>
      </c>
      <c r="S21" s="3">
        <v>6186</v>
      </c>
      <c r="T21" s="3">
        <v>5228</v>
      </c>
      <c r="U21" s="3">
        <v>3644</v>
      </c>
      <c r="V21" s="3">
        <v>2933</v>
      </c>
      <c r="W21" s="3">
        <v>2736</v>
      </c>
      <c r="X21" s="3">
        <v>2809</v>
      </c>
      <c r="Y21" s="3">
        <v>2742</v>
      </c>
      <c r="Z21" s="3">
        <v>3042</v>
      </c>
      <c r="AA21" s="3">
        <v>5048</v>
      </c>
      <c r="AB21" s="3">
        <v>4172</v>
      </c>
      <c r="AC21" s="3">
        <v>4923</v>
      </c>
      <c r="AD21" s="3">
        <v>4534</v>
      </c>
      <c r="AE21" s="3">
        <v>4885</v>
      </c>
      <c r="AF21" s="3">
        <v>4826</v>
      </c>
      <c r="AG21" s="3">
        <v>3649</v>
      </c>
      <c r="AH21" s="3">
        <v>3522</v>
      </c>
      <c r="AI21" s="3">
        <v>3586</v>
      </c>
      <c r="AJ21" s="3">
        <v>3782</v>
      </c>
      <c r="AK21" s="3">
        <v>3886</v>
      </c>
    </row>
    <row r="22" spans="1:37" x14ac:dyDescent="0.3">
      <c r="A22" s="20" t="s">
        <v>262</v>
      </c>
      <c r="B22" s="3">
        <v>8159</v>
      </c>
      <c r="C22" s="3">
        <v>8607</v>
      </c>
      <c r="D22" s="3">
        <v>9727</v>
      </c>
      <c r="E22" s="3">
        <v>9631</v>
      </c>
      <c r="F22" s="3">
        <v>13206</v>
      </c>
      <c r="G22" s="3">
        <v>10956</v>
      </c>
      <c r="H22" s="3">
        <v>7484</v>
      </c>
      <c r="I22" s="3">
        <v>6115</v>
      </c>
      <c r="J22" s="3">
        <v>12229</v>
      </c>
      <c r="K22" s="3">
        <v>13529</v>
      </c>
      <c r="L22" s="3">
        <v>13694</v>
      </c>
      <c r="M22" s="3">
        <v>16299</v>
      </c>
      <c r="N22" s="3">
        <v>18587</v>
      </c>
      <c r="O22" s="3">
        <v>4475</v>
      </c>
      <c r="P22" s="3">
        <v>6476</v>
      </c>
      <c r="Q22" s="3">
        <v>15144</v>
      </c>
      <c r="R22" s="3">
        <v>10268</v>
      </c>
      <c r="S22" s="3">
        <v>8700</v>
      </c>
      <c r="T22" s="3">
        <v>11529</v>
      </c>
      <c r="U22" s="3">
        <v>12084</v>
      </c>
      <c r="V22" s="3">
        <v>16156</v>
      </c>
      <c r="W22" s="3">
        <v>16723</v>
      </c>
      <c r="X22" s="3">
        <v>21546</v>
      </c>
      <c r="Y22" s="3">
        <v>17470</v>
      </c>
      <c r="Z22" s="3">
        <v>10518</v>
      </c>
      <c r="AA22" s="3">
        <v>17398</v>
      </c>
      <c r="AB22" s="3">
        <v>34158</v>
      </c>
      <c r="AC22" s="3">
        <v>25257</v>
      </c>
      <c r="AD22" s="3">
        <v>22443</v>
      </c>
      <c r="AE22" s="3">
        <v>33893</v>
      </c>
      <c r="AF22" s="3">
        <v>34052</v>
      </c>
      <c r="AG22" s="3">
        <v>30414</v>
      </c>
      <c r="AH22" s="3">
        <v>31107</v>
      </c>
      <c r="AI22" s="3">
        <v>32089</v>
      </c>
      <c r="AJ22" s="3">
        <v>32889</v>
      </c>
      <c r="AK22" s="3">
        <v>33737</v>
      </c>
    </row>
    <row r="23" spans="1:37" x14ac:dyDescent="0.3">
      <c r="A23" s="21" t="s">
        <v>153</v>
      </c>
      <c r="B23" s="3">
        <v>27816</v>
      </c>
      <c r="C23" s="3">
        <v>29745</v>
      </c>
      <c r="D23" s="3">
        <v>32022</v>
      </c>
      <c r="E23" s="3">
        <v>33393</v>
      </c>
      <c r="F23" s="3">
        <v>36858</v>
      </c>
      <c r="G23" s="3">
        <v>39409</v>
      </c>
      <c r="H23" s="3">
        <v>36952</v>
      </c>
      <c r="I23" s="3">
        <v>37235</v>
      </c>
      <c r="J23" s="3">
        <v>41771</v>
      </c>
      <c r="K23" s="3">
        <v>43675</v>
      </c>
      <c r="L23" s="3">
        <v>45872</v>
      </c>
      <c r="M23" s="3">
        <v>50760</v>
      </c>
      <c r="N23" s="3">
        <v>54209</v>
      </c>
      <c r="O23" s="3">
        <v>49168</v>
      </c>
      <c r="P23" s="3">
        <v>49156</v>
      </c>
      <c r="Q23" s="3">
        <v>54656</v>
      </c>
      <c r="R23" s="3">
        <v>55259</v>
      </c>
      <c r="S23" s="3">
        <v>54932</v>
      </c>
      <c r="T23" s="3">
        <v>57539</v>
      </c>
      <c r="U23" s="3">
        <v>61677</v>
      </c>
      <c r="V23" s="3">
        <v>65242</v>
      </c>
      <c r="W23" s="3">
        <v>67399</v>
      </c>
      <c r="X23" s="3">
        <v>70258</v>
      </c>
      <c r="Y23" s="3">
        <v>75117</v>
      </c>
      <c r="Z23" s="3">
        <v>71222</v>
      </c>
      <c r="AA23" s="3">
        <v>77049</v>
      </c>
      <c r="AB23" s="3">
        <v>86830</v>
      </c>
      <c r="AC23" s="3">
        <v>95022</v>
      </c>
      <c r="AD23" s="3">
        <v>99247</v>
      </c>
      <c r="AE23" s="3">
        <v>103624</v>
      </c>
      <c r="AF23" s="3">
        <v>108666</v>
      </c>
      <c r="AG23" s="3">
        <v>113704</v>
      </c>
      <c r="AH23" s="3">
        <v>118527</v>
      </c>
      <c r="AI23" s="3">
        <v>123935</v>
      </c>
      <c r="AJ23" s="3">
        <v>129132</v>
      </c>
      <c r="AK23" s="3">
        <v>134215</v>
      </c>
    </row>
    <row r="24" spans="1:37" x14ac:dyDescent="0.3">
      <c r="A24" s="21" t="s">
        <v>269</v>
      </c>
      <c r="B24" s="3">
        <v>21561</v>
      </c>
      <c r="C24" s="3">
        <v>22860</v>
      </c>
      <c r="D24" s="3">
        <v>24171</v>
      </c>
      <c r="E24" s="3">
        <v>25940</v>
      </c>
      <c r="F24" s="3">
        <v>27659</v>
      </c>
      <c r="G24" s="3">
        <v>29230</v>
      </c>
      <c r="H24" s="3">
        <v>30385</v>
      </c>
      <c r="I24" s="3">
        <v>32323</v>
      </c>
      <c r="J24" s="3">
        <v>33793</v>
      </c>
      <c r="K24" s="3">
        <v>35511</v>
      </c>
      <c r="L24" s="3">
        <v>38022</v>
      </c>
      <c r="M24" s="3">
        <v>40373</v>
      </c>
      <c r="N24" s="3">
        <v>43129</v>
      </c>
      <c r="O24" s="3">
        <v>42504</v>
      </c>
      <c r="P24" s="3">
        <v>44134</v>
      </c>
      <c r="Q24" s="3">
        <v>45987</v>
      </c>
      <c r="R24" s="3">
        <v>47824</v>
      </c>
      <c r="S24" s="3">
        <v>48729</v>
      </c>
      <c r="T24" s="3">
        <v>48830</v>
      </c>
      <c r="U24" s="3">
        <v>50245</v>
      </c>
      <c r="V24" s="3">
        <v>51574</v>
      </c>
      <c r="W24" s="3">
        <v>54060</v>
      </c>
      <c r="X24" s="3">
        <v>56521</v>
      </c>
      <c r="Y24" s="3">
        <v>59063</v>
      </c>
      <c r="Z24" s="3">
        <v>61447</v>
      </c>
      <c r="AA24" s="3">
        <v>64582</v>
      </c>
      <c r="AB24" s="3">
        <v>71466</v>
      </c>
      <c r="AC24" s="3">
        <v>76907</v>
      </c>
      <c r="AD24" s="3">
        <v>79843</v>
      </c>
      <c r="AE24" s="3">
        <v>81965</v>
      </c>
      <c r="AF24" s="3">
        <v>85802</v>
      </c>
      <c r="AG24" s="3">
        <v>90319</v>
      </c>
      <c r="AH24" s="3">
        <v>94922</v>
      </c>
      <c r="AI24" s="3">
        <v>99565</v>
      </c>
      <c r="AJ24" s="3">
        <v>104317</v>
      </c>
      <c r="AK24" s="3">
        <v>109110</v>
      </c>
    </row>
    <row r="25" spans="1:37" x14ac:dyDescent="0.3">
      <c r="A25" s="21" t="s">
        <v>270</v>
      </c>
      <c r="B25" s="3">
        <v>191</v>
      </c>
      <c r="C25" s="3">
        <v>255</v>
      </c>
      <c r="D25" s="3">
        <v>217</v>
      </c>
      <c r="E25" s="3">
        <v>158</v>
      </c>
      <c r="F25" s="3">
        <v>275</v>
      </c>
      <c r="G25" s="3">
        <v>154</v>
      </c>
      <c r="H25" s="3">
        <v>465</v>
      </c>
      <c r="I25" s="3">
        <v>257</v>
      </c>
      <c r="J25" s="3">
        <v>355</v>
      </c>
      <c r="K25" s="3">
        <v>303</v>
      </c>
      <c r="L25" s="3">
        <v>735</v>
      </c>
      <c r="M25" s="3">
        <v>1290</v>
      </c>
      <c r="N25" s="3">
        <v>1508</v>
      </c>
      <c r="O25" s="3">
        <v>516</v>
      </c>
      <c r="P25" s="3">
        <v>596</v>
      </c>
      <c r="Q25" s="3">
        <v>716</v>
      </c>
      <c r="R25" s="3">
        <v>121</v>
      </c>
      <c r="S25" s="3">
        <v>779</v>
      </c>
      <c r="T25" s="3">
        <v>1381</v>
      </c>
      <c r="U25" s="3">
        <v>305</v>
      </c>
      <c r="V25" s="3">
        <v>-273</v>
      </c>
      <c r="W25" s="3">
        <v>-49</v>
      </c>
      <c r="X25" s="3">
        <v>-10</v>
      </c>
      <c r="Y25" s="3">
        <v>-250</v>
      </c>
      <c r="Z25" s="3">
        <v>707</v>
      </c>
      <c r="AA25" s="3">
        <v>583</v>
      </c>
      <c r="AB25" s="3">
        <v>575</v>
      </c>
      <c r="AC25" s="3">
        <v>474</v>
      </c>
      <c r="AD25" s="3">
        <v>437</v>
      </c>
      <c r="AE25" s="3">
        <v>513</v>
      </c>
      <c r="AF25" s="3">
        <v>470</v>
      </c>
      <c r="AG25" s="3">
        <v>527</v>
      </c>
      <c r="AH25" s="3">
        <v>529</v>
      </c>
      <c r="AI25" s="3">
        <v>531</v>
      </c>
      <c r="AJ25" s="3">
        <v>529</v>
      </c>
      <c r="AK25" s="3">
        <v>528</v>
      </c>
    </row>
    <row r="26" spans="1:37" x14ac:dyDescent="0.3">
      <c r="A26" s="21" t="s">
        <v>271</v>
      </c>
      <c r="B26" s="3">
        <v>943</v>
      </c>
      <c r="C26" s="3">
        <v>1021</v>
      </c>
      <c r="D26" s="3">
        <v>1212</v>
      </c>
      <c r="E26" s="3">
        <v>1239</v>
      </c>
      <c r="F26" s="3">
        <v>3213</v>
      </c>
      <c r="G26" s="3">
        <v>627</v>
      </c>
      <c r="H26" s="3">
        <v>130</v>
      </c>
      <c r="I26" s="3">
        <v>1332</v>
      </c>
      <c r="J26" s="3">
        <v>3591</v>
      </c>
      <c r="K26" s="3">
        <v>4724</v>
      </c>
      <c r="L26" s="3">
        <v>5230</v>
      </c>
      <c r="M26" s="3">
        <v>4416</v>
      </c>
      <c r="N26" s="3">
        <v>6012</v>
      </c>
      <c r="O26" s="3">
        <v>-2363</v>
      </c>
      <c r="P26" s="3">
        <v>1121</v>
      </c>
      <c r="Q26" s="3">
        <v>5602</v>
      </c>
      <c r="R26" s="3">
        <v>2239</v>
      </c>
      <c r="S26" s="3">
        <v>1704</v>
      </c>
      <c r="T26" s="3">
        <v>1692</v>
      </c>
      <c r="U26" s="3">
        <v>688</v>
      </c>
      <c r="V26" s="3">
        <v>2800</v>
      </c>
      <c r="W26" s="3">
        <v>3654</v>
      </c>
      <c r="X26" s="3">
        <v>8148</v>
      </c>
      <c r="Y26" s="3">
        <v>2026</v>
      </c>
      <c r="Z26" s="3">
        <v>-3</v>
      </c>
      <c r="AA26" s="3">
        <v>2524</v>
      </c>
      <c r="AB26" s="3">
        <v>18052</v>
      </c>
      <c r="AC26" s="3">
        <v>6558</v>
      </c>
      <c r="AD26" s="3">
        <v>1360</v>
      </c>
      <c r="AE26" s="3">
        <v>11498</v>
      </c>
      <c r="AF26" s="3">
        <v>10014</v>
      </c>
      <c r="AG26" s="3">
        <v>6091</v>
      </c>
      <c r="AH26" s="3">
        <v>6499</v>
      </c>
      <c r="AI26" s="3">
        <v>6791</v>
      </c>
      <c r="AJ26" s="3">
        <v>7155</v>
      </c>
      <c r="AK26" s="3">
        <v>7747</v>
      </c>
    </row>
    <row r="27" spans="1:37" x14ac:dyDescent="0.3">
      <c r="A27" s="21" t="s">
        <v>272</v>
      </c>
      <c r="B27" s="3">
        <v>5</v>
      </c>
      <c r="C27" s="3">
        <v>6</v>
      </c>
      <c r="D27" s="3">
        <v>6</v>
      </c>
      <c r="E27" s="3">
        <v>1</v>
      </c>
      <c r="F27" s="3">
        <v>1</v>
      </c>
      <c r="G27" s="3">
        <v>2</v>
      </c>
      <c r="H27" s="3">
        <v>2</v>
      </c>
      <c r="I27" s="3">
        <v>2</v>
      </c>
      <c r="J27" s="3">
        <v>2</v>
      </c>
      <c r="K27" s="3">
        <v>1</v>
      </c>
      <c r="L27" s="3">
        <v>2</v>
      </c>
      <c r="M27" s="3">
        <v>6</v>
      </c>
      <c r="N27" s="3">
        <v>3</v>
      </c>
      <c r="O27" s="3">
        <v>0</v>
      </c>
      <c r="P27" s="3">
        <v>4</v>
      </c>
      <c r="Q27" s="3">
        <v>0</v>
      </c>
      <c r="R27" s="3">
        <v>2</v>
      </c>
      <c r="S27" s="3">
        <v>0</v>
      </c>
      <c r="T27" s="3">
        <v>2</v>
      </c>
      <c r="U27" s="3">
        <v>1</v>
      </c>
      <c r="V27" s="3">
        <v>0</v>
      </c>
      <c r="W27" s="3">
        <v>4</v>
      </c>
      <c r="X27" s="3">
        <v>1</v>
      </c>
      <c r="Y27" s="3">
        <v>0</v>
      </c>
      <c r="Z27" s="3">
        <v>3</v>
      </c>
      <c r="AA27" s="3">
        <v>0</v>
      </c>
      <c r="AB27" s="3">
        <v>8</v>
      </c>
      <c r="AC27" s="3">
        <v>6</v>
      </c>
      <c r="AD27" s="3">
        <v>6</v>
      </c>
      <c r="AE27" s="3">
        <v>7</v>
      </c>
      <c r="AF27" s="3">
        <v>7</v>
      </c>
      <c r="AG27" s="3">
        <v>7</v>
      </c>
      <c r="AH27" s="3">
        <v>7</v>
      </c>
      <c r="AI27" s="3">
        <v>7</v>
      </c>
      <c r="AJ27" s="3">
        <v>7</v>
      </c>
      <c r="AK27" s="3">
        <v>8</v>
      </c>
    </row>
    <row r="28" spans="1:37" x14ac:dyDescent="0.3">
      <c r="A28" s="21" t="s">
        <v>273</v>
      </c>
      <c r="B28" s="3">
        <v>764</v>
      </c>
      <c r="C28" s="3">
        <v>441</v>
      </c>
      <c r="D28" s="3">
        <v>441</v>
      </c>
      <c r="E28" s="3">
        <v>779</v>
      </c>
      <c r="F28" s="3">
        <v>518</v>
      </c>
      <c r="G28" s="3">
        <v>-6</v>
      </c>
      <c r="H28" s="3">
        <v>321</v>
      </c>
      <c r="I28" s="3">
        <v>-386</v>
      </c>
      <c r="J28" s="3">
        <v>304</v>
      </c>
      <c r="K28" s="3">
        <v>335</v>
      </c>
      <c r="L28" s="3">
        <v>-122</v>
      </c>
      <c r="M28" s="3">
        <v>200</v>
      </c>
      <c r="N28" s="3">
        <v>-16</v>
      </c>
      <c r="O28" s="3">
        <v>-342</v>
      </c>
      <c r="P28" s="3">
        <v>-266</v>
      </c>
      <c r="Q28" s="3">
        <v>157</v>
      </c>
      <c r="R28" s="3">
        <v>471</v>
      </c>
      <c r="S28" s="3">
        <v>13</v>
      </c>
      <c r="T28" s="3">
        <v>-255</v>
      </c>
      <c r="U28" s="3">
        <v>-343</v>
      </c>
      <c r="V28" s="3">
        <v>-41</v>
      </c>
      <c r="W28" s="3">
        <v>-225</v>
      </c>
      <c r="X28" s="3">
        <v>-329</v>
      </c>
      <c r="Y28" s="3">
        <v>-361</v>
      </c>
      <c r="Z28" s="3">
        <v>37</v>
      </c>
      <c r="AA28" s="3">
        <v>1824</v>
      </c>
      <c r="AB28" s="3">
        <v>160</v>
      </c>
      <c r="AC28" s="3">
        <v>103</v>
      </c>
      <c r="AD28" s="3">
        <v>1235</v>
      </c>
      <c r="AE28" s="3">
        <v>218</v>
      </c>
      <c r="AF28" s="3">
        <v>698</v>
      </c>
      <c r="AG28" s="3">
        <v>404</v>
      </c>
      <c r="AH28" s="3">
        <v>467</v>
      </c>
      <c r="AI28" s="3">
        <v>390</v>
      </c>
      <c r="AJ28" s="3">
        <v>383</v>
      </c>
      <c r="AK28" s="3">
        <v>348</v>
      </c>
    </row>
    <row r="29" spans="1:37" x14ac:dyDescent="0.3">
      <c r="A29" s="11" t="s">
        <v>274</v>
      </c>
      <c r="B29" s="3">
        <v>3645</v>
      </c>
      <c r="C29" s="3">
        <v>4512</v>
      </c>
      <c r="D29" s="3">
        <v>1070</v>
      </c>
      <c r="E29" s="3">
        <v>916</v>
      </c>
      <c r="F29" s="3">
        <v>-1107</v>
      </c>
      <c r="G29" s="3">
        <v>-4897</v>
      </c>
      <c r="H29" s="3">
        <v>640</v>
      </c>
      <c r="I29" s="3">
        <v>6878</v>
      </c>
      <c r="J29" s="3">
        <v>2953</v>
      </c>
      <c r="K29" s="3">
        <v>10115</v>
      </c>
      <c r="L29" s="3">
        <v>1740</v>
      </c>
      <c r="M29" s="3">
        <v>2014</v>
      </c>
      <c r="N29" s="3">
        <v>-6117</v>
      </c>
      <c r="O29" s="3">
        <v>10729</v>
      </c>
      <c r="P29" s="3">
        <v>12392</v>
      </c>
      <c r="Q29" s="3">
        <v>613</v>
      </c>
      <c r="R29" s="3">
        <v>14598</v>
      </c>
      <c r="S29" s="3">
        <v>10761</v>
      </c>
      <c r="T29" s="3">
        <v>12203</v>
      </c>
      <c r="U29" s="3">
        <v>11433</v>
      </c>
      <c r="V29" s="3">
        <v>7715</v>
      </c>
      <c r="W29" s="3">
        <v>2299</v>
      </c>
      <c r="X29" s="3">
        <v>-2086</v>
      </c>
      <c r="Y29" s="3">
        <v>7630</v>
      </c>
      <c r="Z29" s="3">
        <v>19672</v>
      </c>
      <c r="AA29" s="3">
        <v>17868</v>
      </c>
      <c r="AB29" s="3">
        <v>1639</v>
      </c>
      <c r="AC29" s="3">
        <v>10373</v>
      </c>
      <c r="AD29" s="3">
        <v>9986</v>
      </c>
      <c r="AE29" s="3">
        <v>4207</v>
      </c>
      <c r="AF29" s="3">
        <v>5858</v>
      </c>
      <c r="AG29" s="3">
        <v>8266</v>
      </c>
      <c r="AH29" s="3">
        <v>8006</v>
      </c>
      <c r="AI29" s="3">
        <v>9677</v>
      </c>
      <c r="AJ29" s="3">
        <v>11296</v>
      </c>
      <c r="AK29" s="3">
        <v>13032</v>
      </c>
    </row>
  </sheetData>
  <mergeCells count="2">
    <mergeCell ref="A1:AK1"/>
    <mergeCell ref="A2:AK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BB89-A154-448D-8B96-57EAE65D6775}">
  <dimension ref="A1:AK25"/>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7" style="1" bestFit="1" customWidth="1"/>
    <col min="38" max="16384" width="9.109375" style="1"/>
  </cols>
  <sheetData>
    <row r="1" spans="1:37" ht="15" customHeight="1" x14ac:dyDescent="0.3">
      <c r="A1" s="28" t="s">
        <v>232</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78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233</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row>
    <row r="5" spans="1:37" x14ac:dyDescent="0.3">
      <c r="A5" s="20" t="s">
        <v>234</v>
      </c>
      <c r="B5" s="3">
        <v>127038</v>
      </c>
      <c r="C5" s="3">
        <v>138808</v>
      </c>
      <c r="D5" s="3">
        <v>143418</v>
      </c>
      <c r="E5" s="3">
        <v>150070</v>
      </c>
      <c r="F5" s="3">
        <v>181167</v>
      </c>
      <c r="G5" s="3">
        <v>184092</v>
      </c>
      <c r="H5" s="3">
        <v>183767</v>
      </c>
      <c r="I5" s="3">
        <v>185352</v>
      </c>
      <c r="J5" s="3">
        <v>204360</v>
      </c>
      <c r="K5" s="3">
        <v>226907</v>
      </c>
      <c r="L5" s="3">
        <v>245303</v>
      </c>
      <c r="M5" s="3">
        <v>263348</v>
      </c>
      <c r="N5" s="3">
        <v>288610</v>
      </c>
      <c r="O5" s="3">
        <v>239865</v>
      </c>
      <c r="P5" s="3">
        <v>279356</v>
      </c>
      <c r="Q5" s="3">
        <v>319970</v>
      </c>
      <c r="R5" s="3">
        <v>318727</v>
      </c>
      <c r="S5" s="3">
        <v>318786</v>
      </c>
      <c r="T5" s="3">
        <v>329831</v>
      </c>
      <c r="U5" s="3">
        <v>333548</v>
      </c>
      <c r="V5" s="3">
        <v>355903</v>
      </c>
      <c r="W5" s="3">
        <v>384596</v>
      </c>
      <c r="X5" s="3">
        <v>404899</v>
      </c>
      <c r="Y5" s="3">
        <v>412236</v>
      </c>
      <c r="Z5" s="3">
        <v>378740</v>
      </c>
      <c r="AA5" s="3">
        <v>460548</v>
      </c>
      <c r="AB5" s="3">
        <v>558168</v>
      </c>
      <c r="AC5" s="3">
        <v>515215</v>
      </c>
      <c r="AD5" s="3">
        <v>511511</v>
      </c>
      <c r="AE5" s="3">
        <v>515151</v>
      </c>
      <c r="AF5" s="3">
        <v>535745</v>
      </c>
      <c r="AG5" s="3">
        <v>548110</v>
      </c>
      <c r="AH5" s="3">
        <v>569855</v>
      </c>
      <c r="AI5" s="3">
        <v>593356</v>
      </c>
      <c r="AJ5" s="3">
        <v>616223</v>
      </c>
      <c r="AK5" s="3">
        <v>640490</v>
      </c>
    </row>
    <row r="6" spans="1:37" x14ac:dyDescent="0.3">
      <c r="A6" s="21" t="s">
        <v>235</v>
      </c>
      <c r="B6" s="3">
        <v>124330</v>
      </c>
      <c r="C6" s="3">
        <v>136483</v>
      </c>
      <c r="D6" s="3">
        <v>140818</v>
      </c>
      <c r="E6" s="3">
        <v>146855</v>
      </c>
      <c r="F6" s="3">
        <v>178650</v>
      </c>
      <c r="G6" s="3">
        <v>179655</v>
      </c>
      <c r="H6" s="3">
        <v>178310</v>
      </c>
      <c r="I6" s="3">
        <v>179066</v>
      </c>
      <c r="J6" s="3">
        <v>195937</v>
      </c>
      <c r="K6" s="3">
        <v>217790</v>
      </c>
      <c r="L6" s="3">
        <v>236588</v>
      </c>
      <c r="M6" s="3">
        <v>254851</v>
      </c>
      <c r="N6" s="3">
        <v>282126</v>
      </c>
      <c r="O6" s="3">
        <v>231391</v>
      </c>
      <c r="P6" s="3">
        <v>270014</v>
      </c>
      <c r="Q6" s="3">
        <v>304868</v>
      </c>
      <c r="R6" s="3">
        <v>311645</v>
      </c>
      <c r="S6" s="3">
        <v>310414</v>
      </c>
      <c r="T6" s="3">
        <v>320626</v>
      </c>
      <c r="U6" s="3">
        <v>320758</v>
      </c>
      <c r="V6" s="3">
        <v>340372</v>
      </c>
      <c r="W6" s="3">
        <v>370066</v>
      </c>
      <c r="X6" s="3">
        <v>389624</v>
      </c>
      <c r="Y6" s="3">
        <v>395533</v>
      </c>
      <c r="Z6" s="3">
        <v>360581</v>
      </c>
      <c r="AA6" s="3">
        <v>444090</v>
      </c>
      <c r="AB6" s="3">
        <v>543110</v>
      </c>
      <c r="AC6" s="3">
        <v>500597</v>
      </c>
      <c r="AD6" s="3">
        <v>494101</v>
      </c>
      <c r="AE6" s="3">
        <v>497229</v>
      </c>
      <c r="AF6" s="3">
        <v>516655</v>
      </c>
      <c r="AG6" s="3">
        <v>528113</v>
      </c>
      <c r="AH6" s="3">
        <v>548962</v>
      </c>
      <c r="AI6" s="3">
        <v>572024</v>
      </c>
      <c r="AJ6" s="3">
        <v>596149</v>
      </c>
      <c r="AK6" s="3">
        <v>620017</v>
      </c>
    </row>
    <row r="7" spans="1:37" x14ac:dyDescent="0.3">
      <c r="A7" s="21" t="s">
        <v>236</v>
      </c>
      <c r="B7" s="3">
        <v>826</v>
      </c>
      <c r="C7" s="3">
        <v>931</v>
      </c>
      <c r="D7" s="3">
        <v>965</v>
      </c>
      <c r="E7" s="3">
        <v>1105</v>
      </c>
      <c r="F7" s="3">
        <v>1188</v>
      </c>
      <c r="G7" s="3">
        <v>1354</v>
      </c>
      <c r="H7" s="3">
        <v>1441</v>
      </c>
      <c r="I7" s="3">
        <v>1555</v>
      </c>
      <c r="J7" s="3">
        <v>1607</v>
      </c>
      <c r="K7" s="3">
        <v>1619</v>
      </c>
      <c r="L7" s="3">
        <v>1731</v>
      </c>
      <c r="M7" s="3">
        <v>1986</v>
      </c>
      <c r="N7" s="3">
        <v>2361</v>
      </c>
      <c r="O7" s="3">
        <v>2634</v>
      </c>
      <c r="P7" s="3">
        <v>2677</v>
      </c>
      <c r="Q7" s="3">
        <v>2726</v>
      </c>
      <c r="R7" s="3">
        <v>2853</v>
      </c>
      <c r="S7" s="3">
        <v>2884</v>
      </c>
      <c r="T7" s="3">
        <v>2873</v>
      </c>
      <c r="U7" s="3">
        <v>2933</v>
      </c>
      <c r="V7" s="3">
        <v>3067</v>
      </c>
      <c r="W7" s="3">
        <v>3083</v>
      </c>
      <c r="X7" s="3">
        <v>3193</v>
      </c>
      <c r="Y7" s="3">
        <v>3297</v>
      </c>
      <c r="Z7" s="3">
        <v>3300</v>
      </c>
      <c r="AA7" s="3">
        <v>3487</v>
      </c>
      <c r="AB7" s="3">
        <v>3697</v>
      </c>
      <c r="AC7" s="3">
        <v>3999</v>
      </c>
      <c r="AD7" s="3">
        <v>4065</v>
      </c>
      <c r="AE7" s="3">
        <v>4356</v>
      </c>
      <c r="AF7" s="3">
        <v>4448</v>
      </c>
      <c r="AG7" s="3">
        <v>4602</v>
      </c>
      <c r="AH7" s="3">
        <v>4700</v>
      </c>
      <c r="AI7" s="3">
        <v>4792</v>
      </c>
      <c r="AJ7" s="3">
        <v>4888</v>
      </c>
      <c r="AK7" s="3">
        <v>4980</v>
      </c>
    </row>
    <row r="8" spans="1:37" x14ac:dyDescent="0.3">
      <c r="A8" s="21" t="s">
        <v>237</v>
      </c>
      <c r="B8" s="3">
        <v>885</v>
      </c>
      <c r="C8" s="3">
        <v>997</v>
      </c>
      <c r="D8" s="3">
        <v>1012</v>
      </c>
      <c r="E8" s="3">
        <v>954</v>
      </c>
      <c r="F8" s="3">
        <v>1035</v>
      </c>
      <c r="G8" s="3">
        <v>1011</v>
      </c>
      <c r="H8" s="3">
        <v>1030</v>
      </c>
      <c r="I8" s="3">
        <v>1144</v>
      </c>
      <c r="J8" s="3">
        <v>1180</v>
      </c>
      <c r="K8" s="3">
        <v>1265</v>
      </c>
      <c r="L8" s="3">
        <v>1300</v>
      </c>
      <c r="M8" s="3">
        <v>1450</v>
      </c>
      <c r="N8" s="3">
        <v>1620</v>
      </c>
      <c r="O8" s="3">
        <v>1204</v>
      </c>
      <c r="P8" s="3">
        <v>1275</v>
      </c>
      <c r="Q8" s="3">
        <v>1293</v>
      </c>
      <c r="R8" s="3">
        <v>1256</v>
      </c>
      <c r="S8" s="3">
        <v>1178</v>
      </c>
      <c r="T8" s="3">
        <v>1241</v>
      </c>
      <c r="U8" s="3">
        <v>1617</v>
      </c>
      <c r="V8" s="3">
        <v>1827</v>
      </c>
      <c r="W8" s="3">
        <v>1837</v>
      </c>
      <c r="X8" s="3">
        <v>1917</v>
      </c>
      <c r="Y8" s="3">
        <v>2001</v>
      </c>
      <c r="Z8" s="3">
        <v>1846</v>
      </c>
      <c r="AA8" s="3">
        <v>1951</v>
      </c>
      <c r="AB8" s="3">
        <v>2686</v>
      </c>
      <c r="AC8" s="3">
        <v>2212</v>
      </c>
      <c r="AD8" s="3">
        <v>1799</v>
      </c>
      <c r="AE8" s="3">
        <v>2087</v>
      </c>
      <c r="AF8" s="3">
        <v>2121</v>
      </c>
      <c r="AG8" s="3">
        <v>2181</v>
      </c>
      <c r="AH8" s="3">
        <v>2255</v>
      </c>
      <c r="AI8" s="3">
        <v>2342</v>
      </c>
      <c r="AJ8" s="3">
        <v>2431</v>
      </c>
      <c r="AK8" s="3">
        <v>2521</v>
      </c>
    </row>
    <row r="9" spans="1:37" x14ac:dyDescent="0.3">
      <c r="A9" s="21" t="s">
        <v>238</v>
      </c>
      <c r="B9" s="3">
        <v>2594</v>
      </c>
      <c r="C9" s="3">
        <v>3194</v>
      </c>
      <c r="D9" s="3">
        <v>3300</v>
      </c>
      <c r="E9" s="3">
        <v>2908</v>
      </c>
      <c r="F9" s="3">
        <v>3949</v>
      </c>
      <c r="G9" s="3">
        <v>1952</v>
      </c>
      <c r="H9" s="3">
        <v>1440</v>
      </c>
      <c r="I9" s="3">
        <v>1740</v>
      </c>
      <c r="J9" s="3">
        <v>242</v>
      </c>
      <c r="K9" s="3">
        <v>-214</v>
      </c>
      <c r="L9" s="3">
        <v>448</v>
      </c>
      <c r="M9" s="3">
        <v>630</v>
      </c>
      <c r="N9" s="3">
        <v>4510</v>
      </c>
      <c r="O9" s="3">
        <v>2037</v>
      </c>
      <c r="P9" s="3">
        <v>472</v>
      </c>
      <c r="Q9" s="3">
        <v>-4416</v>
      </c>
      <c r="R9" s="3">
        <v>3526</v>
      </c>
      <c r="S9" s="3">
        <v>3567</v>
      </c>
      <c r="T9" s="3">
        <v>2591</v>
      </c>
      <c r="U9" s="3">
        <v>311</v>
      </c>
      <c r="V9" s="3">
        <v>-1645</v>
      </c>
      <c r="W9" s="3">
        <v>-1852</v>
      </c>
      <c r="X9" s="3">
        <v>-1360</v>
      </c>
      <c r="Y9" s="3">
        <v>-2173</v>
      </c>
      <c r="Z9" s="3">
        <v>-2536</v>
      </c>
      <c r="AA9" s="3">
        <v>-145</v>
      </c>
      <c r="AB9" s="3">
        <v>1406</v>
      </c>
      <c r="AC9" s="3">
        <v>4138</v>
      </c>
      <c r="AD9" s="3">
        <v>2727</v>
      </c>
      <c r="AE9" s="3">
        <v>1023</v>
      </c>
      <c r="AF9" s="3">
        <v>1166</v>
      </c>
      <c r="AG9" s="3">
        <v>1360</v>
      </c>
      <c r="AH9" s="3">
        <v>1410</v>
      </c>
      <c r="AI9" s="3">
        <v>1456</v>
      </c>
      <c r="AJ9" s="3">
        <v>1499</v>
      </c>
      <c r="AK9" s="3">
        <v>1537</v>
      </c>
    </row>
    <row r="10" spans="1:37" x14ac:dyDescent="0.3">
      <c r="A10" s="21" t="s">
        <v>239</v>
      </c>
      <c r="B10" s="3">
        <v>2328</v>
      </c>
      <c r="C10" s="3">
        <v>2288</v>
      </c>
      <c r="D10" s="3">
        <v>2535</v>
      </c>
      <c r="E10" s="3">
        <v>2618</v>
      </c>
      <c r="F10" s="3">
        <v>2726</v>
      </c>
      <c r="G10" s="3">
        <v>2408</v>
      </c>
      <c r="H10" s="3">
        <v>2633</v>
      </c>
      <c r="I10" s="3">
        <v>3385</v>
      </c>
      <c r="J10" s="3">
        <v>3818</v>
      </c>
      <c r="K10" s="3">
        <v>3814</v>
      </c>
      <c r="L10" s="3">
        <v>3806</v>
      </c>
      <c r="M10" s="3">
        <v>3200</v>
      </c>
      <c r="N10" s="3">
        <v>4308</v>
      </c>
      <c r="O10" s="3">
        <v>3745</v>
      </c>
      <c r="P10" s="3">
        <v>2839</v>
      </c>
      <c r="Q10" s="3">
        <v>3523</v>
      </c>
      <c r="R10" s="3">
        <v>3245</v>
      </c>
      <c r="S10" s="3">
        <v>4338</v>
      </c>
      <c r="T10" s="3">
        <v>4081</v>
      </c>
      <c r="U10" s="3">
        <v>4801</v>
      </c>
      <c r="V10" s="3">
        <v>5033</v>
      </c>
      <c r="W10" s="3">
        <v>3749</v>
      </c>
      <c r="X10" s="3">
        <v>4462</v>
      </c>
      <c r="Y10" s="3">
        <v>4822</v>
      </c>
      <c r="Z10" s="3">
        <v>5782</v>
      </c>
      <c r="AA10" s="3">
        <v>6118</v>
      </c>
      <c r="AB10" s="3">
        <v>5426</v>
      </c>
      <c r="AC10" s="3">
        <v>7285</v>
      </c>
      <c r="AD10" s="3">
        <v>8975</v>
      </c>
      <c r="AE10" s="3">
        <v>7039</v>
      </c>
      <c r="AF10" s="3">
        <v>8074</v>
      </c>
      <c r="AG10" s="3">
        <v>8750</v>
      </c>
      <c r="AH10" s="3">
        <v>9371</v>
      </c>
      <c r="AI10" s="3">
        <v>9538</v>
      </c>
      <c r="AJ10" s="3">
        <v>7977</v>
      </c>
      <c r="AK10" s="3">
        <v>8086</v>
      </c>
    </row>
    <row r="11" spans="1:37" x14ac:dyDescent="0.3">
      <c r="A11" s="21" t="s">
        <v>240</v>
      </c>
      <c r="B11" s="3">
        <v>764</v>
      </c>
      <c r="C11" s="3">
        <v>797</v>
      </c>
      <c r="D11" s="3">
        <v>863</v>
      </c>
      <c r="E11" s="3">
        <v>960</v>
      </c>
      <c r="F11" s="3">
        <v>1024</v>
      </c>
      <c r="G11" s="3">
        <v>1120</v>
      </c>
      <c r="H11" s="3">
        <v>1224</v>
      </c>
      <c r="I11" s="3">
        <v>1354</v>
      </c>
      <c r="J11" s="3">
        <v>1456</v>
      </c>
      <c r="K11" s="3">
        <v>1561</v>
      </c>
      <c r="L11" s="3">
        <v>1675</v>
      </c>
      <c r="M11" s="3">
        <v>1848</v>
      </c>
      <c r="N11" s="3">
        <v>2019</v>
      </c>
      <c r="O11" s="3">
        <v>2167</v>
      </c>
      <c r="P11" s="3">
        <v>2281</v>
      </c>
      <c r="Q11" s="3">
        <v>2371</v>
      </c>
      <c r="R11" s="3">
        <v>2440</v>
      </c>
      <c r="S11" s="3">
        <v>2526</v>
      </c>
      <c r="T11" s="3">
        <v>2552</v>
      </c>
      <c r="U11" s="3">
        <v>2668</v>
      </c>
      <c r="V11" s="3">
        <v>2746</v>
      </c>
      <c r="W11" s="3">
        <v>2725</v>
      </c>
      <c r="X11" s="3">
        <v>2793</v>
      </c>
      <c r="Y11" s="3">
        <v>2933</v>
      </c>
      <c r="Z11" s="3">
        <v>3028</v>
      </c>
      <c r="AA11" s="3">
        <v>3028</v>
      </c>
      <c r="AB11" s="3">
        <v>3071</v>
      </c>
      <c r="AC11" s="3">
        <v>3197</v>
      </c>
      <c r="AD11" s="3">
        <v>3280</v>
      </c>
      <c r="AE11" s="3">
        <v>3378</v>
      </c>
      <c r="AF11" s="3">
        <v>3461</v>
      </c>
      <c r="AG11" s="3">
        <v>3586</v>
      </c>
      <c r="AH11" s="3">
        <v>3666</v>
      </c>
      <c r="AI11" s="3">
        <v>3740</v>
      </c>
      <c r="AJ11" s="3">
        <v>3817</v>
      </c>
      <c r="AK11" s="3">
        <v>3890</v>
      </c>
    </row>
    <row r="12" spans="1:37" x14ac:dyDescent="0.3">
      <c r="A12" s="21" t="s">
        <v>241</v>
      </c>
      <c r="B12" s="3">
        <v>498</v>
      </c>
      <c r="C12" s="3">
        <v>507</v>
      </c>
      <c r="D12" s="3">
        <v>525</v>
      </c>
      <c r="E12" s="3">
        <v>485</v>
      </c>
      <c r="F12" s="3">
        <v>493</v>
      </c>
      <c r="G12" s="3">
        <v>496</v>
      </c>
      <c r="H12" s="3">
        <v>568</v>
      </c>
      <c r="I12" s="3">
        <v>587</v>
      </c>
      <c r="J12" s="3">
        <v>604</v>
      </c>
      <c r="K12" s="3">
        <v>645</v>
      </c>
      <c r="L12" s="3">
        <v>650</v>
      </c>
      <c r="M12" s="3">
        <v>643</v>
      </c>
      <c r="N12" s="3">
        <v>687</v>
      </c>
      <c r="O12" s="3">
        <v>760</v>
      </c>
      <c r="P12" s="3">
        <v>742</v>
      </c>
      <c r="Q12" s="3">
        <v>772</v>
      </c>
      <c r="R12" s="3">
        <v>814</v>
      </c>
      <c r="S12" s="3">
        <v>1013</v>
      </c>
      <c r="T12" s="3">
        <v>1048</v>
      </c>
      <c r="U12" s="3">
        <v>1083</v>
      </c>
      <c r="V12" s="3">
        <v>1152</v>
      </c>
      <c r="W12" s="3">
        <v>1240</v>
      </c>
      <c r="X12" s="3">
        <v>1479</v>
      </c>
      <c r="Y12" s="3">
        <v>1368</v>
      </c>
      <c r="Z12" s="3">
        <v>1443</v>
      </c>
      <c r="AA12" s="3">
        <v>1577</v>
      </c>
      <c r="AB12" s="3">
        <v>1427</v>
      </c>
      <c r="AC12" s="3">
        <v>1873</v>
      </c>
      <c r="AD12" s="3">
        <v>2082</v>
      </c>
      <c r="AE12" s="3">
        <v>2150</v>
      </c>
      <c r="AF12" s="3">
        <v>2217</v>
      </c>
      <c r="AG12" s="3">
        <v>2301</v>
      </c>
      <c r="AH12" s="3">
        <v>2374</v>
      </c>
      <c r="AI12" s="3">
        <v>2440</v>
      </c>
      <c r="AJ12" s="3">
        <v>2523</v>
      </c>
      <c r="AK12" s="3">
        <v>2596</v>
      </c>
    </row>
    <row r="13" spans="1:37" x14ac:dyDescent="0.3">
      <c r="A13" s="21" t="s">
        <v>242</v>
      </c>
      <c r="B13" s="3">
        <v>0</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60</v>
      </c>
      <c r="W13" s="3">
        <v>45</v>
      </c>
      <c r="X13" s="3">
        <v>70</v>
      </c>
      <c r="Y13" s="3">
        <v>111</v>
      </c>
      <c r="Z13" s="3">
        <v>224</v>
      </c>
      <c r="AA13" s="3">
        <v>152</v>
      </c>
      <c r="AB13" s="3">
        <v>156</v>
      </c>
      <c r="AC13" s="3">
        <v>189</v>
      </c>
      <c r="AD13" s="3">
        <v>-64</v>
      </c>
      <c r="AE13" s="3">
        <v>-64</v>
      </c>
      <c r="AF13" s="3">
        <v>-64</v>
      </c>
      <c r="AG13" s="3">
        <v>-64</v>
      </c>
      <c r="AH13" s="3">
        <v>-64</v>
      </c>
      <c r="AI13" s="3">
        <v>-64</v>
      </c>
      <c r="AJ13" s="3">
        <v>-64</v>
      </c>
      <c r="AK13" s="3">
        <v>-64</v>
      </c>
    </row>
    <row r="14" spans="1:37" x14ac:dyDescent="0.3">
      <c r="A14" s="20" t="s">
        <v>243</v>
      </c>
      <c r="B14" s="3">
        <v>136117</v>
      </c>
      <c r="C14" s="3">
        <v>150321</v>
      </c>
      <c r="D14" s="3">
        <v>154625</v>
      </c>
      <c r="E14" s="3">
        <v>162419</v>
      </c>
      <c r="F14" s="3">
        <v>192227</v>
      </c>
      <c r="G14" s="3">
        <v>196094</v>
      </c>
      <c r="H14" s="3">
        <v>200934</v>
      </c>
      <c r="I14" s="3">
        <v>202168</v>
      </c>
      <c r="J14" s="3">
        <v>218882</v>
      </c>
      <c r="K14" s="3">
        <v>239087</v>
      </c>
      <c r="L14" s="3">
        <v>258814</v>
      </c>
      <c r="M14" s="3">
        <v>278674</v>
      </c>
      <c r="N14" s="3">
        <v>294654</v>
      </c>
      <c r="O14" s="3">
        <v>249446</v>
      </c>
      <c r="P14" s="3">
        <v>286821</v>
      </c>
      <c r="Q14" s="3">
        <v>315439</v>
      </c>
      <c r="R14" s="3">
        <v>322406</v>
      </c>
      <c r="S14" s="3">
        <v>323573</v>
      </c>
      <c r="T14" s="3">
        <v>334059</v>
      </c>
      <c r="U14" s="3">
        <v>336467</v>
      </c>
      <c r="V14" s="3">
        <v>354473</v>
      </c>
      <c r="W14" s="3">
        <v>383781</v>
      </c>
      <c r="X14" s="3">
        <v>398197</v>
      </c>
      <c r="Y14" s="3">
        <v>412839</v>
      </c>
      <c r="Z14" s="3">
        <v>382991</v>
      </c>
      <c r="AA14" s="3">
        <v>469699</v>
      </c>
      <c r="AB14" s="3">
        <v>546714</v>
      </c>
      <c r="AC14" s="3">
        <v>515582</v>
      </c>
      <c r="AD14" s="3">
        <v>509169</v>
      </c>
      <c r="AE14" s="3">
        <v>502439</v>
      </c>
      <c r="AF14" s="3">
        <v>517830</v>
      </c>
      <c r="AG14" s="3">
        <v>531355</v>
      </c>
      <c r="AH14" s="3">
        <v>550995</v>
      </c>
      <c r="AI14" s="3">
        <v>572283</v>
      </c>
      <c r="AJ14" s="3">
        <v>594922</v>
      </c>
      <c r="AK14" s="3">
        <v>617930</v>
      </c>
    </row>
    <row r="15" spans="1:37" x14ac:dyDescent="0.3">
      <c r="A15" s="21" t="s">
        <v>244</v>
      </c>
      <c r="B15" s="3">
        <v>131127</v>
      </c>
      <c r="C15" s="3">
        <v>145188</v>
      </c>
      <c r="D15" s="3">
        <v>149285</v>
      </c>
      <c r="E15" s="3">
        <v>156441</v>
      </c>
      <c r="F15" s="3">
        <v>185994</v>
      </c>
      <c r="G15" s="3">
        <v>189295</v>
      </c>
      <c r="H15" s="3">
        <v>193551</v>
      </c>
      <c r="I15" s="3">
        <v>194131</v>
      </c>
      <c r="J15" s="3">
        <v>210464</v>
      </c>
      <c r="K15" s="3">
        <v>230305</v>
      </c>
      <c r="L15" s="3">
        <v>249733</v>
      </c>
      <c r="M15" s="3">
        <v>269060</v>
      </c>
      <c r="N15" s="3">
        <v>284492</v>
      </c>
      <c r="O15" s="3">
        <v>238532</v>
      </c>
      <c r="P15" s="3">
        <v>275440</v>
      </c>
      <c r="Q15" s="3">
        <v>304024</v>
      </c>
      <c r="R15" s="3">
        <v>310538</v>
      </c>
      <c r="S15" s="3">
        <v>311397</v>
      </c>
      <c r="T15" s="3">
        <v>321523</v>
      </c>
      <c r="U15" s="3">
        <v>323612</v>
      </c>
      <c r="V15" s="3">
        <v>341138</v>
      </c>
      <c r="W15" s="3">
        <v>369998</v>
      </c>
      <c r="X15" s="3">
        <v>383598</v>
      </c>
      <c r="Y15" s="3">
        <v>397783</v>
      </c>
      <c r="Z15" s="3">
        <v>367276</v>
      </c>
      <c r="AA15" s="3">
        <v>453547</v>
      </c>
      <c r="AB15" s="3">
        <v>529996</v>
      </c>
      <c r="AC15" s="3">
        <v>498425</v>
      </c>
      <c r="AD15" s="3">
        <v>491708</v>
      </c>
      <c r="AE15" s="3">
        <v>484445</v>
      </c>
      <c r="AF15" s="3">
        <v>499400</v>
      </c>
      <c r="AG15" s="3">
        <v>512281</v>
      </c>
      <c r="AH15" s="3">
        <v>531485</v>
      </c>
      <c r="AI15" s="3">
        <v>552369</v>
      </c>
      <c r="AJ15" s="3">
        <v>574566</v>
      </c>
      <c r="AK15" s="3">
        <v>597162</v>
      </c>
    </row>
    <row r="16" spans="1:37" x14ac:dyDescent="0.3">
      <c r="A16" s="21" t="s">
        <v>236</v>
      </c>
      <c r="B16" s="3">
        <v>3258</v>
      </c>
      <c r="C16" s="3">
        <v>3358</v>
      </c>
      <c r="D16" s="3">
        <v>3583</v>
      </c>
      <c r="E16" s="3">
        <v>3938</v>
      </c>
      <c r="F16" s="3">
        <v>4187</v>
      </c>
      <c r="G16" s="3">
        <v>4624</v>
      </c>
      <c r="H16" s="3">
        <v>5043</v>
      </c>
      <c r="I16" s="3">
        <v>5463</v>
      </c>
      <c r="J16" s="3">
        <v>5854</v>
      </c>
      <c r="K16" s="3">
        <v>6080</v>
      </c>
      <c r="L16" s="3">
        <v>6467</v>
      </c>
      <c r="M16" s="3">
        <v>6909</v>
      </c>
      <c r="N16" s="3">
        <v>7355</v>
      </c>
      <c r="O16" s="3">
        <v>7982</v>
      </c>
      <c r="P16" s="3">
        <v>8323</v>
      </c>
      <c r="Q16" s="3">
        <v>8413</v>
      </c>
      <c r="R16" s="3">
        <v>8699</v>
      </c>
      <c r="S16" s="3">
        <v>8875</v>
      </c>
      <c r="T16" s="3">
        <v>9115</v>
      </c>
      <c r="U16" s="3">
        <v>9384</v>
      </c>
      <c r="V16" s="3">
        <v>9723</v>
      </c>
      <c r="W16" s="3">
        <v>10095</v>
      </c>
      <c r="X16" s="3">
        <v>10427</v>
      </c>
      <c r="Y16" s="3">
        <v>10868</v>
      </c>
      <c r="Z16" s="3">
        <v>11184</v>
      </c>
      <c r="AA16" s="3">
        <v>11454</v>
      </c>
      <c r="AB16" s="3">
        <v>11865</v>
      </c>
      <c r="AC16" s="3">
        <v>12130</v>
      </c>
      <c r="AD16" s="3">
        <v>12576</v>
      </c>
      <c r="AE16" s="3">
        <v>12950</v>
      </c>
      <c r="AF16" s="3">
        <v>13269</v>
      </c>
      <c r="AG16" s="3">
        <v>13748</v>
      </c>
      <c r="AH16" s="3">
        <v>14053</v>
      </c>
      <c r="AI16" s="3">
        <v>14337</v>
      </c>
      <c r="AJ16" s="3">
        <v>14632</v>
      </c>
      <c r="AK16" s="3">
        <v>14914</v>
      </c>
    </row>
    <row r="17" spans="1:37" x14ac:dyDescent="0.3">
      <c r="A17" s="21" t="s">
        <v>146</v>
      </c>
      <c r="B17" s="3">
        <v>842</v>
      </c>
      <c r="C17" s="3">
        <v>828</v>
      </c>
      <c r="D17" s="3">
        <v>743</v>
      </c>
      <c r="E17" s="3">
        <v>858</v>
      </c>
      <c r="F17" s="3">
        <v>694</v>
      </c>
      <c r="G17" s="3">
        <v>734</v>
      </c>
      <c r="H17" s="3">
        <v>711</v>
      </c>
      <c r="I17" s="3">
        <v>866</v>
      </c>
      <c r="J17" s="3">
        <v>812</v>
      </c>
      <c r="K17" s="3">
        <v>891</v>
      </c>
      <c r="L17" s="3">
        <v>792</v>
      </c>
      <c r="M17" s="3">
        <v>676</v>
      </c>
      <c r="N17" s="3">
        <v>672</v>
      </c>
      <c r="O17" s="3">
        <v>632</v>
      </c>
      <c r="P17" s="3">
        <v>692</v>
      </c>
      <c r="Q17" s="3">
        <v>622</v>
      </c>
      <c r="R17" s="3">
        <v>643</v>
      </c>
      <c r="S17" s="3">
        <v>685</v>
      </c>
      <c r="T17" s="3">
        <v>624</v>
      </c>
      <c r="U17" s="3">
        <v>703</v>
      </c>
      <c r="V17" s="3">
        <v>658</v>
      </c>
      <c r="W17" s="3">
        <v>630</v>
      </c>
      <c r="X17" s="3">
        <v>684</v>
      </c>
      <c r="Y17" s="3">
        <v>645</v>
      </c>
      <c r="Z17" s="3">
        <v>649</v>
      </c>
      <c r="AA17" s="3">
        <v>654</v>
      </c>
      <c r="AB17" s="3">
        <v>691</v>
      </c>
      <c r="AC17" s="3">
        <v>704</v>
      </c>
      <c r="AD17" s="3">
        <v>691</v>
      </c>
      <c r="AE17" s="3">
        <v>691</v>
      </c>
      <c r="AF17" s="3">
        <v>691</v>
      </c>
      <c r="AG17" s="3">
        <v>691</v>
      </c>
      <c r="AH17" s="3">
        <v>691</v>
      </c>
      <c r="AI17" s="3">
        <v>691</v>
      </c>
      <c r="AJ17" s="3">
        <v>691</v>
      </c>
      <c r="AK17" s="3">
        <v>691</v>
      </c>
    </row>
    <row r="18" spans="1:37" x14ac:dyDescent="0.3">
      <c r="A18" s="21" t="s">
        <v>245</v>
      </c>
      <c r="B18" s="3">
        <v>156</v>
      </c>
      <c r="C18" s="3">
        <v>170</v>
      </c>
      <c r="D18" s="3">
        <v>176</v>
      </c>
      <c r="E18" s="3">
        <v>252</v>
      </c>
      <c r="F18" s="3">
        <v>341</v>
      </c>
      <c r="G18" s="3">
        <v>303</v>
      </c>
      <c r="H18" s="3">
        <v>359</v>
      </c>
      <c r="I18" s="3">
        <v>270</v>
      </c>
      <c r="J18" s="3">
        <v>249</v>
      </c>
      <c r="K18" s="3">
        <v>197</v>
      </c>
      <c r="L18" s="3">
        <v>117</v>
      </c>
      <c r="M18" s="3">
        <v>160</v>
      </c>
      <c r="N18" s="3">
        <v>59</v>
      </c>
      <c r="O18" s="3">
        <v>40</v>
      </c>
      <c r="P18" s="3">
        <v>10</v>
      </c>
      <c r="Q18" s="3">
        <v>-24</v>
      </c>
      <c r="R18" s="3">
        <v>6</v>
      </c>
      <c r="S18" s="3">
        <v>-22</v>
      </c>
      <c r="T18" s="3">
        <v>73</v>
      </c>
      <c r="U18" s="3">
        <v>-16</v>
      </c>
      <c r="V18" s="3">
        <v>32</v>
      </c>
      <c r="W18" s="3">
        <v>-12</v>
      </c>
      <c r="X18" s="3">
        <v>55</v>
      </c>
      <c r="Y18" s="3">
        <v>44</v>
      </c>
      <c r="Z18" s="3">
        <v>96</v>
      </c>
      <c r="AA18" s="3">
        <v>69</v>
      </c>
      <c r="AB18" s="3">
        <v>-5</v>
      </c>
      <c r="AC18" s="3">
        <v>-103</v>
      </c>
      <c r="AD18" s="3">
        <v>-180</v>
      </c>
      <c r="AE18" s="3">
        <v>-212</v>
      </c>
      <c r="AF18" s="3">
        <v>-224</v>
      </c>
      <c r="AG18" s="3">
        <v>-232</v>
      </c>
      <c r="AH18" s="3">
        <v>-240</v>
      </c>
      <c r="AI18" s="3">
        <v>-248</v>
      </c>
      <c r="AJ18" s="3">
        <v>-255</v>
      </c>
      <c r="AK18" s="3">
        <v>-263</v>
      </c>
    </row>
    <row r="19" spans="1:37" x14ac:dyDescent="0.3">
      <c r="A19" s="21" t="s">
        <v>246</v>
      </c>
      <c r="B19" s="3">
        <v>219</v>
      </c>
      <c r="C19" s="3">
        <v>242</v>
      </c>
      <c r="D19" s="3">
        <v>264</v>
      </c>
      <c r="E19" s="3">
        <v>298</v>
      </c>
      <c r="F19" s="3">
        <v>326</v>
      </c>
      <c r="G19" s="3">
        <v>385</v>
      </c>
      <c r="H19" s="3">
        <v>428</v>
      </c>
      <c r="I19" s="3">
        <v>454</v>
      </c>
      <c r="J19" s="3">
        <v>481</v>
      </c>
      <c r="K19" s="3">
        <v>505</v>
      </c>
      <c r="L19" s="3">
        <v>531</v>
      </c>
      <c r="M19" s="3">
        <v>612</v>
      </c>
      <c r="N19" s="3">
        <v>729</v>
      </c>
      <c r="O19" s="3">
        <v>745</v>
      </c>
      <c r="P19" s="3">
        <v>759</v>
      </c>
      <c r="Q19" s="3">
        <v>771</v>
      </c>
      <c r="R19" s="3">
        <v>814</v>
      </c>
      <c r="S19" s="3">
        <v>848</v>
      </c>
      <c r="T19" s="3">
        <v>839</v>
      </c>
      <c r="U19" s="3">
        <v>855</v>
      </c>
      <c r="V19" s="3">
        <v>924</v>
      </c>
      <c r="W19" s="3">
        <v>965</v>
      </c>
      <c r="X19" s="3">
        <v>1201</v>
      </c>
      <c r="Y19" s="3">
        <v>1158</v>
      </c>
      <c r="Z19" s="3">
        <v>1258</v>
      </c>
      <c r="AA19" s="3">
        <v>1279</v>
      </c>
      <c r="AB19" s="3">
        <v>1333</v>
      </c>
      <c r="AC19" s="3">
        <v>1440</v>
      </c>
      <c r="AD19" s="3">
        <v>1276</v>
      </c>
      <c r="AE19" s="3">
        <v>1368</v>
      </c>
      <c r="AF19" s="3">
        <v>1397</v>
      </c>
      <c r="AG19" s="3">
        <v>1445</v>
      </c>
      <c r="AH19" s="3">
        <v>1476</v>
      </c>
      <c r="AI19" s="3">
        <v>1505</v>
      </c>
      <c r="AJ19" s="3">
        <v>1535</v>
      </c>
      <c r="AK19" s="3">
        <v>1564</v>
      </c>
    </row>
    <row r="20" spans="1:37" x14ac:dyDescent="0.3">
      <c r="A20" s="21" t="s">
        <v>247</v>
      </c>
      <c r="B20" s="3">
        <v>515</v>
      </c>
      <c r="C20" s="3">
        <v>536</v>
      </c>
      <c r="D20" s="3">
        <v>574</v>
      </c>
      <c r="E20" s="3">
        <v>632</v>
      </c>
      <c r="F20" s="3">
        <v>686</v>
      </c>
      <c r="G20" s="3">
        <v>752</v>
      </c>
      <c r="H20" s="3">
        <v>843</v>
      </c>
      <c r="I20" s="3">
        <v>984</v>
      </c>
      <c r="J20" s="3">
        <v>1023</v>
      </c>
      <c r="K20" s="3">
        <v>1109</v>
      </c>
      <c r="L20" s="3">
        <v>1175</v>
      </c>
      <c r="M20" s="3">
        <v>1257</v>
      </c>
      <c r="N20" s="3">
        <v>1347</v>
      </c>
      <c r="O20" s="3">
        <v>1515</v>
      </c>
      <c r="P20" s="3">
        <v>1596</v>
      </c>
      <c r="Q20" s="3">
        <v>1633</v>
      </c>
      <c r="R20" s="3">
        <v>1706</v>
      </c>
      <c r="S20" s="3">
        <v>1789</v>
      </c>
      <c r="T20" s="3">
        <v>1884</v>
      </c>
      <c r="U20" s="3">
        <v>1929</v>
      </c>
      <c r="V20" s="3">
        <v>1999</v>
      </c>
      <c r="W20" s="3">
        <v>2104</v>
      </c>
      <c r="X20" s="3">
        <v>2231</v>
      </c>
      <c r="Y20" s="3">
        <v>2340</v>
      </c>
      <c r="Z20" s="3">
        <v>2528</v>
      </c>
      <c r="AA20" s="3">
        <v>2697</v>
      </c>
      <c r="AB20" s="3">
        <v>2834</v>
      </c>
      <c r="AC20" s="3">
        <v>2986</v>
      </c>
      <c r="AD20" s="3">
        <v>3097</v>
      </c>
      <c r="AE20" s="3">
        <v>3198</v>
      </c>
      <c r="AF20" s="3">
        <v>3298</v>
      </c>
      <c r="AG20" s="3">
        <v>3422</v>
      </c>
      <c r="AH20" s="3">
        <v>3531</v>
      </c>
      <c r="AI20" s="3">
        <v>3629</v>
      </c>
      <c r="AJ20" s="3">
        <v>3753</v>
      </c>
      <c r="AK20" s="3">
        <v>3862</v>
      </c>
    </row>
    <row r="21" spans="1:37" x14ac:dyDescent="0.3">
      <c r="A21" s="20" t="s">
        <v>248</v>
      </c>
      <c r="B21" s="3">
        <v>9079</v>
      </c>
      <c r="C21" s="3">
        <v>11513</v>
      </c>
      <c r="D21" s="3">
        <v>11207</v>
      </c>
      <c r="E21" s="3">
        <v>12350</v>
      </c>
      <c r="F21" s="3">
        <v>11060</v>
      </c>
      <c r="G21" s="3">
        <v>12002</v>
      </c>
      <c r="H21" s="3">
        <v>17167</v>
      </c>
      <c r="I21" s="3">
        <v>16817</v>
      </c>
      <c r="J21" s="3">
        <v>14522</v>
      </c>
      <c r="K21" s="3">
        <v>12180</v>
      </c>
      <c r="L21" s="3">
        <v>13511</v>
      </c>
      <c r="M21" s="3">
        <v>15327</v>
      </c>
      <c r="N21" s="3">
        <v>6043</v>
      </c>
      <c r="O21" s="3">
        <v>9581</v>
      </c>
      <c r="P21" s="3">
        <v>7465</v>
      </c>
      <c r="Q21" s="3">
        <v>-4531</v>
      </c>
      <c r="R21" s="3">
        <v>3678</v>
      </c>
      <c r="S21" s="3">
        <v>4787</v>
      </c>
      <c r="T21" s="3">
        <v>4228</v>
      </c>
      <c r="U21" s="3">
        <v>2919</v>
      </c>
      <c r="V21" s="3">
        <v>-1430</v>
      </c>
      <c r="W21" s="3">
        <v>-815</v>
      </c>
      <c r="X21" s="3">
        <v>-6702</v>
      </c>
      <c r="Y21" s="3">
        <v>603</v>
      </c>
      <c r="Z21" s="3">
        <v>4251</v>
      </c>
      <c r="AA21" s="3">
        <v>9152</v>
      </c>
      <c r="AB21" s="3">
        <v>-11454</v>
      </c>
      <c r="AC21" s="3">
        <v>367</v>
      </c>
      <c r="AD21" s="3">
        <v>-2342</v>
      </c>
      <c r="AE21" s="3">
        <v>-12712</v>
      </c>
      <c r="AF21" s="3">
        <v>-17916</v>
      </c>
      <c r="AG21" s="3">
        <v>-16755</v>
      </c>
      <c r="AH21" s="3">
        <v>-18860</v>
      </c>
      <c r="AI21" s="3">
        <v>-21073</v>
      </c>
      <c r="AJ21" s="3">
        <v>-21301</v>
      </c>
      <c r="AK21" s="3">
        <v>-22560</v>
      </c>
    </row>
    <row r="22" spans="1:37" x14ac:dyDescent="0.3">
      <c r="A22" s="11" t="s">
        <v>249</v>
      </c>
      <c r="B22" s="3">
        <v>-123</v>
      </c>
      <c r="C22" s="3">
        <v>341</v>
      </c>
      <c r="D22" s="3">
        <v>-158</v>
      </c>
      <c r="E22" s="3">
        <v>12</v>
      </c>
      <c r="F22" s="3">
        <v>-124</v>
      </c>
      <c r="G22" s="3">
        <v>-382</v>
      </c>
      <c r="H22" s="3">
        <v>-312</v>
      </c>
      <c r="I22" s="3">
        <v>-100</v>
      </c>
      <c r="J22" s="3">
        <v>111</v>
      </c>
      <c r="K22" s="3">
        <v>-123</v>
      </c>
      <c r="L22" s="3">
        <v>246</v>
      </c>
      <c r="M22" s="3">
        <v>-982</v>
      </c>
      <c r="N22" s="3">
        <v>-1305</v>
      </c>
      <c r="O22" s="3">
        <v>-466</v>
      </c>
      <c r="P22" s="3">
        <v>-53</v>
      </c>
      <c r="Q22" s="3">
        <v>-564</v>
      </c>
      <c r="R22" s="3">
        <v>2897</v>
      </c>
      <c r="S22" s="3">
        <v>48</v>
      </c>
      <c r="T22" s="3">
        <v>-968</v>
      </c>
      <c r="U22" s="3">
        <v>80</v>
      </c>
      <c r="V22" s="3">
        <v>499</v>
      </c>
      <c r="W22" s="3">
        <v>462</v>
      </c>
      <c r="X22" s="3">
        <v>-49</v>
      </c>
      <c r="Y22" s="3">
        <v>794</v>
      </c>
      <c r="Z22" s="3">
        <v>-587</v>
      </c>
      <c r="AA22" s="3">
        <v>1136</v>
      </c>
      <c r="AB22" s="3">
        <v>989</v>
      </c>
      <c r="AC22" s="3">
        <v>1144</v>
      </c>
      <c r="AD22" s="3">
        <v>-909</v>
      </c>
      <c r="AE22" s="3">
        <v>532</v>
      </c>
      <c r="AF22" s="3">
        <v>497</v>
      </c>
      <c r="AG22" s="3">
        <v>-94</v>
      </c>
      <c r="AH22" s="3">
        <v>-415</v>
      </c>
      <c r="AI22" s="3">
        <v>-231</v>
      </c>
      <c r="AJ22" s="3">
        <v>-270</v>
      </c>
      <c r="AK22" s="3">
        <v>-471</v>
      </c>
    </row>
    <row r="23" spans="1:37" x14ac:dyDescent="0.3">
      <c r="A23" s="21" t="s">
        <v>250</v>
      </c>
      <c r="B23" s="3">
        <v>-106</v>
      </c>
      <c r="C23" s="3">
        <v>394</v>
      </c>
      <c r="D23" s="3">
        <v>-132</v>
      </c>
      <c r="E23" s="3">
        <v>-22</v>
      </c>
      <c r="F23" s="3">
        <v>-47</v>
      </c>
      <c r="G23" s="3">
        <v>-421</v>
      </c>
      <c r="H23" s="3">
        <v>-227</v>
      </c>
      <c r="I23" s="3">
        <v>-28</v>
      </c>
      <c r="J23" s="3">
        <v>192</v>
      </c>
      <c r="K23" s="3">
        <v>32</v>
      </c>
      <c r="L23" s="3">
        <v>177</v>
      </c>
      <c r="M23" s="3">
        <v>-200</v>
      </c>
      <c r="N23" s="3">
        <v>-180</v>
      </c>
      <c r="O23" s="3">
        <v>-203</v>
      </c>
      <c r="P23" s="3">
        <v>-32</v>
      </c>
      <c r="Q23" s="3">
        <v>-653</v>
      </c>
      <c r="R23" s="3">
        <v>2535</v>
      </c>
      <c r="S23" s="3">
        <v>136</v>
      </c>
      <c r="T23" s="3">
        <v>-343</v>
      </c>
      <c r="U23" s="3">
        <v>-6</v>
      </c>
      <c r="V23" s="3">
        <v>-322</v>
      </c>
      <c r="W23" s="3">
        <v>-56</v>
      </c>
      <c r="X23" s="3">
        <v>-425</v>
      </c>
      <c r="Y23" s="3">
        <v>256</v>
      </c>
      <c r="Z23" s="3">
        <v>-414</v>
      </c>
      <c r="AA23" s="3">
        <v>1113</v>
      </c>
      <c r="AB23" s="3">
        <v>1056</v>
      </c>
      <c r="AC23" s="3">
        <v>1126</v>
      </c>
      <c r="AD23" s="3">
        <v>-1012</v>
      </c>
      <c r="AE23" s="3">
        <v>119</v>
      </c>
      <c r="AF23" s="3">
        <v>84</v>
      </c>
      <c r="AG23" s="3">
        <v>-507</v>
      </c>
      <c r="AH23" s="3">
        <v>-828</v>
      </c>
      <c r="AI23" s="3">
        <v>-644</v>
      </c>
      <c r="AJ23" s="3">
        <v>-683</v>
      </c>
      <c r="AK23" s="3">
        <v>-884</v>
      </c>
    </row>
    <row r="24" spans="1:37" x14ac:dyDescent="0.3">
      <c r="A24" s="21" t="s">
        <v>251</v>
      </c>
      <c r="B24" s="3">
        <v>17</v>
      </c>
      <c r="C24" s="3">
        <v>53</v>
      </c>
      <c r="D24" s="3">
        <v>26</v>
      </c>
      <c r="E24" s="3">
        <v>-34</v>
      </c>
      <c r="F24" s="3">
        <v>77</v>
      </c>
      <c r="G24" s="3">
        <v>-39</v>
      </c>
      <c r="H24" s="3">
        <v>84</v>
      </c>
      <c r="I24" s="3">
        <v>71</v>
      </c>
      <c r="J24" s="3">
        <v>81</v>
      </c>
      <c r="K24" s="3">
        <v>155</v>
      </c>
      <c r="L24" s="3">
        <v>-69</v>
      </c>
      <c r="M24" s="3">
        <v>782</v>
      </c>
      <c r="N24" s="3">
        <v>1125</v>
      </c>
      <c r="O24" s="3">
        <v>263</v>
      </c>
      <c r="P24" s="3">
        <v>21</v>
      </c>
      <c r="Q24" s="3">
        <v>-89</v>
      </c>
      <c r="R24" s="3">
        <v>-362</v>
      </c>
      <c r="S24" s="3">
        <v>88</v>
      </c>
      <c r="T24" s="3">
        <v>625</v>
      </c>
      <c r="U24" s="3">
        <v>-86</v>
      </c>
      <c r="V24" s="3">
        <v>-821</v>
      </c>
      <c r="W24" s="3">
        <v>-518</v>
      </c>
      <c r="X24" s="3">
        <v>-376</v>
      </c>
      <c r="Y24" s="3">
        <v>-538</v>
      </c>
      <c r="Z24" s="3">
        <v>173</v>
      </c>
      <c r="AA24" s="3">
        <v>-23</v>
      </c>
      <c r="AB24" s="3">
        <v>66</v>
      </c>
      <c r="AC24" s="3">
        <v>-18</v>
      </c>
      <c r="AD24" s="3">
        <v>-103</v>
      </c>
      <c r="AE24" s="3">
        <v>-413</v>
      </c>
      <c r="AF24" s="3">
        <v>-413</v>
      </c>
      <c r="AG24" s="3">
        <v>-413</v>
      </c>
      <c r="AH24" s="3">
        <v>-413</v>
      </c>
      <c r="AI24" s="3">
        <v>-413</v>
      </c>
      <c r="AJ24" s="3">
        <v>-413</v>
      </c>
      <c r="AK24" s="3">
        <v>-413</v>
      </c>
    </row>
    <row r="25" spans="1:37" x14ac:dyDescent="0.3">
      <c r="A25" s="11" t="s">
        <v>252</v>
      </c>
      <c r="B25" s="3">
        <v>8957</v>
      </c>
      <c r="C25" s="3">
        <v>11854</v>
      </c>
      <c r="D25" s="3">
        <v>11049</v>
      </c>
      <c r="E25" s="3">
        <v>12361</v>
      </c>
      <c r="F25" s="3">
        <v>10936</v>
      </c>
      <c r="G25" s="3">
        <v>11620</v>
      </c>
      <c r="H25" s="3">
        <v>16855</v>
      </c>
      <c r="I25" s="3">
        <v>16717</v>
      </c>
      <c r="J25" s="3">
        <v>14633</v>
      </c>
      <c r="K25" s="3">
        <v>12057</v>
      </c>
      <c r="L25" s="3">
        <v>13757</v>
      </c>
      <c r="M25" s="3">
        <v>14345</v>
      </c>
      <c r="N25" s="3">
        <v>4739</v>
      </c>
      <c r="O25" s="3">
        <v>9115</v>
      </c>
      <c r="P25" s="3">
        <v>7412</v>
      </c>
      <c r="Q25" s="3">
        <v>-5094</v>
      </c>
      <c r="R25" s="3">
        <v>6576</v>
      </c>
      <c r="S25" s="3">
        <v>4835</v>
      </c>
      <c r="T25" s="3">
        <v>3260</v>
      </c>
      <c r="U25" s="3">
        <v>2999</v>
      </c>
      <c r="V25" s="3">
        <v>-931</v>
      </c>
      <c r="W25" s="3">
        <v>-354</v>
      </c>
      <c r="X25" s="3">
        <v>-6751</v>
      </c>
      <c r="Y25" s="3">
        <v>1397</v>
      </c>
      <c r="Z25" s="3">
        <v>3664</v>
      </c>
      <c r="AA25" s="3">
        <v>10288</v>
      </c>
      <c r="AB25" s="3">
        <v>-10465</v>
      </c>
      <c r="AC25" s="3">
        <v>1511</v>
      </c>
      <c r="AD25" s="3">
        <v>-3251</v>
      </c>
      <c r="AE25" s="3">
        <v>-12180</v>
      </c>
      <c r="AF25" s="3">
        <v>-17419</v>
      </c>
      <c r="AG25" s="3">
        <v>-16848</v>
      </c>
      <c r="AH25" s="3">
        <v>-19275</v>
      </c>
      <c r="AI25" s="3">
        <v>-21304</v>
      </c>
      <c r="AJ25" s="3">
        <v>-21571</v>
      </c>
      <c r="AK25" s="3">
        <v>-23031</v>
      </c>
    </row>
  </sheetData>
  <mergeCells count="2">
    <mergeCell ref="A1:AK1"/>
    <mergeCell ref="A2:AK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28A5-63FE-4FD2-AD6A-659591CA79D4}">
  <dimension ref="A1:AK29"/>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7" style="1" bestFit="1" customWidth="1"/>
    <col min="38" max="16384" width="9.109375" style="1"/>
  </cols>
  <sheetData>
    <row r="1" spans="1:37" ht="15" customHeight="1" x14ac:dyDescent="0.3">
      <c r="A1" s="28" t="s">
        <v>214</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78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215</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row>
    <row r="5" spans="1:37" x14ac:dyDescent="0.3">
      <c r="A5" s="3" t="s">
        <v>216</v>
      </c>
      <c r="B5" s="3">
        <v>169808</v>
      </c>
      <c r="C5" s="3">
        <v>174999</v>
      </c>
      <c r="D5" s="3">
        <v>181846</v>
      </c>
      <c r="E5" s="3">
        <v>187623</v>
      </c>
      <c r="F5" s="3">
        <v>197731</v>
      </c>
      <c r="G5" s="3">
        <v>207287</v>
      </c>
      <c r="H5" s="3">
        <v>210578</v>
      </c>
      <c r="I5" s="3">
        <v>212842</v>
      </c>
      <c r="J5" s="3">
        <v>218306</v>
      </c>
      <c r="K5" s="3">
        <v>226543</v>
      </c>
      <c r="L5" s="3">
        <v>237724</v>
      </c>
      <c r="M5" s="3">
        <v>250636</v>
      </c>
      <c r="N5" s="3">
        <v>264555</v>
      </c>
      <c r="O5" s="3">
        <v>261399</v>
      </c>
      <c r="P5" s="3">
        <v>267653</v>
      </c>
      <c r="Q5" s="3">
        <v>277852</v>
      </c>
      <c r="R5" s="3">
        <v>285697</v>
      </c>
      <c r="S5" s="3">
        <v>290216</v>
      </c>
      <c r="T5" s="3">
        <v>294120</v>
      </c>
      <c r="U5" s="3">
        <v>296908</v>
      </c>
      <c r="V5" s="3">
        <v>301060</v>
      </c>
      <c r="W5" s="3">
        <v>311813</v>
      </c>
      <c r="X5" s="3">
        <v>321595</v>
      </c>
      <c r="Y5" s="3">
        <v>332813</v>
      </c>
      <c r="Z5" s="3">
        <v>324957</v>
      </c>
      <c r="AA5" s="3">
        <v>348214</v>
      </c>
      <c r="AB5" s="3">
        <v>387068</v>
      </c>
      <c r="AC5" s="3">
        <v>420987</v>
      </c>
      <c r="AD5" s="3">
        <v>433240</v>
      </c>
      <c r="AE5" s="3">
        <v>449233</v>
      </c>
      <c r="AF5" s="3">
        <v>462851</v>
      </c>
      <c r="AG5" s="3">
        <v>481387</v>
      </c>
      <c r="AH5" s="3">
        <v>496536</v>
      </c>
      <c r="AI5" s="3">
        <v>511177</v>
      </c>
      <c r="AJ5" s="3">
        <v>526686</v>
      </c>
      <c r="AK5" s="3">
        <v>541637</v>
      </c>
    </row>
    <row r="6" spans="1:37" x14ac:dyDescent="0.3">
      <c r="A6" s="7" t="s">
        <v>217</v>
      </c>
      <c r="B6" s="3">
        <v>111072</v>
      </c>
      <c r="C6" s="3">
        <v>115291</v>
      </c>
      <c r="D6" s="3">
        <v>119495</v>
      </c>
      <c r="E6" s="3">
        <v>125798</v>
      </c>
      <c r="F6" s="3">
        <v>131562</v>
      </c>
      <c r="G6" s="3">
        <v>138980</v>
      </c>
      <c r="H6" s="3">
        <v>145586</v>
      </c>
      <c r="I6" s="3">
        <v>148577</v>
      </c>
      <c r="J6" s="3">
        <v>153099</v>
      </c>
      <c r="K6" s="3">
        <v>158446</v>
      </c>
      <c r="L6" s="3">
        <v>166129</v>
      </c>
      <c r="M6" s="3">
        <v>175029</v>
      </c>
      <c r="N6" s="3">
        <v>184622</v>
      </c>
      <c r="O6" s="3">
        <v>186357</v>
      </c>
      <c r="P6" s="3">
        <v>190532</v>
      </c>
      <c r="Q6" s="3">
        <v>198965</v>
      </c>
      <c r="R6" s="3">
        <v>205696</v>
      </c>
      <c r="S6" s="3">
        <v>209686</v>
      </c>
      <c r="T6" s="3">
        <v>212560</v>
      </c>
      <c r="U6" s="3">
        <v>214689</v>
      </c>
      <c r="V6" s="3">
        <v>218942</v>
      </c>
      <c r="W6" s="3">
        <v>226542</v>
      </c>
      <c r="X6" s="3">
        <v>233964</v>
      </c>
      <c r="Y6" s="3">
        <v>242568</v>
      </c>
      <c r="Z6" s="3">
        <v>238777</v>
      </c>
      <c r="AA6" s="3">
        <v>253673</v>
      </c>
      <c r="AB6" s="3">
        <v>277464</v>
      </c>
      <c r="AC6" s="3">
        <v>299696</v>
      </c>
      <c r="AD6" s="3">
        <v>310278</v>
      </c>
      <c r="AE6" s="3">
        <v>320578</v>
      </c>
      <c r="AF6" s="3">
        <v>329711</v>
      </c>
      <c r="AG6" s="3">
        <v>343380</v>
      </c>
      <c r="AH6" s="3">
        <v>353918</v>
      </c>
      <c r="AI6" s="3">
        <v>363710</v>
      </c>
      <c r="AJ6" s="3">
        <v>374332</v>
      </c>
      <c r="AK6" s="3">
        <v>384509</v>
      </c>
    </row>
    <row r="7" spans="1:37" x14ac:dyDescent="0.3">
      <c r="A7" s="7" t="s">
        <v>218</v>
      </c>
      <c r="B7" s="3">
        <v>32249</v>
      </c>
      <c r="C7" s="3">
        <v>33416</v>
      </c>
      <c r="D7" s="3">
        <v>34547</v>
      </c>
      <c r="E7" s="3">
        <v>35389</v>
      </c>
      <c r="F7" s="3">
        <v>36888</v>
      </c>
      <c r="G7" s="3">
        <v>37971</v>
      </c>
      <c r="H7" s="3">
        <v>36995</v>
      </c>
      <c r="I7" s="3">
        <v>37527</v>
      </c>
      <c r="J7" s="3">
        <v>38172</v>
      </c>
      <c r="K7" s="3">
        <v>40709</v>
      </c>
      <c r="L7" s="3">
        <v>43234</v>
      </c>
      <c r="M7" s="3">
        <v>45297</v>
      </c>
      <c r="N7" s="3">
        <v>46045</v>
      </c>
      <c r="O7" s="3">
        <v>45757</v>
      </c>
      <c r="P7" s="3">
        <v>48301</v>
      </c>
      <c r="Q7" s="3">
        <v>50573</v>
      </c>
      <c r="R7" s="3">
        <v>51759</v>
      </c>
      <c r="S7" s="3">
        <v>53110</v>
      </c>
      <c r="T7" s="3">
        <v>54467</v>
      </c>
      <c r="U7" s="3">
        <v>55704</v>
      </c>
      <c r="V7" s="3">
        <v>56885</v>
      </c>
      <c r="W7" s="3">
        <v>58605</v>
      </c>
      <c r="X7" s="3">
        <v>60654</v>
      </c>
      <c r="Y7" s="3">
        <v>62258</v>
      </c>
      <c r="Z7" s="3">
        <v>61161</v>
      </c>
      <c r="AA7" s="3">
        <v>65532</v>
      </c>
      <c r="AB7" s="3">
        <v>73677</v>
      </c>
      <c r="AC7" s="3">
        <v>80201</v>
      </c>
      <c r="AD7" s="3">
        <v>81147</v>
      </c>
      <c r="AE7" s="3">
        <v>84959</v>
      </c>
      <c r="AF7" s="3">
        <v>87565</v>
      </c>
      <c r="AG7" s="3">
        <v>90500</v>
      </c>
      <c r="AH7" s="3">
        <v>93617</v>
      </c>
      <c r="AI7" s="3">
        <v>96816</v>
      </c>
      <c r="AJ7" s="3">
        <v>99924</v>
      </c>
      <c r="AK7" s="3">
        <v>102983</v>
      </c>
    </row>
    <row r="8" spans="1:37" x14ac:dyDescent="0.3">
      <c r="A8" s="7" t="s">
        <v>219</v>
      </c>
      <c r="B8" s="3">
        <v>26487</v>
      </c>
      <c r="C8" s="3">
        <v>26292</v>
      </c>
      <c r="D8" s="3">
        <v>27804</v>
      </c>
      <c r="E8" s="3">
        <v>26436</v>
      </c>
      <c r="F8" s="3">
        <v>29280</v>
      </c>
      <c r="G8" s="3">
        <v>30337</v>
      </c>
      <c r="H8" s="3">
        <v>27996</v>
      </c>
      <c r="I8" s="3">
        <v>26738</v>
      </c>
      <c r="J8" s="3">
        <v>27036</v>
      </c>
      <c r="K8" s="3">
        <v>27388</v>
      </c>
      <c r="L8" s="3">
        <v>28361</v>
      </c>
      <c r="M8" s="3">
        <v>30309</v>
      </c>
      <c r="N8" s="3">
        <v>33889</v>
      </c>
      <c r="O8" s="3">
        <v>29285</v>
      </c>
      <c r="P8" s="3">
        <v>28819</v>
      </c>
      <c r="Q8" s="3">
        <v>28314</v>
      </c>
      <c r="R8" s="3">
        <v>28241</v>
      </c>
      <c r="S8" s="3">
        <v>27419</v>
      </c>
      <c r="T8" s="3">
        <v>27092</v>
      </c>
      <c r="U8" s="3">
        <v>26514</v>
      </c>
      <c r="V8" s="3">
        <v>25233</v>
      </c>
      <c r="W8" s="3">
        <v>26665</v>
      </c>
      <c r="X8" s="3">
        <v>26977</v>
      </c>
      <c r="Y8" s="3">
        <v>27987</v>
      </c>
      <c r="Z8" s="3">
        <v>25019</v>
      </c>
      <c r="AA8" s="3">
        <v>29009</v>
      </c>
      <c r="AB8" s="3">
        <v>35927</v>
      </c>
      <c r="AC8" s="3">
        <v>41090</v>
      </c>
      <c r="AD8" s="3">
        <v>41815</v>
      </c>
      <c r="AE8" s="3">
        <v>43695</v>
      </c>
      <c r="AF8" s="3">
        <v>45575</v>
      </c>
      <c r="AG8" s="3">
        <v>47508</v>
      </c>
      <c r="AH8" s="3">
        <v>49001</v>
      </c>
      <c r="AI8" s="3">
        <v>50651</v>
      </c>
      <c r="AJ8" s="3">
        <v>52430</v>
      </c>
      <c r="AK8" s="3">
        <v>54145</v>
      </c>
    </row>
    <row r="9" spans="1:37" x14ac:dyDescent="0.3">
      <c r="A9" s="3" t="s">
        <v>220</v>
      </c>
      <c r="B9" s="3">
        <v>-29818</v>
      </c>
      <c r="C9" s="3">
        <v>-31992</v>
      </c>
      <c r="D9" s="3">
        <v>-34122</v>
      </c>
      <c r="E9" s="3">
        <v>-35342</v>
      </c>
      <c r="F9" s="3">
        <v>-37998</v>
      </c>
      <c r="G9" s="3">
        <v>-39584</v>
      </c>
      <c r="H9" s="3">
        <v>-40765</v>
      </c>
      <c r="I9" s="3">
        <v>-40346</v>
      </c>
      <c r="J9" s="3">
        <v>-41640</v>
      </c>
      <c r="K9" s="3">
        <v>-42800</v>
      </c>
      <c r="L9" s="3">
        <v>-43850</v>
      </c>
      <c r="M9" s="3">
        <v>-46526</v>
      </c>
      <c r="N9" s="3">
        <v>-49132</v>
      </c>
      <c r="O9" s="3">
        <v>-43861</v>
      </c>
      <c r="P9" s="3">
        <v>-47167</v>
      </c>
      <c r="Q9" s="3">
        <v>-50117</v>
      </c>
      <c r="R9" s="3">
        <v>-51758</v>
      </c>
      <c r="S9" s="3">
        <v>-53599</v>
      </c>
      <c r="T9" s="3">
        <v>-54382</v>
      </c>
      <c r="U9" s="3">
        <v>-54132</v>
      </c>
      <c r="V9" s="3">
        <v>-51049</v>
      </c>
      <c r="W9" s="3">
        <v>-52520</v>
      </c>
      <c r="X9" s="3">
        <v>-53528</v>
      </c>
      <c r="Y9" s="3">
        <v>-52989</v>
      </c>
      <c r="Z9" s="3">
        <v>-39776</v>
      </c>
      <c r="AA9" s="3">
        <v>-47585</v>
      </c>
      <c r="AB9" s="3">
        <v>-57287</v>
      </c>
      <c r="AC9" s="3">
        <v>-61823</v>
      </c>
      <c r="AD9" s="3">
        <v>-63927</v>
      </c>
      <c r="AE9" s="3">
        <v>-66150</v>
      </c>
      <c r="AF9" s="3">
        <v>-69614</v>
      </c>
      <c r="AG9" s="3">
        <v>-72681</v>
      </c>
      <c r="AH9" s="3">
        <v>-74246</v>
      </c>
      <c r="AI9" s="3">
        <v>-74006</v>
      </c>
      <c r="AJ9" s="3">
        <v>-75036</v>
      </c>
      <c r="AK9" s="3">
        <v>-77185</v>
      </c>
    </row>
    <row r="10" spans="1:37" x14ac:dyDescent="0.3">
      <c r="A10" s="7" t="s">
        <v>221</v>
      </c>
      <c r="B10" s="3">
        <v>-2076</v>
      </c>
      <c r="C10" s="3">
        <v>-2729</v>
      </c>
      <c r="D10" s="3">
        <v>-3528</v>
      </c>
      <c r="E10" s="3">
        <v>-4014</v>
      </c>
      <c r="F10" s="3">
        <v>-4361</v>
      </c>
      <c r="G10" s="3">
        <v>-4634</v>
      </c>
      <c r="H10" s="3">
        <v>-4294</v>
      </c>
      <c r="I10" s="3">
        <v>-3444</v>
      </c>
      <c r="J10" s="3">
        <v>-3228</v>
      </c>
      <c r="K10" s="3">
        <v>-3180</v>
      </c>
      <c r="L10" s="3">
        <v>-3829</v>
      </c>
      <c r="M10" s="3">
        <v>-5254</v>
      </c>
      <c r="N10" s="3">
        <v>-5311</v>
      </c>
      <c r="O10" s="3">
        <v>-2334</v>
      </c>
      <c r="P10" s="3">
        <v>-3164</v>
      </c>
      <c r="Q10" s="3">
        <v>-3321</v>
      </c>
      <c r="R10" s="3">
        <v>-3086</v>
      </c>
      <c r="S10" s="3">
        <v>-2158</v>
      </c>
      <c r="T10" s="3">
        <v>-1886</v>
      </c>
      <c r="U10" s="3">
        <v>-1555</v>
      </c>
      <c r="V10" s="3">
        <v>959</v>
      </c>
      <c r="W10" s="3">
        <v>1488</v>
      </c>
      <c r="X10" s="3">
        <v>1962</v>
      </c>
      <c r="Y10" s="3">
        <v>2243</v>
      </c>
      <c r="Z10" s="3">
        <v>14731</v>
      </c>
      <c r="AA10" s="3">
        <v>10860</v>
      </c>
      <c r="AB10" s="3">
        <v>8730</v>
      </c>
      <c r="AC10" s="3">
        <v>8832</v>
      </c>
      <c r="AD10" s="3">
        <v>12262</v>
      </c>
      <c r="AE10" s="3">
        <v>12280</v>
      </c>
      <c r="AF10" s="3">
        <v>12579</v>
      </c>
      <c r="AG10" s="3">
        <v>12364</v>
      </c>
      <c r="AH10" s="3">
        <v>12768</v>
      </c>
      <c r="AI10" s="3">
        <v>13245</v>
      </c>
      <c r="AJ10" s="3">
        <v>14226</v>
      </c>
      <c r="AK10" s="3">
        <v>14757</v>
      </c>
    </row>
    <row r="11" spans="1:37" x14ac:dyDescent="0.3">
      <c r="A11" s="7" t="s">
        <v>222</v>
      </c>
      <c r="B11" s="3">
        <v>-28512</v>
      </c>
      <c r="C11" s="3">
        <v>-30351</v>
      </c>
      <c r="D11" s="3">
        <v>-31483</v>
      </c>
      <c r="E11" s="3">
        <v>-32033</v>
      </c>
      <c r="F11" s="3">
        <v>-34233</v>
      </c>
      <c r="G11" s="3">
        <v>-35967</v>
      </c>
      <c r="H11" s="3">
        <v>-37208</v>
      </c>
      <c r="I11" s="3">
        <v>-37254</v>
      </c>
      <c r="J11" s="3">
        <v>-38864</v>
      </c>
      <c r="K11" s="3">
        <v>-40456</v>
      </c>
      <c r="L11" s="3">
        <v>-40858</v>
      </c>
      <c r="M11" s="3">
        <v>-42546</v>
      </c>
      <c r="N11" s="3">
        <v>-45246</v>
      </c>
      <c r="O11" s="3">
        <v>-43777</v>
      </c>
      <c r="P11" s="3">
        <v>-46179</v>
      </c>
      <c r="Q11" s="3">
        <v>-48822</v>
      </c>
      <c r="R11" s="3">
        <v>-50616</v>
      </c>
      <c r="S11" s="3">
        <v>-53189</v>
      </c>
      <c r="T11" s="3">
        <v>-54192</v>
      </c>
      <c r="U11" s="3">
        <v>-54050</v>
      </c>
      <c r="V11" s="3">
        <v>-53641</v>
      </c>
      <c r="W11" s="3">
        <v>-55522</v>
      </c>
      <c r="X11" s="3">
        <v>-57000</v>
      </c>
      <c r="Y11" s="3">
        <v>-56796</v>
      </c>
      <c r="Z11" s="3">
        <v>-56783</v>
      </c>
      <c r="AA11" s="3">
        <v>-59910</v>
      </c>
      <c r="AB11" s="3">
        <v>-69114</v>
      </c>
      <c r="AC11" s="3">
        <v>-72794</v>
      </c>
      <c r="AD11" s="3">
        <v>-77033</v>
      </c>
      <c r="AE11" s="3">
        <v>-79273</v>
      </c>
      <c r="AF11" s="3">
        <v>-83113</v>
      </c>
      <c r="AG11" s="3">
        <v>-86102</v>
      </c>
      <c r="AH11" s="3">
        <v>-88305</v>
      </c>
      <c r="AI11" s="3">
        <v>-88876</v>
      </c>
      <c r="AJ11" s="3">
        <v>-91027</v>
      </c>
      <c r="AK11" s="3">
        <v>-93987</v>
      </c>
    </row>
    <row r="12" spans="1:37" x14ac:dyDescent="0.3">
      <c r="A12" s="7" t="s">
        <v>223</v>
      </c>
      <c r="B12" s="3">
        <v>770</v>
      </c>
      <c r="C12" s="3">
        <v>1088</v>
      </c>
      <c r="D12" s="3">
        <v>889</v>
      </c>
      <c r="E12" s="3">
        <v>706</v>
      </c>
      <c r="F12" s="3">
        <v>596</v>
      </c>
      <c r="G12" s="3">
        <v>1017</v>
      </c>
      <c r="H12" s="3">
        <v>737</v>
      </c>
      <c r="I12" s="3">
        <v>352</v>
      </c>
      <c r="J12" s="3">
        <v>452</v>
      </c>
      <c r="K12" s="3">
        <v>836</v>
      </c>
      <c r="L12" s="3">
        <v>837</v>
      </c>
      <c r="M12" s="3">
        <v>1274</v>
      </c>
      <c r="N12" s="3">
        <v>1425</v>
      </c>
      <c r="O12" s="3">
        <v>2250</v>
      </c>
      <c r="P12" s="3">
        <v>2176</v>
      </c>
      <c r="Q12" s="3">
        <v>2025</v>
      </c>
      <c r="R12" s="3">
        <v>1944</v>
      </c>
      <c r="S12" s="3">
        <v>1748</v>
      </c>
      <c r="T12" s="3">
        <v>1696</v>
      </c>
      <c r="U12" s="3">
        <v>1473</v>
      </c>
      <c r="V12" s="3">
        <v>1633</v>
      </c>
      <c r="W12" s="3">
        <v>1514</v>
      </c>
      <c r="X12" s="3">
        <v>1510</v>
      </c>
      <c r="Y12" s="3">
        <v>1563</v>
      </c>
      <c r="Z12" s="3">
        <v>2276</v>
      </c>
      <c r="AA12" s="3">
        <v>1465</v>
      </c>
      <c r="AB12" s="3">
        <v>3096</v>
      </c>
      <c r="AC12" s="3">
        <v>2139</v>
      </c>
      <c r="AD12" s="3">
        <v>845</v>
      </c>
      <c r="AE12" s="3">
        <v>843</v>
      </c>
      <c r="AF12" s="3">
        <v>919</v>
      </c>
      <c r="AG12" s="3">
        <v>1057</v>
      </c>
      <c r="AH12" s="3">
        <v>1291</v>
      </c>
      <c r="AI12" s="3">
        <v>1625</v>
      </c>
      <c r="AJ12" s="3">
        <v>1765</v>
      </c>
      <c r="AK12" s="3">
        <v>2045</v>
      </c>
    </row>
    <row r="13" spans="1:37" x14ac:dyDescent="0.3">
      <c r="A13" s="3" t="s">
        <v>224</v>
      </c>
      <c r="B13" s="3">
        <v>139990</v>
      </c>
      <c r="C13" s="3">
        <v>143007</v>
      </c>
      <c r="D13" s="3">
        <v>147724</v>
      </c>
      <c r="E13" s="3">
        <v>152281</v>
      </c>
      <c r="F13" s="3">
        <v>159733</v>
      </c>
      <c r="G13" s="3">
        <v>167703</v>
      </c>
      <c r="H13" s="3">
        <v>169813</v>
      </c>
      <c r="I13" s="3">
        <v>172496</v>
      </c>
      <c r="J13" s="3">
        <v>176666</v>
      </c>
      <c r="K13" s="3">
        <v>183743</v>
      </c>
      <c r="L13" s="3">
        <v>193874</v>
      </c>
      <c r="M13" s="3">
        <v>204110</v>
      </c>
      <c r="N13" s="3">
        <v>215423</v>
      </c>
      <c r="O13" s="3">
        <v>217538</v>
      </c>
      <c r="P13" s="3">
        <v>220485</v>
      </c>
      <c r="Q13" s="3">
        <v>227735</v>
      </c>
      <c r="R13" s="3">
        <v>233939</v>
      </c>
      <c r="S13" s="3">
        <v>236616</v>
      </c>
      <c r="T13" s="3">
        <v>239738</v>
      </c>
      <c r="U13" s="3">
        <v>242776</v>
      </c>
      <c r="V13" s="3">
        <v>250011</v>
      </c>
      <c r="W13" s="3">
        <v>259293</v>
      </c>
      <c r="X13" s="3">
        <v>268067</v>
      </c>
      <c r="Y13" s="3">
        <v>279823</v>
      </c>
      <c r="Z13" s="3">
        <v>285182</v>
      </c>
      <c r="AA13" s="3">
        <v>300629</v>
      </c>
      <c r="AB13" s="3">
        <v>329780</v>
      </c>
      <c r="AC13" s="3">
        <v>359164</v>
      </c>
      <c r="AD13" s="3">
        <v>369313</v>
      </c>
      <c r="AE13" s="3">
        <v>383083</v>
      </c>
      <c r="AF13" s="3">
        <v>393237</v>
      </c>
      <c r="AG13" s="3">
        <v>408706</v>
      </c>
      <c r="AH13" s="3">
        <v>422290</v>
      </c>
      <c r="AI13" s="3">
        <v>437171</v>
      </c>
      <c r="AJ13" s="3">
        <v>451651</v>
      </c>
      <c r="AK13" s="3">
        <v>464452</v>
      </c>
    </row>
    <row r="14" spans="1:37" x14ac:dyDescent="0.3">
      <c r="A14" s="11" t="s">
        <v>225</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1:37" x14ac:dyDescent="0.3">
      <c r="A15" s="3" t="s">
        <v>216</v>
      </c>
      <c r="B15" s="3">
        <v>36858</v>
      </c>
      <c r="C15" s="3">
        <v>39286</v>
      </c>
      <c r="D15" s="3">
        <v>40078</v>
      </c>
      <c r="E15" s="3">
        <v>41660</v>
      </c>
      <c r="F15" s="3">
        <v>44879</v>
      </c>
      <c r="G15" s="3">
        <v>41147</v>
      </c>
      <c r="H15" s="3">
        <v>44325</v>
      </c>
      <c r="I15" s="3">
        <v>49070</v>
      </c>
      <c r="J15" s="3">
        <v>55437</v>
      </c>
      <c r="K15" s="3">
        <v>58501</v>
      </c>
      <c r="L15" s="3">
        <v>61636</v>
      </c>
      <c r="M15" s="3">
        <v>66378</v>
      </c>
      <c r="N15" s="3">
        <v>63840</v>
      </c>
      <c r="O15" s="3">
        <v>62354</v>
      </c>
      <c r="P15" s="3">
        <v>68106</v>
      </c>
      <c r="Q15" s="3">
        <v>66766</v>
      </c>
      <c r="R15" s="3">
        <v>73938</v>
      </c>
      <c r="S15" s="3">
        <v>74900</v>
      </c>
      <c r="T15" s="3">
        <v>80516</v>
      </c>
      <c r="U15" s="3">
        <v>84562</v>
      </c>
      <c r="V15" s="3">
        <v>87791</v>
      </c>
      <c r="W15" s="3">
        <v>88875</v>
      </c>
      <c r="X15" s="3">
        <v>93275</v>
      </c>
      <c r="Y15" s="3">
        <v>99997</v>
      </c>
      <c r="Z15" s="3">
        <v>101635</v>
      </c>
      <c r="AA15" s="3">
        <v>112936</v>
      </c>
      <c r="AB15" s="3">
        <v>125694</v>
      </c>
      <c r="AC15" s="3">
        <v>132706</v>
      </c>
      <c r="AD15" s="3">
        <v>138083</v>
      </c>
      <c r="AE15" s="3">
        <v>141446</v>
      </c>
      <c r="AF15" s="3">
        <v>149025</v>
      </c>
      <c r="AG15" s="3">
        <v>154376</v>
      </c>
      <c r="AH15" s="3">
        <v>160119</v>
      </c>
      <c r="AI15" s="3">
        <v>167983</v>
      </c>
      <c r="AJ15" s="3">
        <v>175348</v>
      </c>
      <c r="AK15" s="3">
        <v>182968</v>
      </c>
    </row>
    <row r="16" spans="1:37" x14ac:dyDescent="0.3">
      <c r="A16" s="14" t="s">
        <v>226</v>
      </c>
      <c r="B16" s="3">
        <v>45244</v>
      </c>
      <c r="C16" s="3">
        <v>47534</v>
      </c>
      <c r="D16" s="3">
        <v>49842</v>
      </c>
      <c r="E16" s="3">
        <v>50760</v>
      </c>
      <c r="F16" s="3">
        <v>55889</v>
      </c>
      <c r="G16" s="3">
        <v>55624</v>
      </c>
      <c r="H16" s="3">
        <v>57998</v>
      </c>
      <c r="I16" s="3">
        <v>61768</v>
      </c>
      <c r="J16" s="3">
        <v>70117</v>
      </c>
      <c r="K16" s="3">
        <v>75048</v>
      </c>
      <c r="L16" s="3">
        <v>78961</v>
      </c>
      <c r="M16" s="3">
        <v>85412</v>
      </c>
      <c r="N16" s="3">
        <v>82825</v>
      </c>
      <c r="O16" s="3">
        <v>79124</v>
      </c>
      <c r="P16" s="3">
        <v>87027</v>
      </c>
      <c r="Q16" s="3">
        <v>90572</v>
      </c>
      <c r="R16" s="3">
        <v>89348</v>
      </c>
      <c r="S16" s="3">
        <v>90417</v>
      </c>
      <c r="T16" s="3">
        <v>95553</v>
      </c>
      <c r="U16" s="3">
        <v>101865</v>
      </c>
      <c r="V16" s="3">
        <v>106519</v>
      </c>
      <c r="W16" s="3">
        <v>110654</v>
      </c>
      <c r="X16" s="3">
        <v>115782</v>
      </c>
      <c r="Y16" s="3">
        <v>124416</v>
      </c>
      <c r="Z16" s="3">
        <v>123143</v>
      </c>
      <c r="AA16" s="3">
        <v>137021</v>
      </c>
      <c r="AB16" s="3">
        <v>155511</v>
      </c>
      <c r="AC16" s="3">
        <v>163451</v>
      </c>
      <c r="AD16" s="3">
        <v>169690</v>
      </c>
      <c r="AE16" s="3">
        <v>175531</v>
      </c>
      <c r="AF16" s="3">
        <v>182631</v>
      </c>
      <c r="AG16" s="3">
        <v>187358</v>
      </c>
      <c r="AH16" s="3">
        <v>192916</v>
      </c>
      <c r="AI16" s="3">
        <v>200276</v>
      </c>
      <c r="AJ16" s="3">
        <v>207368</v>
      </c>
      <c r="AK16" s="3">
        <v>214497</v>
      </c>
    </row>
    <row r="17" spans="1:37" x14ac:dyDescent="0.3">
      <c r="A17" s="14" t="s">
        <v>219</v>
      </c>
      <c r="B17" s="3">
        <v>-8386</v>
      </c>
      <c r="C17" s="3">
        <v>-8248</v>
      </c>
      <c r="D17" s="3">
        <v>-9764</v>
      </c>
      <c r="E17" s="3">
        <v>-9100</v>
      </c>
      <c r="F17" s="3">
        <v>-11010</v>
      </c>
      <c r="G17" s="3">
        <v>-14477</v>
      </c>
      <c r="H17" s="3">
        <v>-13673</v>
      </c>
      <c r="I17" s="3">
        <v>-12698</v>
      </c>
      <c r="J17" s="3">
        <v>-14680</v>
      </c>
      <c r="K17" s="3">
        <v>-16547</v>
      </c>
      <c r="L17" s="3">
        <v>-17325</v>
      </c>
      <c r="M17" s="3">
        <v>-19034</v>
      </c>
      <c r="N17" s="3">
        <v>-18985</v>
      </c>
      <c r="O17" s="3">
        <v>-16770</v>
      </c>
      <c r="P17" s="3">
        <v>-18921</v>
      </c>
      <c r="Q17" s="3">
        <v>-23807</v>
      </c>
      <c r="R17" s="3">
        <v>-15410</v>
      </c>
      <c r="S17" s="3">
        <v>-15517</v>
      </c>
      <c r="T17" s="3">
        <v>-15037</v>
      </c>
      <c r="U17" s="3">
        <v>-17303</v>
      </c>
      <c r="V17" s="3">
        <v>-18728</v>
      </c>
      <c r="W17" s="3">
        <v>-21779</v>
      </c>
      <c r="X17" s="3">
        <v>-22506</v>
      </c>
      <c r="Y17" s="3">
        <v>-24418</v>
      </c>
      <c r="Z17" s="3">
        <v>-21508</v>
      </c>
      <c r="AA17" s="3">
        <v>-24085</v>
      </c>
      <c r="AB17" s="3">
        <v>-29817</v>
      </c>
      <c r="AC17" s="3">
        <v>-30745</v>
      </c>
      <c r="AD17" s="3">
        <v>-31608</v>
      </c>
      <c r="AE17" s="3">
        <v>-34084</v>
      </c>
      <c r="AF17" s="3">
        <v>-33605</v>
      </c>
      <c r="AG17" s="3">
        <v>-32982</v>
      </c>
      <c r="AH17" s="3">
        <v>-32798</v>
      </c>
      <c r="AI17" s="3">
        <v>-32293</v>
      </c>
      <c r="AJ17" s="3">
        <v>-32021</v>
      </c>
      <c r="AK17" s="3">
        <v>-31529</v>
      </c>
    </row>
    <row r="18" spans="1:37" x14ac:dyDescent="0.3">
      <c r="A18" s="3" t="s">
        <v>220</v>
      </c>
      <c r="B18" s="3">
        <v>-4585</v>
      </c>
      <c r="C18" s="3">
        <v>-4996</v>
      </c>
      <c r="D18" s="3">
        <v>-6438</v>
      </c>
      <c r="E18" s="3">
        <v>-6520</v>
      </c>
      <c r="F18" s="3">
        <v>-6600</v>
      </c>
      <c r="G18" s="3">
        <v>-6710</v>
      </c>
      <c r="H18" s="3">
        <v>-6540</v>
      </c>
      <c r="I18" s="3">
        <v>-5933</v>
      </c>
      <c r="J18" s="3">
        <v>-7569</v>
      </c>
      <c r="K18" s="3">
        <v>-8310</v>
      </c>
      <c r="L18" s="3">
        <v>-9913</v>
      </c>
      <c r="M18" s="3">
        <v>-9504</v>
      </c>
      <c r="N18" s="3">
        <v>-10055</v>
      </c>
      <c r="O18" s="3">
        <v>-6498</v>
      </c>
      <c r="P18" s="3">
        <v>-6175</v>
      </c>
      <c r="Q18" s="3">
        <v>-8393</v>
      </c>
      <c r="R18" s="3">
        <v>-8679</v>
      </c>
      <c r="S18" s="3">
        <v>-9545</v>
      </c>
      <c r="T18" s="3">
        <v>-9938</v>
      </c>
      <c r="U18" s="3">
        <v>-11283</v>
      </c>
      <c r="V18" s="3">
        <v>-12001</v>
      </c>
      <c r="W18" s="3">
        <v>-15557</v>
      </c>
      <c r="X18" s="3">
        <v>-16875</v>
      </c>
      <c r="Y18" s="3">
        <v>-15154</v>
      </c>
      <c r="Z18" s="3">
        <v>-10039</v>
      </c>
      <c r="AA18" s="3">
        <v>-15596</v>
      </c>
      <c r="AB18" s="3">
        <v>-19653</v>
      </c>
      <c r="AC18" s="3">
        <v>-22171</v>
      </c>
      <c r="AD18" s="3">
        <v>-28873</v>
      </c>
      <c r="AE18" s="3">
        <v>-25191</v>
      </c>
      <c r="AF18" s="3">
        <v>-26797</v>
      </c>
      <c r="AG18" s="3">
        <v>-27394</v>
      </c>
      <c r="AH18" s="3">
        <v>-27791</v>
      </c>
      <c r="AI18" s="3">
        <v>-28216</v>
      </c>
      <c r="AJ18" s="3">
        <v>-28415</v>
      </c>
      <c r="AK18" s="3">
        <v>-28584</v>
      </c>
    </row>
    <row r="19" spans="1:37" x14ac:dyDescent="0.3">
      <c r="A19" s="3" t="s">
        <v>224</v>
      </c>
      <c r="B19" s="3">
        <v>32273</v>
      </c>
      <c r="C19" s="3">
        <v>34290</v>
      </c>
      <c r="D19" s="3">
        <v>33640</v>
      </c>
      <c r="E19" s="3">
        <v>35140</v>
      </c>
      <c r="F19" s="3">
        <v>38279</v>
      </c>
      <c r="G19" s="3">
        <v>34437</v>
      </c>
      <c r="H19" s="3">
        <v>37785</v>
      </c>
      <c r="I19" s="3">
        <v>43137</v>
      </c>
      <c r="J19" s="3">
        <v>47868</v>
      </c>
      <c r="K19" s="3">
        <v>50191</v>
      </c>
      <c r="L19" s="3">
        <v>51723</v>
      </c>
      <c r="M19" s="3">
        <v>56874</v>
      </c>
      <c r="N19" s="3">
        <v>53785</v>
      </c>
      <c r="O19" s="3">
        <v>55856</v>
      </c>
      <c r="P19" s="3">
        <v>61931</v>
      </c>
      <c r="Q19" s="3">
        <v>58373</v>
      </c>
      <c r="R19" s="3">
        <v>65260</v>
      </c>
      <c r="S19" s="3">
        <v>65355</v>
      </c>
      <c r="T19" s="3">
        <v>70578</v>
      </c>
      <c r="U19" s="3">
        <v>73279</v>
      </c>
      <c r="V19" s="3">
        <v>75790</v>
      </c>
      <c r="W19" s="3">
        <v>73318</v>
      </c>
      <c r="X19" s="3">
        <v>76400</v>
      </c>
      <c r="Y19" s="3">
        <v>84844</v>
      </c>
      <c r="Z19" s="3">
        <v>91596</v>
      </c>
      <c r="AA19" s="3">
        <v>97340</v>
      </c>
      <c r="AB19" s="3">
        <v>106041</v>
      </c>
      <c r="AC19" s="3">
        <v>110535</v>
      </c>
      <c r="AD19" s="3">
        <v>109209</v>
      </c>
      <c r="AE19" s="3">
        <v>116255</v>
      </c>
      <c r="AF19" s="3">
        <v>122229</v>
      </c>
      <c r="AG19" s="3">
        <v>126982</v>
      </c>
      <c r="AH19" s="3">
        <v>132327</v>
      </c>
      <c r="AI19" s="3">
        <v>139766</v>
      </c>
      <c r="AJ19" s="3">
        <v>146933</v>
      </c>
      <c r="AK19" s="3">
        <v>154383</v>
      </c>
    </row>
    <row r="20" spans="1:37" x14ac:dyDescent="0.3">
      <c r="A20" s="11" t="s">
        <v>227</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spans="1:37" x14ac:dyDescent="0.3">
      <c r="A21" s="3" t="s">
        <v>216</v>
      </c>
      <c r="B21" s="3">
        <v>12605</v>
      </c>
      <c r="C21" s="3">
        <v>15270</v>
      </c>
      <c r="D21" s="3">
        <v>16349</v>
      </c>
      <c r="E21" s="3">
        <v>18670</v>
      </c>
      <c r="F21" s="3">
        <v>20374</v>
      </c>
      <c r="G21" s="3">
        <v>20846</v>
      </c>
      <c r="H21" s="3">
        <v>23075</v>
      </c>
      <c r="I21" s="3">
        <v>24657</v>
      </c>
      <c r="J21" s="3">
        <v>27198</v>
      </c>
      <c r="K21" s="3">
        <v>28866</v>
      </c>
      <c r="L21" s="3">
        <v>30467</v>
      </c>
      <c r="M21" s="3">
        <v>31386</v>
      </c>
      <c r="N21" s="3">
        <v>31903</v>
      </c>
      <c r="O21" s="3">
        <v>30794</v>
      </c>
      <c r="P21" s="3">
        <v>33018</v>
      </c>
      <c r="Q21" s="3">
        <v>34726</v>
      </c>
      <c r="R21" s="3">
        <v>37058</v>
      </c>
      <c r="S21" s="3">
        <v>38566</v>
      </c>
      <c r="T21" s="3">
        <v>38538</v>
      </c>
      <c r="U21" s="3">
        <v>39917</v>
      </c>
      <c r="V21" s="3">
        <v>43458</v>
      </c>
      <c r="W21" s="3">
        <v>46673</v>
      </c>
      <c r="X21" s="3">
        <v>49263</v>
      </c>
      <c r="Y21" s="3">
        <v>50677</v>
      </c>
      <c r="Z21" s="3">
        <v>41309</v>
      </c>
      <c r="AA21" s="3">
        <v>51421</v>
      </c>
      <c r="AB21" s="3">
        <v>56126</v>
      </c>
      <c r="AC21" s="3">
        <v>59444</v>
      </c>
      <c r="AD21" s="3">
        <v>59079</v>
      </c>
      <c r="AE21" s="3">
        <v>59554</v>
      </c>
      <c r="AF21" s="3">
        <v>60007</v>
      </c>
      <c r="AG21" s="3">
        <v>60621</v>
      </c>
      <c r="AH21" s="3">
        <v>63183</v>
      </c>
      <c r="AI21" s="3">
        <v>63777</v>
      </c>
      <c r="AJ21" s="3">
        <v>63939</v>
      </c>
      <c r="AK21" s="3">
        <v>63882</v>
      </c>
    </row>
    <row r="22" spans="1:37" x14ac:dyDescent="0.3">
      <c r="A22" s="14" t="s">
        <v>226</v>
      </c>
      <c r="B22" s="3">
        <v>4748</v>
      </c>
      <c r="C22" s="3">
        <v>4806</v>
      </c>
      <c r="D22" s="3">
        <v>4940</v>
      </c>
      <c r="E22" s="3">
        <v>5081</v>
      </c>
      <c r="F22" s="3">
        <v>5324</v>
      </c>
      <c r="G22" s="3">
        <v>5470</v>
      </c>
      <c r="H22" s="3">
        <v>5635</v>
      </c>
      <c r="I22" s="3">
        <v>5863</v>
      </c>
      <c r="J22" s="3">
        <v>5988</v>
      </c>
      <c r="K22" s="3">
        <v>6509</v>
      </c>
      <c r="L22" s="3">
        <v>7004</v>
      </c>
      <c r="M22" s="3">
        <v>7367</v>
      </c>
      <c r="N22" s="3">
        <v>7700</v>
      </c>
      <c r="O22" s="3">
        <v>7616</v>
      </c>
      <c r="P22" s="3">
        <v>7942</v>
      </c>
      <c r="Q22" s="3">
        <v>8361</v>
      </c>
      <c r="R22" s="3">
        <v>8686</v>
      </c>
      <c r="S22" s="3">
        <v>8861</v>
      </c>
      <c r="T22" s="3">
        <v>9606</v>
      </c>
      <c r="U22" s="3">
        <v>9760</v>
      </c>
      <c r="V22" s="3">
        <v>9906</v>
      </c>
      <c r="W22" s="3">
        <v>10225</v>
      </c>
      <c r="X22" s="3">
        <v>10564</v>
      </c>
      <c r="Y22" s="3">
        <v>10877</v>
      </c>
      <c r="Z22" s="3">
        <v>11014</v>
      </c>
      <c r="AA22" s="3">
        <v>11762</v>
      </c>
      <c r="AB22" s="3">
        <v>13323</v>
      </c>
      <c r="AC22" s="3">
        <v>14440</v>
      </c>
      <c r="AD22" s="3">
        <v>14731</v>
      </c>
      <c r="AE22" s="3">
        <v>15250</v>
      </c>
      <c r="AF22" s="3">
        <v>15887</v>
      </c>
      <c r="AG22" s="3">
        <v>16576</v>
      </c>
      <c r="AH22" s="3">
        <v>17167</v>
      </c>
      <c r="AI22" s="3">
        <v>17774</v>
      </c>
      <c r="AJ22" s="3">
        <v>18459</v>
      </c>
      <c r="AK22" s="3">
        <v>19224</v>
      </c>
    </row>
    <row r="23" spans="1:37" x14ac:dyDescent="0.3">
      <c r="A23" s="14" t="s">
        <v>228</v>
      </c>
      <c r="B23" s="3">
        <v>23363</v>
      </c>
      <c r="C23" s="3">
        <v>25313</v>
      </c>
      <c r="D23" s="3">
        <v>26150</v>
      </c>
      <c r="E23" s="3">
        <v>28017</v>
      </c>
      <c r="F23" s="3">
        <v>29371</v>
      </c>
      <c r="G23" s="3">
        <v>29284</v>
      </c>
      <c r="H23" s="3">
        <v>30324</v>
      </c>
      <c r="I23" s="3">
        <v>31094</v>
      </c>
      <c r="J23" s="3">
        <v>33324</v>
      </c>
      <c r="K23" s="3">
        <v>33411</v>
      </c>
      <c r="L23" s="3">
        <v>34051</v>
      </c>
      <c r="M23" s="3">
        <v>34662</v>
      </c>
      <c r="N23" s="3">
        <v>34597</v>
      </c>
      <c r="O23" s="3">
        <v>33655</v>
      </c>
      <c r="P23" s="3">
        <v>34502</v>
      </c>
      <c r="Q23" s="3">
        <v>35288</v>
      </c>
      <c r="R23" s="3">
        <v>37677</v>
      </c>
      <c r="S23" s="3">
        <v>38040</v>
      </c>
      <c r="T23" s="3">
        <v>38397</v>
      </c>
      <c r="U23" s="3">
        <v>39058</v>
      </c>
      <c r="V23" s="3">
        <v>41703</v>
      </c>
      <c r="W23" s="3">
        <v>43187</v>
      </c>
      <c r="X23" s="3">
        <v>44530</v>
      </c>
      <c r="Y23" s="3">
        <v>45542</v>
      </c>
      <c r="Z23" s="3">
        <v>36343</v>
      </c>
      <c r="AA23" s="3">
        <v>44729</v>
      </c>
      <c r="AB23" s="3">
        <v>47506</v>
      </c>
      <c r="AC23" s="3">
        <v>51212</v>
      </c>
      <c r="AD23" s="3">
        <v>51828</v>
      </c>
      <c r="AE23" s="3">
        <v>52891</v>
      </c>
      <c r="AF23" s="3">
        <v>54923</v>
      </c>
      <c r="AG23" s="3">
        <v>57212</v>
      </c>
      <c r="AH23" s="3">
        <v>60809</v>
      </c>
      <c r="AI23" s="3">
        <v>62905</v>
      </c>
      <c r="AJ23" s="3">
        <v>64390</v>
      </c>
      <c r="AK23" s="3">
        <v>65737</v>
      </c>
    </row>
    <row r="24" spans="1:37" x14ac:dyDescent="0.3">
      <c r="A24" s="14" t="s">
        <v>219</v>
      </c>
      <c r="B24" s="3">
        <v>-15507</v>
      </c>
      <c r="C24" s="3">
        <v>-14849</v>
      </c>
      <c r="D24" s="3">
        <v>-14741</v>
      </c>
      <c r="E24" s="3">
        <v>-14429</v>
      </c>
      <c r="F24" s="3">
        <v>-14321</v>
      </c>
      <c r="G24" s="3">
        <v>-13908</v>
      </c>
      <c r="H24" s="3">
        <v>-12884</v>
      </c>
      <c r="I24" s="3">
        <v>-12301</v>
      </c>
      <c r="J24" s="3">
        <v>-12114</v>
      </c>
      <c r="K24" s="3">
        <v>-11054</v>
      </c>
      <c r="L24" s="3">
        <v>-10588</v>
      </c>
      <c r="M24" s="3">
        <v>-10644</v>
      </c>
      <c r="N24" s="3">
        <v>-10394</v>
      </c>
      <c r="O24" s="3">
        <v>-10478</v>
      </c>
      <c r="P24" s="3">
        <v>-9426</v>
      </c>
      <c r="Q24" s="3">
        <v>-8924</v>
      </c>
      <c r="R24" s="3">
        <v>-9306</v>
      </c>
      <c r="S24" s="3">
        <v>-8334</v>
      </c>
      <c r="T24" s="3">
        <v>-9465</v>
      </c>
      <c r="U24" s="3">
        <v>-8900</v>
      </c>
      <c r="V24" s="3">
        <v>-8150</v>
      </c>
      <c r="W24" s="3">
        <v>-6739</v>
      </c>
      <c r="X24" s="3">
        <v>-5831</v>
      </c>
      <c r="Y24" s="3">
        <v>-5742</v>
      </c>
      <c r="Z24" s="3">
        <v>-6048</v>
      </c>
      <c r="AA24" s="3">
        <v>-5070</v>
      </c>
      <c r="AB24" s="3">
        <v>-4704</v>
      </c>
      <c r="AC24" s="3">
        <v>-6208</v>
      </c>
      <c r="AD24" s="3">
        <v>-7480</v>
      </c>
      <c r="AE24" s="3">
        <v>-8588</v>
      </c>
      <c r="AF24" s="3">
        <v>-10803</v>
      </c>
      <c r="AG24" s="3">
        <v>-13166</v>
      </c>
      <c r="AH24" s="3">
        <v>-14794</v>
      </c>
      <c r="AI24" s="3">
        <v>-16902</v>
      </c>
      <c r="AJ24" s="3">
        <v>-18910</v>
      </c>
      <c r="AK24" s="3">
        <v>-21078</v>
      </c>
    </row>
    <row r="25" spans="1:37" x14ac:dyDescent="0.3">
      <c r="A25" s="3" t="s">
        <v>220</v>
      </c>
      <c r="B25" s="3">
        <v>31701</v>
      </c>
      <c r="C25" s="3">
        <v>34344</v>
      </c>
      <c r="D25" s="3">
        <v>37652</v>
      </c>
      <c r="E25" s="3">
        <v>38981</v>
      </c>
      <c r="F25" s="3">
        <v>41708</v>
      </c>
      <c r="G25" s="3">
        <v>43711</v>
      </c>
      <c r="H25" s="3">
        <v>44509</v>
      </c>
      <c r="I25" s="3">
        <v>42661</v>
      </c>
      <c r="J25" s="3">
        <v>45083</v>
      </c>
      <c r="K25" s="3">
        <v>46902</v>
      </c>
      <c r="L25" s="3">
        <v>49454</v>
      </c>
      <c r="M25" s="3">
        <v>52368</v>
      </c>
      <c r="N25" s="3">
        <v>54309</v>
      </c>
      <c r="O25" s="3">
        <v>45986</v>
      </c>
      <c r="P25" s="3">
        <v>49846</v>
      </c>
      <c r="Q25" s="3">
        <v>54225</v>
      </c>
      <c r="R25" s="3">
        <v>56464</v>
      </c>
      <c r="S25" s="3">
        <v>57882</v>
      </c>
      <c r="T25" s="3">
        <v>59435</v>
      </c>
      <c r="U25" s="3">
        <v>59631</v>
      </c>
      <c r="V25" s="3">
        <v>57072</v>
      </c>
      <c r="W25" s="3">
        <v>63420</v>
      </c>
      <c r="X25" s="3">
        <v>65156</v>
      </c>
      <c r="Y25" s="3">
        <v>62564</v>
      </c>
      <c r="Z25" s="3">
        <v>43444</v>
      </c>
      <c r="AA25" s="3">
        <v>56503</v>
      </c>
      <c r="AB25" s="3">
        <v>71178</v>
      </c>
      <c r="AC25" s="3">
        <v>75962</v>
      </c>
      <c r="AD25" s="3">
        <v>82657</v>
      </c>
      <c r="AE25" s="3">
        <v>83129</v>
      </c>
      <c r="AF25" s="3">
        <v>87130</v>
      </c>
      <c r="AG25" s="3">
        <v>90075</v>
      </c>
      <c r="AH25" s="3">
        <v>91394</v>
      </c>
      <c r="AI25" s="3">
        <v>91392</v>
      </c>
      <c r="AJ25" s="3">
        <v>94166</v>
      </c>
      <c r="AK25" s="3">
        <v>96361</v>
      </c>
    </row>
    <row r="26" spans="1:37" x14ac:dyDescent="0.3">
      <c r="A26" s="3" t="s">
        <v>224</v>
      </c>
      <c r="B26" s="3">
        <v>44306</v>
      </c>
      <c r="C26" s="3">
        <v>49614</v>
      </c>
      <c r="D26" s="3">
        <v>54001</v>
      </c>
      <c r="E26" s="3">
        <v>57650</v>
      </c>
      <c r="F26" s="3">
        <v>62081</v>
      </c>
      <c r="G26" s="3">
        <v>64556</v>
      </c>
      <c r="H26" s="3">
        <v>67584</v>
      </c>
      <c r="I26" s="3">
        <v>67318</v>
      </c>
      <c r="J26" s="3">
        <v>72281</v>
      </c>
      <c r="K26" s="3">
        <v>75769</v>
      </c>
      <c r="L26" s="3">
        <v>79921</v>
      </c>
      <c r="M26" s="3">
        <v>83753</v>
      </c>
      <c r="N26" s="3">
        <v>86212</v>
      </c>
      <c r="O26" s="3">
        <v>76780</v>
      </c>
      <c r="P26" s="3">
        <v>82864</v>
      </c>
      <c r="Q26" s="3">
        <v>88951</v>
      </c>
      <c r="R26" s="3">
        <v>93522</v>
      </c>
      <c r="S26" s="3">
        <v>96448</v>
      </c>
      <c r="T26" s="3">
        <v>97973</v>
      </c>
      <c r="U26" s="3">
        <v>99548</v>
      </c>
      <c r="V26" s="3">
        <v>100531</v>
      </c>
      <c r="W26" s="3">
        <v>110094</v>
      </c>
      <c r="X26" s="3">
        <v>114419</v>
      </c>
      <c r="Y26" s="3">
        <v>113241</v>
      </c>
      <c r="Z26" s="3">
        <v>84753</v>
      </c>
      <c r="AA26" s="3">
        <v>107924</v>
      </c>
      <c r="AB26" s="3">
        <v>127304</v>
      </c>
      <c r="AC26" s="3">
        <v>135405</v>
      </c>
      <c r="AD26" s="3">
        <v>141735</v>
      </c>
      <c r="AE26" s="3">
        <v>142683</v>
      </c>
      <c r="AF26" s="3">
        <v>147137</v>
      </c>
      <c r="AG26" s="3">
        <v>150696</v>
      </c>
      <c r="AH26" s="3">
        <v>154577</v>
      </c>
      <c r="AI26" s="3">
        <v>155169</v>
      </c>
      <c r="AJ26" s="3">
        <v>158105</v>
      </c>
      <c r="AK26" s="3">
        <v>160243</v>
      </c>
    </row>
    <row r="27" spans="1:37" x14ac:dyDescent="0.3">
      <c r="A27" s="11" t="s">
        <v>229</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row>
    <row r="28" spans="1:37" x14ac:dyDescent="0.3">
      <c r="A28" s="3" t="s">
        <v>230</v>
      </c>
      <c r="B28" s="3">
        <v>2702</v>
      </c>
      <c r="C28" s="3">
        <v>2645</v>
      </c>
      <c r="D28" s="3">
        <v>2909</v>
      </c>
      <c r="E28" s="3">
        <v>2881</v>
      </c>
      <c r="F28" s="3">
        <v>2891</v>
      </c>
      <c r="G28" s="3">
        <v>2583</v>
      </c>
      <c r="H28" s="3">
        <v>2796</v>
      </c>
      <c r="I28" s="3">
        <v>3618</v>
      </c>
      <c r="J28" s="3">
        <v>4126</v>
      </c>
      <c r="K28" s="3">
        <v>4208</v>
      </c>
      <c r="L28" s="3">
        <v>4309</v>
      </c>
      <c r="M28" s="3">
        <v>3662</v>
      </c>
      <c r="N28" s="3">
        <v>4878</v>
      </c>
      <c r="O28" s="3">
        <v>4373</v>
      </c>
      <c r="P28" s="3">
        <v>3497</v>
      </c>
      <c r="Q28" s="3">
        <v>4285</v>
      </c>
      <c r="R28" s="3">
        <v>3973</v>
      </c>
      <c r="S28" s="3">
        <v>5262</v>
      </c>
      <c r="T28" s="3">
        <v>4885</v>
      </c>
      <c r="U28" s="3">
        <v>5784</v>
      </c>
      <c r="V28" s="3">
        <v>5977</v>
      </c>
      <c r="W28" s="3">
        <v>4657</v>
      </c>
      <c r="X28" s="3">
        <v>5247</v>
      </c>
      <c r="Y28" s="3">
        <v>5579</v>
      </c>
      <c r="Z28" s="3">
        <v>6371</v>
      </c>
      <c r="AA28" s="3">
        <v>6678</v>
      </c>
      <c r="AB28" s="3">
        <v>5763</v>
      </c>
      <c r="AC28" s="3">
        <v>8032</v>
      </c>
      <c r="AD28" s="3">
        <v>10143</v>
      </c>
      <c r="AE28" s="3">
        <v>8213</v>
      </c>
      <c r="AF28" s="3">
        <v>9281</v>
      </c>
      <c r="AG28" s="3">
        <v>10001</v>
      </c>
      <c r="AH28" s="3">
        <v>10643</v>
      </c>
      <c r="AI28" s="3">
        <v>10831</v>
      </c>
      <c r="AJ28" s="3">
        <v>9284</v>
      </c>
      <c r="AK28" s="3">
        <v>9409</v>
      </c>
    </row>
    <row r="29" spans="1:37" x14ac:dyDescent="0.3">
      <c r="A29" s="11" t="s">
        <v>231</v>
      </c>
      <c r="B29" s="3">
        <v>219271</v>
      </c>
      <c r="C29" s="3">
        <v>229555</v>
      </c>
      <c r="D29" s="3">
        <v>238273</v>
      </c>
      <c r="E29" s="3">
        <v>247952</v>
      </c>
      <c r="F29" s="3">
        <v>262984</v>
      </c>
      <c r="G29" s="3">
        <v>269280</v>
      </c>
      <c r="H29" s="3">
        <v>277978</v>
      </c>
      <c r="I29" s="3">
        <v>286570</v>
      </c>
      <c r="J29" s="3">
        <v>300941</v>
      </c>
      <c r="K29" s="3">
        <v>313911</v>
      </c>
      <c r="L29" s="3">
        <v>329828</v>
      </c>
      <c r="M29" s="3">
        <v>348399</v>
      </c>
      <c r="N29" s="3">
        <v>360298</v>
      </c>
      <c r="O29" s="3">
        <v>354547</v>
      </c>
      <c r="P29" s="3">
        <v>368777</v>
      </c>
      <c r="Q29" s="3">
        <v>379344</v>
      </c>
      <c r="R29" s="3">
        <v>396693</v>
      </c>
      <c r="S29" s="3">
        <v>403682</v>
      </c>
      <c r="T29" s="3">
        <v>413174</v>
      </c>
      <c r="U29" s="3">
        <v>421387</v>
      </c>
      <c r="V29" s="3">
        <v>432309</v>
      </c>
      <c r="W29" s="3">
        <v>447361</v>
      </c>
      <c r="X29" s="3">
        <v>464133</v>
      </c>
      <c r="Y29" s="3">
        <v>483487</v>
      </c>
      <c r="Z29" s="3">
        <v>467902</v>
      </c>
      <c r="AA29" s="3">
        <v>512572</v>
      </c>
      <c r="AB29" s="3">
        <v>568888</v>
      </c>
      <c r="AC29" s="3">
        <v>613136</v>
      </c>
      <c r="AD29" s="3">
        <v>630401</v>
      </c>
      <c r="AE29" s="3">
        <v>650233</v>
      </c>
      <c r="AF29" s="3">
        <v>671883</v>
      </c>
      <c r="AG29" s="3">
        <v>696385</v>
      </c>
      <c r="AH29" s="3">
        <v>719838</v>
      </c>
      <c r="AI29" s="3">
        <v>742937</v>
      </c>
      <c r="AJ29" s="3">
        <v>765973</v>
      </c>
      <c r="AK29" s="3">
        <v>788487</v>
      </c>
    </row>
  </sheetData>
  <mergeCells count="2">
    <mergeCell ref="A1:AK1"/>
    <mergeCell ref="A2:AK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D984B-1BCE-4B50-A401-7B2E2B58B59D}">
  <dimension ref="A1:AK17"/>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21" width="6" style="1" bestFit="1" customWidth="1"/>
    <col min="22" max="37" width="7" style="1" bestFit="1" customWidth="1"/>
    <col min="38" max="16384" width="9.109375" style="1"/>
  </cols>
  <sheetData>
    <row r="1" spans="1:37" ht="15" customHeight="1" x14ac:dyDescent="0.3">
      <c r="A1" s="28" t="s">
        <v>203</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78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204</v>
      </c>
      <c r="B4" s="5">
        <v>55275</v>
      </c>
      <c r="C4" s="5">
        <v>61801</v>
      </c>
      <c r="D4" s="5">
        <v>62985</v>
      </c>
      <c r="E4" s="5">
        <v>67329</v>
      </c>
      <c r="F4" s="5">
        <v>71883</v>
      </c>
      <c r="G4" s="5">
        <v>71423</v>
      </c>
      <c r="H4" s="5">
        <v>73525</v>
      </c>
      <c r="I4" s="5">
        <v>75649</v>
      </c>
      <c r="J4" s="5">
        <v>81907</v>
      </c>
      <c r="K4" s="5">
        <v>85459</v>
      </c>
      <c r="L4" s="5">
        <v>91608</v>
      </c>
      <c r="M4" s="5">
        <v>98811</v>
      </c>
      <c r="N4" s="5">
        <v>95873</v>
      </c>
      <c r="O4" s="5">
        <v>85617</v>
      </c>
      <c r="P4" s="5">
        <v>88655</v>
      </c>
      <c r="Q4" s="5">
        <v>87514</v>
      </c>
      <c r="R4" s="5">
        <v>98019</v>
      </c>
      <c r="S4" s="5">
        <v>94350</v>
      </c>
      <c r="T4" s="5">
        <v>97410</v>
      </c>
      <c r="U4" s="5">
        <v>99888</v>
      </c>
      <c r="V4" s="5">
        <v>102665</v>
      </c>
      <c r="W4" s="5">
        <v>107516</v>
      </c>
      <c r="X4" s="5">
        <v>110644</v>
      </c>
      <c r="Y4" s="5">
        <v>119623</v>
      </c>
      <c r="Z4" s="5">
        <v>115142</v>
      </c>
      <c r="AA4" s="5">
        <v>133841</v>
      </c>
      <c r="AB4" s="5">
        <v>142519</v>
      </c>
      <c r="AC4" s="5">
        <v>153867</v>
      </c>
      <c r="AD4" s="5">
        <v>148481</v>
      </c>
      <c r="AE4" s="5">
        <v>152621</v>
      </c>
      <c r="AF4" s="5">
        <v>152426</v>
      </c>
      <c r="AG4" s="5">
        <v>155566</v>
      </c>
      <c r="AH4" s="5">
        <v>160933</v>
      </c>
      <c r="AI4" s="5">
        <v>167578</v>
      </c>
      <c r="AJ4" s="5">
        <v>176295</v>
      </c>
      <c r="AK4" s="5">
        <v>181593</v>
      </c>
    </row>
    <row r="5" spans="1:37" x14ac:dyDescent="0.3">
      <c r="A5" s="7" t="s">
        <v>205</v>
      </c>
      <c r="B5" s="3">
        <v>55431</v>
      </c>
      <c r="C5" s="3">
        <v>61489</v>
      </c>
      <c r="D5" s="3">
        <v>63196</v>
      </c>
      <c r="E5" s="3">
        <v>67327</v>
      </c>
      <c r="F5" s="3">
        <v>72034</v>
      </c>
      <c r="G5" s="3">
        <v>71831</v>
      </c>
      <c r="H5" s="3">
        <v>73860</v>
      </c>
      <c r="I5" s="3">
        <v>75769</v>
      </c>
      <c r="J5" s="3">
        <v>81802</v>
      </c>
      <c r="K5" s="3">
        <v>85600</v>
      </c>
      <c r="L5" s="3">
        <v>91452</v>
      </c>
      <c r="M5" s="3">
        <v>99868</v>
      </c>
      <c r="N5" s="3">
        <v>97274</v>
      </c>
      <c r="O5" s="3">
        <v>86174</v>
      </c>
      <c r="P5" s="3">
        <v>88810</v>
      </c>
      <c r="Q5" s="3">
        <v>88184</v>
      </c>
      <c r="R5" s="3">
        <v>95185</v>
      </c>
      <c r="S5" s="3">
        <v>94400</v>
      </c>
      <c r="T5" s="3">
        <v>98415</v>
      </c>
      <c r="U5" s="3">
        <v>99832</v>
      </c>
      <c r="V5" s="3">
        <v>102180</v>
      </c>
      <c r="W5" s="3">
        <v>107074</v>
      </c>
      <c r="X5" s="3">
        <v>110705</v>
      </c>
      <c r="Y5" s="3">
        <v>118909</v>
      </c>
      <c r="Z5" s="3">
        <v>115869</v>
      </c>
      <c r="AA5" s="3">
        <v>132865</v>
      </c>
      <c r="AB5" s="3">
        <v>141707</v>
      </c>
      <c r="AC5" s="3">
        <v>152886</v>
      </c>
      <c r="AD5" s="3">
        <v>149597</v>
      </c>
      <c r="AE5" s="3">
        <v>152302</v>
      </c>
      <c r="AF5" s="3">
        <v>152148</v>
      </c>
      <c r="AG5" s="3">
        <v>155884</v>
      </c>
      <c r="AH5" s="3">
        <v>161577</v>
      </c>
      <c r="AI5" s="3">
        <v>168042</v>
      </c>
      <c r="AJ5" s="3">
        <v>176803</v>
      </c>
      <c r="AK5" s="3">
        <v>182306</v>
      </c>
    </row>
    <row r="6" spans="1:37" x14ac:dyDescent="0.3">
      <c r="A6" s="16" t="s">
        <v>206</v>
      </c>
      <c r="B6" s="3">
        <v>30944</v>
      </c>
      <c r="C6" s="3">
        <v>32795</v>
      </c>
      <c r="D6" s="3">
        <v>31985</v>
      </c>
      <c r="E6" s="3">
        <v>33719</v>
      </c>
      <c r="F6" s="3">
        <v>36816</v>
      </c>
      <c r="G6" s="3">
        <v>32940</v>
      </c>
      <c r="H6" s="3">
        <v>36187</v>
      </c>
      <c r="I6" s="3">
        <v>41384</v>
      </c>
      <c r="J6" s="3">
        <v>46143</v>
      </c>
      <c r="K6" s="3">
        <v>48209</v>
      </c>
      <c r="L6" s="3">
        <v>49755</v>
      </c>
      <c r="M6" s="3">
        <v>54713</v>
      </c>
      <c r="N6" s="3">
        <v>51454</v>
      </c>
      <c r="O6" s="3">
        <v>53649</v>
      </c>
      <c r="P6" s="3">
        <v>58667</v>
      </c>
      <c r="Q6" s="3">
        <v>55635</v>
      </c>
      <c r="R6" s="3">
        <v>62049</v>
      </c>
      <c r="S6" s="3">
        <v>62003</v>
      </c>
      <c r="T6" s="3">
        <v>67334</v>
      </c>
      <c r="U6" s="3">
        <v>70118</v>
      </c>
      <c r="V6" s="3">
        <v>72512</v>
      </c>
      <c r="W6" s="3">
        <v>70346</v>
      </c>
      <c r="X6" s="3">
        <v>73172</v>
      </c>
      <c r="Y6" s="3">
        <v>81422</v>
      </c>
      <c r="Z6" s="3">
        <v>88596</v>
      </c>
      <c r="AA6" s="3">
        <v>94800</v>
      </c>
      <c r="AB6" s="3">
        <v>103092</v>
      </c>
      <c r="AC6" s="3">
        <v>107613</v>
      </c>
      <c r="AD6" s="3">
        <v>107737</v>
      </c>
      <c r="AE6" s="3">
        <v>115181</v>
      </c>
      <c r="AF6" s="3">
        <v>120886</v>
      </c>
      <c r="AG6" s="3">
        <v>125349</v>
      </c>
      <c r="AH6" s="3">
        <v>130513</v>
      </c>
      <c r="AI6" s="3">
        <v>137745</v>
      </c>
      <c r="AJ6" s="3">
        <v>144720</v>
      </c>
      <c r="AK6" s="3">
        <v>151992</v>
      </c>
    </row>
    <row r="7" spans="1:37" x14ac:dyDescent="0.3">
      <c r="A7" s="16" t="s">
        <v>207</v>
      </c>
      <c r="B7" s="3">
        <v>26109</v>
      </c>
      <c r="C7" s="3">
        <v>25771</v>
      </c>
      <c r="D7" s="3">
        <v>25644</v>
      </c>
      <c r="E7" s="3">
        <v>27012</v>
      </c>
      <c r="F7" s="3">
        <v>26667</v>
      </c>
      <c r="G7" s="3">
        <v>30315</v>
      </c>
      <c r="H7" s="3">
        <v>30433</v>
      </c>
      <c r="I7" s="3">
        <v>29956</v>
      </c>
      <c r="J7" s="3">
        <v>28938</v>
      </c>
      <c r="K7" s="3">
        <v>29825</v>
      </c>
      <c r="L7" s="3">
        <v>32488</v>
      </c>
      <c r="M7" s="3">
        <v>35086</v>
      </c>
      <c r="N7" s="3">
        <v>38948</v>
      </c>
      <c r="O7" s="3">
        <v>39571</v>
      </c>
      <c r="P7" s="3">
        <v>33471</v>
      </c>
      <c r="Q7" s="3">
        <v>33931</v>
      </c>
      <c r="R7" s="3">
        <v>33337</v>
      </c>
      <c r="S7" s="3">
        <v>31248</v>
      </c>
      <c r="T7" s="3">
        <v>30394</v>
      </c>
      <c r="U7" s="3">
        <v>28205</v>
      </c>
      <c r="V7" s="3">
        <v>28765</v>
      </c>
      <c r="W7" s="3">
        <v>28777</v>
      </c>
      <c r="X7" s="3">
        <v>29112</v>
      </c>
      <c r="Y7" s="3">
        <v>34074</v>
      </c>
      <c r="Z7" s="3">
        <v>54400</v>
      </c>
      <c r="AA7" s="3">
        <v>49914</v>
      </c>
      <c r="AB7" s="3">
        <v>42433</v>
      </c>
      <c r="AC7" s="3">
        <v>50092</v>
      </c>
      <c r="AD7" s="3">
        <v>47758</v>
      </c>
      <c r="AE7" s="3">
        <v>48115</v>
      </c>
      <c r="AF7" s="3">
        <v>43612</v>
      </c>
      <c r="AG7" s="3">
        <v>45341</v>
      </c>
      <c r="AH7" s="3">
        <v>47170</v>
      </c>
      <c r="AI7" s="3">
        <v>50675</v>
      </c>
      <c r="AJ7" s="3">
        <v>53429</v>
      </c>
      <c r="AK7" s="3">
        <v>54705</v>
      </c>
    </row>
    <row r="8" spans="1:37" x14ac:dyDescent="0.3">
      <c r="A8" s="16" t="s">
        <v>208</v>
      </c>
      <c r="B8" s="3">
        <v>-2235</v>
      </c>
      <c r="C8" s="3">
        <v>2211</v>
      </c>
      <c r="D8" s="3">
        <v>4926</v>
      </c>
      <c r="E8" s="3">
        <v>6079</v>
      </c>
      <c r="F8" s="3">
        <v>8137</v>
      </c>
      <c r="G8" s="3">
        <v>8216</v>
      </c>
      <c r="H8" s="3">
        <v>7088</v>
      </c>
      <c r="I8" s="3">
        <v>4098</v>
      </c>
      <c r="J8" s="3">
        <v>6393</v>
      </c>
      <c r="K8" s="3">
        <v>7272</v>
      </c>
      <c r="L8" s="3">
        <v>8589</v>
      </c>
      <c r="M8" s="3">
        <v>9483</v>
      </c>
      <c r="N8" s="3">
        <v>6488</v>
      </c>
      <c r="O8" s="3">
        <v>-7109</v>
      </c>
      <c r="P8" s="3">
        <v>-3364</v>
      </c>
      <c r="Q8" s="3">
        <v>-1428</v>
      </c>
      <c r="R8" s="3">
        <v>-249</v>
      </c>
      <c r="S8" s="3">
        <v>975</v>
      </c>
      <c r="T8" s="3">
        <v>393</v>
      </c>
      <c r="U8" s="3">
        <v>1225</v>
      </c>
      <c r="V8" s="3">
        <v>617</v>
      </c>
      <c r="W8" s="3">
        <v>7594</v>
      </c>
      <c r="X8" s="3">
        <v>8039</v>
      </c>
      <c r="Y8" s="3">
        <v>3178</v>
      </c>
      <c r="Z8" s="3">
        <v>-27645</v>
      </c>
      <c r="AA8" s="3">
        <v>-12347</v>
      </c>
      <c r="AB8" s="3">
        <v>-4303</v>
      </c>
      <c r="AC8" s="3">
        <v>-5465</v>
      </c>
      <c r="AD8" s="3">
        <v>-6048</v>
      </c>
      <c r="AE8" s="3">
        <v>-11146</v>
      </c>
      <c r="AF8" s="3">
        <v>-12507</v>
      </c>
      <c r="AG8" s="3">
        <v>-14970</v>
      </c>
      <c r="AH8" s="3">
        <v>-16273</v>
      </c>
      <c r="AI8" s="3">
        <v>-20549</v>
      </c>
      <c r="AJ8" s="3">
        <v>-21521</v>
      </c>
      <c r="AK8" s="3">
        <v>-24568</v>
      </c>
    </row>
    <row r="9" spans="1:37" x14ac:dyDescent="0.3">
      <c r="A9" s="16" t="s">
        <v>209</v>
      </c>
      <c r="B9" s="3">
        <v>614</v>
      </c>
      <c r="C9" s="3">
        <v>711</v>
      </c>
      <c r="D9" s="3">
        <v>640</v>
      </c>
      <c r="E9" s="3">
        <v>517</v>
      </c>
      <c r="F9" s="3">
        <v>415</v>
      </c>
      <c r="G9" s="3">
        <v>359</v>
      </c>
      <c r="H9" s="3">
        <v>152</v>
      </c>
      <c r="I9" s="3">
        <v>331</v>
      </c>
      <c r="J9" s="3">
        <v>328</v>
      </c>
      <c r="K9" s="3">
        <v>294</v>
      </c>
      <c r="L9" s="3">
        <v>620</v>
      </c>
      <c r="M9" s="3">
        <v>587</v>
      </c>
      <c r="N9" s="3">
        <v>385</v>
      </c>
      <c r="O9" s="3">
        <v>64</v>
      </c>
      <c r="P9" s="3">
        <v>35</v>
      </c>
      <c r="Q9" s="3">
        <v>47</v>
      </c>
      <c r="R9" s="3">
        <v>48</v>
      </c>
      <c r="S9" s="3">
        <v>174</v>
      </c>
      <c r="T9" s="3">
        <v>294</v>
      </c>
      <c r="U9" s="3">
        <v>284</v>
      </c>
      <c r="V9" s="3">
        <v>286</v>
      </c>
      <c r="W9" s="3">
        <v>358</v>
      </c>
      <c r="X9" s="3">
        <v>382</v>
      </c>
      <c r="Y9" s="3">
        <v>235</v>
      </c>
      <c r="Z9" s="3">
        <v>517</v>
      </c>
      <c r="AA9" s="3">
        <v>498</v>
      </c>
      <c r="AB9" s="3">
        <v>484</v>
      </c>
      <c r="AC9" s="3">
        <v>645</v>
      </c>
      <c r="AD9" s="3">
        <v>150</v>
      </c>
      <c r="AE9" s="3">
        <v>152</v>
      </c>
      <c r="AF9" s="3">
        <v>158</v>
      </c>
      <c r="AG9" s="3">
        <v>163</v>
      </c>
      <c r="AH9" s="3">
        <v>167</v>
      </c>
      <c r="AI9" s="3">
        <v>171</v>
      </c>
      <c r="AJ9" s="3">
        <v>174</v>
      </c>
      <c r="AK9" s="3">
        <v>178</v>
      </c>
    </row>
    <row r="10" spans="1:37" x14ac:dyDescent="0.3">
      <c r="A10" s="7" t="s">
        <v>210</v>
      </c>
      <c r="B10" s="3">
        <v>-156</v>
      </c>
      <c r="C10" s="3">
        <v>312</v>
      </c>
      <c r="D10" s="3">
        <v>-211</v>
      </c>
      <c r="E10" s="3">
        <v>3</v>
      </c>
      <c r="F10" s="3">
        <v>-152</v>
      </c>
      <c r="G10" s="3">
        <v>-409</v>
      </c>
      <c r="H10" s="3">
        <v>-335</v>
      </c>
      <c r="I10" s="3">
        <v>-121</v>
      </c>
      <c r="J10" s="3">
        <v>105</v>
      </c>
      <c r="K10" s="3">
        <v>-141</v>
      </c>
      <c r="L10" s="3">
        <v>156</v>
      </c>
      <c r="M10" s="3">
        <v>-1058</v>
      </c>
      <c r="N10" s="3">
        <v>-1402</v>
      </c>
      <c r="O10" s="3">
        <v>-558</v>
      </c>
      <c r="P10" s="3">
        <v>-154</v>
      </c>
      <c r="Q10" s="3">
        <v>-671</v>
      </c>
      <c r="R10" s="3">
        <v>2834</v>
      </c>
      <c r="S10" s="3">
        <v>-50</v>
      </c>
      <c r="T10" s="3">
        <v>-1005</v>
      </c>
      <c r="U10" s="3">
        <v>56</v>
      </c>
      <c r="V10" s="3">
        <v>485</v>
      </c>
      <c r="W10" s="3">
        <v>443</v>
      </c>
      <c r="X10" s="3">
        <v>-61</v>
      </c>
      <c r="Y10" s="3">
        <v>714</v>
      </c>
      <c r="Z10" s="3">
        <v>-727</v>
      </c>
      <c r="AA10" s="3">
        <v>976</v>
      </c>
      <c r="AB10" s="3">
        <v>812</v>
      </c>
      <c r="AC10" s="3">
        <v>981</v>
      </c>
      <c r="AD10" s="3">
        <v>-1116</v>
      </c>
      <c r="AE10" s="3">
        <v>319</v>
      </c>
      <c r="AF10" s="3">
        <v>278</v>
      </c>
      <c r="AG10" s="3">
        <v>-318</v>
      </c>
      <c r="AH10" s="3">
        <v>-644</v>
      </c>
      <c r="AI10" s="3">
        <v>-464</v>
      </c>
      <c r="AJ10" s="3">
        <v>-508</v>
      </c>
      <c r="AK10" s="3">
        <v>-713</v>
      </c>
    </row>
    <row r="11" spans="1:37" x14ac:dyDescent="0.3">
      <c r="A11" s="11" t="s">
        <v>211</v>
      </c>
      <c r="B11" s="3">
        <v>46318</v>
      </c>
      <c r="C11" s="3">
        <v>49947</v>
      </c>
      <c r="D11" s="3">
        <v>51936</v>
      </c>
      <c r="E11" s="3">
        <v>54968</v>
      </c>
      <c r="F11" s="3">
        <v>60947</v>
      </c>
      <c r="G11" s="3">
        <v>59802</v>
      </c>
      <c r="H11" s="3">
        <v>56670</v>
      </c>
      <c r="I11" s="3">
        <v>58932</v>
      </c>
      <c r="J11" s="3">
        <v>67274</v>
      </c>
      <c r="K11" s="3">
        <v>73402</v>
      </c>
      <c r="L11" s="3">
        <v>77851</v>
      </c>
      <c r="M11" s="3">
        <v>84465</v>
      </c>
      <c r="N11" s="3">
        <v>91134</v>
      </c>
      <c r="O11" s="3">
        <v>76502</v>
      </c>
      <c r="P11" s="3">
        <v>81244</v>
      </c>
      <c r="Q11" s="3">
        <v>92608</v>
      </c>
      <c r="R11" s="3">
        <v>91443</v>
      </c>
      <c r="S11" s="3">
        <v>89515</v>
      </c>
      <c r="T11" s="3">
        <v>94149</v>
      </c>
      <c r="U11" s="3">
        <v>96889</v>
      </c>
      <c r="V11" s="3">
        <v>103596</v>
      </c>
      <c r="W11" s="3">
        <v>107870</v>
      </c>
      <c r="X11" s="3">
        <v>117395</v>
      </c>
      <c r="Y11" s="3">
        <v>118226</v>
      </c>
      <c r="Z11" s="3">
        <v>111478</v>
      </c>
      <c r="AA11" s="3">
        <v>123554</v>
      </c>
      <c r="AB11" s="3">
        <v>152984</v>
      </c>
      <c r="AC11" s="3">
        <v>152356</v>
      </c>
      <c r="AD11" s="3">
        <v>151732</v>
      </c>
      <c r="AE11" s="3">
        <v>164801</v>
      </c>
      <c r="AF11" s="3">
        <v>169846</v>
      </c>
      <c r="AG11" s="3">
        <v>172414</v>
      </c>
      <c r="AH11" s="3">
        <v>180207</v>
      </c>
      <c r="AI11" s="3">
        <v>188881</v>
      </c>
      <c r="AJ11" s="3">
        <v>197866</v>
      </c>
      <c r="AK11" s="3">
        <v>204624</v>
      </c>
    </row>
    <row r="12" spans="1:37" x14ac:dyDescent="0.3">
      <c r="A12" s="7" t="s">
        <v>212</v>
      </c>
      <c r="B12" s="3">
        <v>46318</v>
      </c>
      <c r="C12" s="3">
        <v>49947</v>
      </c>
      <c r="D12" s="3">
        <v>51936</v>
      </c>
      <c r="E12" s="3">
        <v>54968</v>
      </c>
      <c r="F12" s="3">
        <v>60947</v>
      </c>
      <c r="G12" s="3">
        <v>59802</v>
      </c>
      <c r="H12" s="3">
        <v>56670</v>
      </c>
      <c r="I12" s="3">
        <v>58932</v>
      </c>
      <c r="J12" s="3">
        <v>67274</v>
      </c>
      <c r="K12" s="3">
        <v>73402</v>
      </c>
      <c r="L12" s="3">
        <v>77851</v>
      </c>
      <c r="M12" s="3">
        <v>84465</v>
      </c>
      <c r="N12" s="3">
        <v>91134</v>
      </c>
      <c r="O12" s="3">
        <v>76502</v>
      </c>
      <c r="P12" s="3">
        <v>81244</v>
      </c>
      <c r="Q12" s="3">
        <v>92608</v>
      </c>
      <c r="R12" s="3">
        <v>91443</v>
      </c>
      <c r="S12" s="3">
        <v>89515</v>
      </c>
      <c r="T12" s="3">
        <v>94149</v>
      </c>
      <c r="U12" s="3">
        <v>96889</v>
      </c>
      <c r="V12" s="3">
        <v>103596</v>
      </c>
      <c r="W12" s="3">
        <v>107870</v>
      </c>
      <c r="X12" s="3">
        <v>117395</v>
      </c>
      <c r="Y12" s="3">
        <v>118226</v>
      </c>
      <c r="Z12" s="3">
        <v>111478</v>
      </c>
      <c r="AA12" s="3">
        <v>123554</v>
      </c>
      <c r="AB12" s="3">
        <v>152984</v>
      </c>
      <c r="AC12" s="3">
        <v>152356</v>
      </c>
      <c r="AD12" s="3">
        <v>151732</v>
      </c>
      <c r="AE12" s="3">
        <v>164801</v>
      </c>
      <c r="AF12" s="3">
        <v>169846</v>
      </c>
      <c r="AG12" s="3">
        <v>172414</v>
      </c>
      <c r="AH12" s="3">
        <v>180207</v>
      </c>
      <c r="AI12" s="3">
        <v>188881</v>
      </c>
      <c r="AJ12" s="3">
        <v>197866</v>
      </c>
      <c r="AK12" s="3">
        <v>204624</v>
      </c>
    </row>
    <row r="13" spans="1:37" x14ac:dyDescent="0.3">
      <c r="A13" s="16" t="s">
        <v>206</v>
      </c>
      <c r="B13" s="3">
        <v>28759</v>
      </c>
      <c r="C13" s="3">
        <v>30766</v>
      </c>
      <c r="D13" s="3">
        <v>33234</v>
      </c>
      <c r="E13" s="3">
        <v>34632</v>
      </c>
      <c r="F13" s="3">
        <v>40071</v>
      </c>
      <c r="G13" s="3">
        <v>40036</v>
      </c>
      <c r="H13" s="3">
        <v>37082</v>
      </c>
      <c r="I13" s="3">
        <v>38566</v>
      </c>
      <c r="J13" s="3">
        <v>45361</v>
      </c>
      <c r="K13" s="3">
        <v>48400</v>
      </c>
      <c r="L13" s="3">
        <v>51102</v>
      </c>
      <c r="M13" s="3">
        <v>55176</v>
      </c>
      <c r="N13" s="3">
        <v>60221</v>
      </c>
      <c r="O13" s="3">
        <v>46805</v>
      </c>
      <c r="P13" s="3">
        <v>50277</v>
      </c>
      <c r="Q13" s="3">
        <v>60257</v>
      </c>
      <c r="R13" s="3">
        <v>57498</v>
      </c>
      <c r="S13" s="3">
        <v>56636</v>
      </c>
      <c r="T13" s="3">
        <v>59231</v>
      </c>
      <c r="U13" s="3">
        <v>62366</v>
      </c>
      <c r="V13" s="3">
        <v>68043</v>
      </c>
      <c r="W13" s="3">
        <v>71053</v>
      </c>
      <c r="X13" s="3">
        <v>78406</v>
      </c>
      <c r="Y13" s="3">
        <v>77144</v>
      </c>
      <c r="Z13" s="3">
        <v>71219</v>
      </c>
      <c r="AA13" s="3">
        <v>79573</v>
      </c>
      <c r="AB13" s="3">
        <v>104882</v>
      </c>
      <c r="AC13" s="3">
        <v>101580</v>
      </c>
      <c r="AD13" s="3">
        <v>100608</v>
      </c>
      <c r="AE13" s="3">
        <v>115121</v>
      </c>
      <c r="AF13" s="3">
        <v>118679</v>
      </c>
      <c r="AG13" s="3">
        <v>119795</v>
      </c>
      <c r="AH13" s="3">
        <v>125026</v>
      </c>
      <c r="AI13" s="3">
        <v>130726</v>
      </c>
      <c r="AJ13" s="3">
        <v>136286</v>
      </c>
      <c r="AK13" s="3">
        <v>141963</v>
      </c>
    </row>
    <row r="14" spans="1:37" x14ac:dyDescent="0.3">
      <c r="A14" s="16" t="s">
        <v>207</v>
      </c>
      <c r="B14" s="3">
        <v>12834</v>
      </c>
      <c r="C14" s="3">
        <v>14110</v>
      </c>
      <c r="D14" s="3">
        <v>13532</v>
      </c>
      <c r="E14" s="3">
        <v>14136</v>
      </c>
      <c r="F14" s="3">
        <v>14290</v>
      </c>
      <c r="G14" s="3">
        <v>13771</v>
      </c>
      <c r="H14" s="3">
        <v>13566</v>
      </c>
      <c r="I14" s="3">
        <v>13992</v>
      </c>
      <c r="J14" s="3">
        <v>15429</v>
      </c>
      <c r="K14" s="3">
        <v>18138</v>
      </c>
      <c r="L14" s="3">
        <v>19977</v>
      </c>
      <c r="M14" s="3">
        <v>21946</v>
      </c>
      <c r="N14" s="3">
        <v>22998</v>
      </c>
      <c r="O14" s="3">
        <v>21179</v>
      </c>
      <c r="P14" s="3">
        <v>22135</v>
      </c>
      <c r="Q14" s="3">
        <v>22429</v>
      </c>
      <c r="R14" s="3">
        <v>23424</v>
      </c>
      <c r="S14" s="3">
        <v>23098</v>
      </c>
      <c r="T14" s="3">
        <v>24339</v>
      </c>
      <c r="U14" s="3">
        <v>23820</v>
      </c>
      <c r="V14" s="3">
        <v>24713</v>
      </c>
      <c r="W14" s="3">
        <v>25636</v>
      </c>
      <c r="X14" s="3">
        <v>26426</v>
      </c>
      <c r="Y14" s="3">
        <v>28117</v>
      </c>
      <c r="Z14" s="3">
        <v>27177</v>
      </c>
      <c r="AA14" s="3">
        <v>29621</v>
      </c>
      <c r="AB14" s="3">
        <v>31961</v>
      </c>
      <c r="AC14" s="3">
        <v>32969</v>
      </c>
      <c r="AD14" s="3">
        <v>31431</v>
      </c>
      <c r="AE14" s="3">
        <v>29387</v>
      </c>
      <c r="AF14" s="3">
        <v>30014</v>
      </c>
      <c r="AG14" s="3">
        <v>31488</v>
      </c>
      <c r="AH14" s="3">
        <v>33085</v>
      </c>
      <c r="AI14" s="3">
        <v>34589</v>
      </c>
      <c r="AJ14" s="3">
        <v>36197</v>
      </c>
      <c r="AK14" s="3">
        <v>37765</v>
      </c>
    </row>
    <row r="15" spans="1:37" x14ac:dyDescent="0.3">
      <c r="A15" s="16" t="s">
        <v>208</v>
      </c>
      <c r="B15" s="3">
        <v>4470</v>
      </c>
      <c r="C15" s="3">
        <v>4708</v>
      </c>
      <c r="D15" s="3">
        <v>4800</v>
      </c>
      <c r="E15" s="3">
        <v>5727</v>
      </c>
      <c r="F15" s="3">
        <v>6146</v>
      </c>
      <c r="G15" s="3">
        <v>5647</v>
      </c>
      <c r="H15" s="3">
        <v>5690</v>
      </c>
      <c r="I15" s="3">
        <v>5916</v>
      </c>
      <c r="J15" s="3">
        <v>6007</v>
      </c>
      <c r="K15" s="3">
        <v>6437</v>
      </c>
      <c r="L15" s="3">
        <v>6281</v>
      </c>
      <c r="M15" s="3">
        <v>6868</v>
      </c>
      <c r="N15" s="3">
        <v>7497</v>
      </c>
      <c r="O15" s="3">
        <v>8299</v>
      </c>
      <c r="P15" s="3">
        <v>8570</v>
      </c>
      <c r="Q15" s="3">
        <v>9656</v>
      </c>
      <c r="R15" s="3">
        <v>10255</v>
      </c>
      <c r="S15" s="3">
        <v>9513</v>
      </c>
      <c r="T15" s="3">
        <v>10256</v>
      </c>
      <c r="U15" s="3">
        <v>10355</v>
      </c>
      <c r="V15" s="3">
        <v>10502</v>
      </c>
      <c r="W15" s="3">
        <v>10870</v>
      </c>
      <c r="X15" s="3">
        <v>12247</v>
      </c>
      <c r="Y15" s="3">
        <v>12644</v>
      </c>
      <c r="Z15" s="3">
        <v>12766</v>
      </c>
      <c r="AA15" s="3">
        <v>14026</v>
      </c>
      <c r="AB15" s="3">
        <v>15722</v>
      </c>
      <c r="AC15" s="3">
        <v>17392</v>
      </c>
      <c r="AD15" s="3">
        <v>19286</v>
      </c>
      <c r="AE15" s="3">
        <v>19912</v>
      </c>
      <c r="AF15" s="3">
        <v>20764</v>
      </c>
      <c r="AG15" s="3">
        <v>20724</v>
      </c>
      <c r="AH15" s="3">
        <v>21668</v>
      </c>
      <c r="AI15" s="3">
        <v>23119</v>
      </c>
      <c r="AJ15" s="3">
        <v>24915</v>
      </c>
      <c r="AK15" s="3">
        <v>24409</v>
      </c>
    </row>
    <row r="16" spans="1:37" x14ac:dyDescent="0.3">
      <c r="A16" s="16" t="s">
        <v>209</v>
      </c>
      <c r="B16" s="3">
        <v>255</v>
      </c>
      <c r="C16" s="3">
        <v>364</v>
      </c>
      <c r="D16" s="3">
        <v>370</v>
      </c>
      <c r="E16" s="3">
        <v>472</v>
      </c>
      <c r="F16" s="3">
        <v>439</v>
      </c>
      <c r="G16" s="3">
        <v>348</v>
      </c>
      <c r="H16" s="3">
        <v>332</v>
      </c>
      <c r="I16" s="3">
        <v>458</v>
      </c>
      <c r="J16" s="3">
        <v>477</v>
      </c>
      <c r="K16" s="3">
        <v>427</v>
      </c>
      <c r="L16" s="3">
        <v>491</v>
      </c>
      <c r="M16" s="3">
        <v>476</v>
      </c>
      <c r="N16" s="3">
        <v>418</v>
      </c>
      <c r="O16" s="3">
        <v>219</v>
      </c>
      <c r="P16" s="3">
        <v>262</v>
      </c>
      <c r="Q16" s="3">
        <v>266</v>
      </c>
      <c r="R16" s="3">
        <v>266</v>
      </c>
      <c r="S16" s="3">
        <v>267</v>
      </c>
      <c r="T16" s="3">
        <v>323</v>
      </c>
      <c r="U16" s="3">
        <v>348</v>
      </c>
      <c r="V16" s="3">
        <v>338</v>
      </c>
      <c r="W16" s="3">
        <v>312</v>
      </c>
      <c r="X16" s="3">
        <v>315</v>
      </c>
      <c r="Y16" s="3">
        <v>322</v>
      </c>
      <c r="Z16" s="3">
        <v>317</v>
      </c>
      <c r="AA16" s="3">
        <v>333</v>
      </c>
      <c r="AB16" s="3">
        <v>419</v>
      </c>
      <c r="AC16" s="3">
        <v>415</v>
      </c>
      <c r="AD16" s="3">
        <v>406</v>
      </c>
      <c r="AE16" s="3">
        <v>380</v>
      </c>
      <c r="AF16" s="3">
        <v>388</v>
      </c>
      <c r="AG16" s="3">
        <v>407</v>
      </c>
      <c r="AH16" s="3">
        <v>428</v>
      </c>
      <c r="AI16" s="3">
        <v>447</v>
      </c>
      <c r="AJ16" s="3">
        <v>468</v>
      </c>
      <c r="AK16" s="3">
        <v>488</v>
      </c>
    </row>
    <row r="17" spans="1:37" x14ac:dyDescent="0.3">
      <c r="A17" s="11" t="s">
        <v>213</v>
      </c>
      <c r="B17" s="3">
        <v>8957</v>
      </c>
      <c r="C17" s="3">
        <v>11854</v>
      </c>
      <c r="D17" s="3">
        <v>11049</v>
      </c>
      <c r="E17" s="3">
        <v>12361</v>
      </c>
      <c r="F17" s="3">
        <v>10936</v>
      </c>
      <c r="G17" s="3">
        <v>11620</v>
      </c>
      <c r="H17" s="3">
        <v>16855</v>
      </c>
      <c r="I17" s="3">
        <v>16717</v>
      </c>
      <c r="J17" s="3">
        <v>14633</v>
      </c>
      <c r="K17" s="3">
        <v>12057</v>
      </c>
      <c r="L17" s="3">
        <v>13757</v>
      </c>
      <c r="M17" s="3">
        <v>14345</v>
      </c>
      <c r="N17" s="3">
        <v>4739</v>
      </c>
      <c r="O17" s="3">
        <v>9115</v>
      </c>
      <c r="P17" s="3">
        <v>7411</v>
      </c>
      <c r="Q17" s="3">
        <v>-5095</v>
      </c>
      <c r="R17" s="3">
        <v>6576</v>
      </c>
      <c r="S17" s="3">
        <v>4835</v>
      </c>
      <c r="T17" s="3">
        <v>3260</v>
      </c>
      <c r="U17" s="3">
        <v>2999</v>
      </c>
      <c r="V17" s="3">
        <v>-931</v>
      </c>
      <c r="W17" s="3">
        <v>-354</v>
      </c>
      <c r="X17" s="3">
        <v>-6751</v>
      </c>
      <c r="Y17" s="3">
        <v>1397</v>
      </c>
      <c r="Z17" s="3">
        <v>3664</v>
      </c>
      <c r="AA17" s="3">
        <v>10287</v>
      </c>
      <c r="AB17" s="3">
        <v>-10465</v>
      </c>
      <c r="AC17" s="3">
        <v>1511</v>
      </c>
      <c r="AD17" s="3">
        <v>-3251</v>
      </c>
      <c r="AE17" s="3">
        <v>-12180</v>
      </c>
      <c r="AF17" s="3">
        <v>-17419</v>
      </c>
      <c r="AG17" s="3">
        <v>-16848</v>
      </c>
      <c r="AH17" s="3">
        <v>-19275</v>
      </c>
      <c r="AI17" s="3">
        <v>-21304</v>
      </c>
      <c r="AJ17" s="3">
        <v>-21571</v>
      </c>
      <c r="AK17" s="3">
        <v>-23031</v>
      </c>
    </row>
  </sheetData>
  <mergeCells count="2">
    <mergeCell ref="A1:AK1"/>
    <mergeCell ref="A2:AK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6B88-4642-4E2D-97D2-ADE6418D429C}">
  <dimension ref="A1:AK44"/>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7" style="1" bestFit="1" customWidth="1"/>
    <col min="38" max="16384" width="9.109375" style="1"/>
  </cols>
  <sheetData>
    <row r="1" spans="1:37" ht="15" customHeight="1" x14ac:dyDescent="0.3">
      <c r="A1" s="28" t="s">
        <v>202</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 t="s">
        <v>78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121</v>
      </c>
      <c r="B4" s="12">
        <v>105107</v>
      </c>
      <c r="C4" s="12">
        <v>110819</v>
      </c>
      <c r="D4" s="12">
        <v>116159</v>
      </c>
      <c r="E4" s="12">
        <v>120786</v>
      </c>
      <c r="F4" s="12">
        <v>126442</v>
      </c>
      <c r="G4" s="12">
        <v>131142</v>
      </c>
      <c r="H4" s="12">
        <v>136245</v>
      </c>
      <c r="I4" s="12">
        <v>138303</v>
      </c>
      <c r="J4" s="12">
        <v>145680</v>
      </c>
      <c r="K4" s="12">
        <v>152374</v>
      </c>
      <c r="L4" s="12">
        <v>159418</v>
      </c>
      <c r="M4" s="12">
        <v>167100</v>
      </c>
      <c r="N4" s="12">
        <v>174746</v>
      </c>
      <c r="O4" s="12">
        <v>170678</v>
      </c>
      <c r="P4" s="12">
        <v>180783</v>
      </c>
      <c r="Q4" s="12">
        <v>191591</v>
      </c>
      <c r="R4" s="12">
        <v>201325</v>
      </c>
      <c r="S4" s="12">
        <v>208115</v>
      </c>
      <c r="T4" s="12">
        <v>211556</v>
      </c>
      <c r="U4" s="12">
        <v>213610</v>
      </c>
      <c r="V4" s="12">
        <v>218293</v>
      </c>
      <c r="W4" s="12">
        <v>228315</v>
      </c>
      <c r="X4" s="12">
        <v>236191</v>
      </c>
      <c r="Y4" s="12">
        <v>238300</v>
      </c>
      <c r="Z4" s="12">
        <v>229178</v>
      </c>
      <c r="AA4" s="12">
        <v>250681</v>
      </c>
      <c r="AB4" s="12">
        <v>274494</v>
      </c>
      <c r="AC4" s="12">
        <v>293943</v>
      </c>
      <c r="AD4" s="12">
        <v>308230</v>
      </c>
      <c r="AE4" s="12">
        <v>314849</v>
      </c>
      <c r="AF4" s="12">
        <v>328113</v>
      </c>
      <c r="AG4" s="12">
        <v>338525</v>
      </c>
      <c r="AH4" s="12">
        <v>348524</v>
      </c>
      <c r="AI4" s="12">
        <v>356052</v>
      </c>
      <c r="AJ4" s="12">
        <v>364844</v>
      </c>
      <c r="AK4" s="12">
        <v>373989</v>
      </c>
    </row>
    <row r="5" spans="1:37" x14ac:dyDescent="0.3">
      <c r="A5" s="14" t="s">
        <v>122</v>
      </c>
      <c r="B5" s="3">
        <v>92828</v>
      </c>
      <c r="C5" s="3">
        <v>98024</v>
      </c>
      <c r="D5" s="3">
        <v>103134</v>
      </c>
      <c r="E5" s="3">
        <v>107093</v>
      </c>
      <c r="F5" s="3">
        <v>112218</v>
      </c>
      <c r="G5" s="3">
        <v>115328</v>
      </c>
      <c r="H5" s="3">
        <v>119788</v>
      </c>
      <c r="I5" s="3">
        <v>121599</v>
      </c>
      <c r="J5" s="3">
        <v>128790</v>
      </c>
      <c r="K5" s="3">
        <v>134021</v>
      </c>
      <c r="L5" s="3">
        <v>140069</v>
      </c>
      <c r="M5" s="3">
        <v>146953</v>
      </c>
      <c r="N5" s="3">
        <v>152809</v>
      </c>
      <c r="O5" s="3">
        <v>148016</v>
      </c>
      <c r="P5" s="3">
        <v>156301</v>
      </c>
      <c r="Q5" s="3">
        <v>164838</v>
      </c>
      <c r="R5" s="3">
        <v>173055</v>
      </c>
      <c r="S5" s="3">
        <v>179021</v>
      </c>
      <c r="T5" s="3">
        <v>182126</v>
      </c>
      <c r="U5" s="3">
        <v>185128</v>
      </c>
      <c r="V5" s="3">
        <v>187519</v>
      </c>
      <c r="W5" s="3">
        <v>196337</v>
      </c>
      <c r="X5" s="3">
        <v>203156</v>
      </c>
      <c r="Y5" s="3">
        <v>204648</v>
      </c>
      <c r="Z5" s="3">
        <v>196594</v>
      </c>
      <c r="AA5" s="3">
        <v>215594</v>
      </c>
      <c r="AB5" s="3">
        <v>234840</v>
      </c>
      <c r="AC5" s="3">
        <v>250588</v>
      </c>
      <c r="AD5" s="3">
        <v>262492</v>
      </c>
      <c r="AE5" s="3">
        <v>268224</v>
      </c>
      <c r="AF5" s="3">
        <v>279160</v>
      </c>
      <c r="AG5" s="3">
        <v>289317</v>
      </c>
      <c r="AH5" s="3">
        <v>298425</v>
      </c>
      <c r="AI5" s="3">
        <v>305133</v>
      </c>
      <c r="AJ5" s="3">
        <v>313263</v>
      </c>
      <c r="AK5" s="3">
        <v>321417</v>
      </c>
    </row>
    <row r="6" spans="1:37" x14ac:dyDescent="0.3">
      <c r="A6" s="7" t="s">
        <v>123</v>
      </c>
      <c r="B6" s="3">
        <v>62544</v>
      </c>
      <c r="C6" s="3">
        <v>66754</v>
      </c>
      <c r="D6" s="3">
        <v>70557</v>
      </c>
      <c r="E6" s="3">
        <v>73308</v>
      </c>
      <c r="F6" s="3">
        <v>77528</v>
      </c>
      <c r="G6" s="3">
        <v>79092</v>
      </c>
      <c r="H6" s="3">
        <v>81724</v>
      </c>
      <c r="I6" s="3">
        <v>82728</v>
      </c>
      <c r="J6" s="3">
        <v>88656</v>
      </c>
      <c r="K6" s="3">
        <v>92731</v>
      </c>
      <c r="L6" s="3">
        <v>96884</v>
      </c>
      <c r="M6" s="3">
        <v>101020</v>
      </c>
      <c r="N6" s="3">
        <v>104250</v>
      </c>
      <c r="O6" s="3">
        <v>98483</v>
      </c>
      <c r="P6" s="3">
        <v>105727</v>
      </c>
      <c r="Q6" s="3">
        <v>111828</v>
      </c>
      <c r="R6" s="3">
        <v>117905</v>
      </c>
      <c r="S6" s="3">
        <v>122611</v>
      </c>
      <c r="T6" s="3">
        <v>124971</v>
      </c>
      <c r="U6" s="3">
        <v>126386</v>
      </c>
      <c r="V6" s="3">
        <v>129466</v>
      </c>
      <c r="W6" s="3">
        <v>136579</v>
      </c>
      <c r="X6" s="3">
        <v>142042</v>
      </c>
      <c r="Y6" s="3">
        <v>141448</v>
      </c>
      <c r="Z6" s="3">
        <v>134316</v>
      </c>
      <c r="AA6" s="3">
        <v>149981</v>
      </c>
      <c r="AB6" s="3">
        <v>163738</v>
      </c>
      <c r="AC6" s="3">
        <v>173520</v>
      </c>
      <c r="AD6" s="3">
        <v>181847</v>
      </c>
      <c r="AE6" s="3">
        <v>185030</v>
      </c>
      <c r="AF6" s="3">
        <v>193798</v>
      </c>
      <c r="AG6" s="3">
        <v>200122</v>
      </c>
      <c r="AH6" s="3">
        <v>206234</v>
      </c>
      <c r="AI6" s="3">
        <v>210357</v>
      </c>
      <c r="AJ6" s="3">
        <v>215531</v>
      </c>
      <c r="AK6" s="3">
        <v>220824</v>
      </c>
    </row>
    <row r="7" spans="1:37" x14ac:dyDescent="0.3">
      <c r="A7" s="16" t="s">
        <v>124</v>
      </c>
      <c r="B7" s="3">
        <v>34418</v>
      </c>
      <c r="C7" s="3">
        <v>36979</v>
      </c>
      <c r="D7" s="3">
        <v>39623</v>
      </c>
      <c r="E7" s="3">
        <v>40177</v>
      </c>
      <c r="F7" s="3">
        <v>42835</v>
      </c>
      <c r="G7" s="3">
        <v>44581</v>
      </c>
      <c r="H7" s="3">
        <v>45896</v>
      </c>
      <c r="I7" s="3">
        <v>45672</v>
      </c>
      <c r="J7" s="3">
        <v>48301</v>
      </c>
      <c r="K7" s="3">
        <v>50676</v>
      </c>
      <c r="L7" s="3">
        <v>52664</v>
      </c>
      <c r="M7" s="3">
        <v>54701</v>
      </c>
      <c r="N7" s="3">
        <v>57118</v>
      </c>
      <c r="O7" s="3">
        <v>52132</v>
      </c>
      <c r="P7" s="3">
        <v>55682</v>
      </c>
      <c r="Q7" s="3">
        <v>59730</v>
      </c>
      <c r="R7" s="3">
        <v>62539</v>
      </c>
      <c r="S7" s="3">
        <v>65658</v>
      </c>
      <c r="T7" s="3">
        <v>67159</v>
      </c>
      <c r="U7" s="3">
        <v>67992</v>
      </c>
      <c r="V7" s="3">
        <v>68759</v>
      </c>
      <c r="W7" s="3">
        <v>73899</v>
      </c>
      <c r="X7" s="3">
        <v>77143</v>
      </c>
      <c r="Y7" s="3">
        <v>74882</v>
      </c>
      <c r="Z7" s="3">
        <v>72178</v>
      </c>
      <c r="AA7" s="3">
        <v>79449</v>
      </c>
      <c r="AB7" s="3">
        <v>91283</v>
      </c>
      <c r="AC7" s="3">
        <v>96490</v>
      </c>
      <c r="AD7" s="3">
        <v>104508</v>
      </c>
      <c r="AE7" s="3">
        <v>105952</v>
      </c>
      <c r="AF7" s="3">
        <v>111673</v>
      </c>
      <c r="AG7" s="3">
        <v>115520</v>
      </c>
      <c r="AH7" s="3">
        <v>118310</v>
      </c>
      <c r="AI7" s="3">
        <v>119531</v>
      </c>
      <c r="AJ7" s="3">
        <v>122089</v>
      </c>
      <c r="AK7" s="3">
        <v>125411</v>
      </c>
    </row>
    <row r="8" spans="1:37" x14ac:dyDescent="0.3">
      <c r="A8" s="18" t="s">
        <v>125</v>
      </c>
      <c r="B8" s="3">
        <v>28278</v>
      </c>
      <c r="C8" s="3">
        <v>30092</v>
      </c>
      <c r="D8" s="3">
        <v>31200</v>
      </c>
      <c r="E8" s="3">
        <v>31738</v>
      </c>
      <c r="F8" s="3">
        <v>33908</v>
      </c>
      <c r="G8" s="3">
        <v>35589</v>
      </c>
      <c r="H8" s="3">
        <v>36777</v>
      </c>
      <c r="I8" s="3">
        <v>36745</v>
      </c>
      <c r="J8" s="3">
        <v>38312</v>
      </c>
      <c r="K8" s="3">
        <v>39870</v>
      </c>
      <c r="L8" s="3">
        <v>40212</v>
      </c>
      <c r="M8" s="3">
        <v>41829</v>
      </c>
      <c r="N8" s="3">
        <v>44462</v>
      </c>
      <c r="O8" s="3">
        <v>42916</v>
      </c>
      <c r="P8" s="3">
        <v>45276</v>
      </c>
      <c r="Q8" s="3">
        <v>47934</v>
      </c>
      <c r="R8" s="3">
        <v>49708</v>
      </c>
      <c r="S8" s="3">
        <v>52240</v>
      </c>
      <c r="T8" s="3">
        <v>53216</v>
      </c>
      <c r="U8" s="3">
        <v>53019</v>
      </c>
      <c r="V8" s="3">
        <v>52583</v>
      </c>
      <c r="W8" s="3">
        <v>54442</v>
      </c>
      <c r="X8" s="3">
        <v>55881</v>
      </c>
      <c r="Y8" s="3">
        <v>55614</v>
      </c>
      <c r="Z8" s="3">
        <v>55556</v>
      </c>
      <c r="AA8" s="3">
        <v>58629</v>
      </c>
      <c r="AB8" s="3">
        <v>67784</v>
      </c>
      <c r="AC8" s="3">
        <v>71435</v>
      </c>
      <c r="AD8" s="3">
        <v>75581</v>
      </c>
      <c r="AE8" s="3">
        <v>77771</v>
      </c>
      <c r="AF8" s="3">
        <v>81561</v>
      </c>
      <c r="AG8" s="3">
        <v>84494</v>
      </c>
      <c r="AH8" s="3">
        <v>86643</v>
      </c>
      <c r="AI8" s="3">
        <v>87161</v>
      </c>
      <c r="AJ8" s="3">
        <v>89259</v>
      </c>
      <c r="AK8" s="3">
        <v>92167</v>
      </c>
    </row>
    <row r="9" spans="1:37" x14ac:dyDescent="0.3">
      <c r="A9" s="18" t="s">
        <v>126</v>
      </c>
      <c r="B9" s="3">
        <v>5744</v>
      </c>
      <c r="C9" s="3">
        <v>6459</v>
      </c>
      <c r="D9" s="3">
        <v>7963</v>
      </c>
      <c r="E9" s="3">
        <v>7884</v>
      </c>
      <c r="F9" s="3">
        <v>8248</v>
      </c>
      <c r="G9" s="3">
        <v>8306</v>
      </c>
      <c r="H9" s="3">
        <v>8345</v>
      </c>
      <c r="I9" s="3">
        <v>8108</v>
      </c>
      <c r="J9" s="3">
        <v>9217</v>
      </c>
      <c r="K9" s="3">
        <v>10040</v>
      </c>
      <c r="L9" s="3">
        <v>11686</v>
      </c>
      <c r="M9" s="3">
        <v>11981</v>
      </c>
      <c r="N9" s="3">
        <v>11870</v>
      </c>
      <c r="O9" s="3">
        <v>8376</v>
      </c>
      <c r="P9" s="3">
        <v>9543</v>
      </c>
      <c r="Q9" s="3">
        <v>10957</v>
      </c>
      <c r="R9" s="3">
        <v>11942</v>
      </c>
      <c r="S9" s="3">
        <v>12501</v>
      </c>
      <c r="T9" s="3">
        <v>12891</v>
      </c>
      <c r="U9" s="3">
        <v>13961</v>
      </c>
      <c r="V9" s="3">
        <v>15080</v>
      </c>
      <c r="W9" s="3">
        <v>18387</v>
      </c>
      <c r="X9" s="3">
        <v>20086</v>
      </c>
      <c r="Y9" s="3">
        <v>18033</v>
      </c>
      <c r="Z9" s="3">
        <v>15298</v>
      </c>
      <c r="AA9" s="3">
        <v>19467</v>
      </c>
      <c r="AB9" s="3">
        <v>22161</v>
      </c>
      <c r="AC9" s="3">
        <v>23758</v>
      </c>
      <c r="AD9" s="3">
        <v>27602</v>
      </c>
      <c r="AE9" s="3">
        <v>26852</v>
      </c>
      <c r="AF9" s="3">
        <v>28745</v>
      </c>
      <c r="AG9" s="3">
        <v>29608</v>
      </c>
      <c r="AH9" s="3">
        <v>30202</v>
      </c>
      <c r="AI9" s="3">
        <v>30856</v>
      </c>
      <c r="AJ9" s="3">
        <v>31270</v>
      </c>
      <c r="AK9" s="3">
        <v>31638</v>
      </c>
    </row>
    <row r="10" spans="1:37" x14ac:dyDescent="0.3">
      <c r="A10" s="18" t="s">
        <v>189</v>
      </c>
      <c r="B10" s="3">
        <v>396</v>
      </c>
      <c r="C10" s="3">
        <v>428</v>
      </c>
      <c r="D10" s="3">
        <v>460</v>
      </c>
      <c r="E10" s="3">
        <v>554</v>
      </c>
      <c r="F10" s="3">
        <v>680</v>
      </c>
      <c r="G10" s="3">
        <v>685</v>
      </c>
      <c r="H10" s="3">
        <v>774</v>
      </c>
      <c r="I10" s="3">
        <v>820</v>
      </c>
      <c r="J10" s="3">
        <v>772</v>
      </c>
      <c r="K10" s="3">
        <v>766</v>
      </c>
      <c r="L10" s="3">
        <v>766</v>
      </c>
      <c r="M10" s="3">
        <v>891</v>
      </c>
      <c r="N10" s="3">
        <v>787</v>
      </c>
      <c r="O10" s="3">
        <v>839</v>
      </c>
      <c r="P10" s="3">
        <v>863</v>
      </c>
      <c r="Q10" s="3">
        <v>840</v>
      </c>
      <c r="R10" s="3">
        <v>889</v>
      </c>
      <c r="S10" s="3">
        <v>917</v>
      </c>
      <c r="T10" s="3">
        <v>1052</v>
      </c>
      <c r="U10" s="3">
        <v>1012</v>
      </c>
      <c r="V10" s="3">
        <v>1097</v>
      </c>
      <c r="W10" s="3">
        <v>1069</v>
      </c>
      <c r="X10" s="3">
        <v>1176</v>
      </c>
      <c r="Y10" s="3">
        <v>1235</v>
      </c>
      <c r="Z10" s="3">
        <v>1323</v>
      </c>
      <c r="AA10" s="3">
        <v>1353</v>
      </c>
      <c r="AB10" s="3">
        <v>1338</v>
      </c>
      <c r="AC10" s="3">
        <v>1297</v>
      </c>
      <c r="AD10" s="3">
        <v>1325</v>
      </c>
      <c r="AE10" s="3">
        <v>1329</v>
      </c>
      <c r="AF10" s="3">
        <v>1368</v>
      </c>
      <c r="AG10" s="3">
        <v>1418</v>
      </c>
      <c r="AH10" s="3">
        <v>1466</v>
      </c>
      <c r="AI10" s="3">
        <v>1513</v>
      </c>
      <c r="AJ10" s="3">
        <v>1560</v>
      </c>
      <c r="AK10" s="3">
        <v>1606</v>
      </c>
    </row>
    <row r="11" spans="1:37" x14ac:dyDescent="0.3">
      <c r="A11" s="16" t="s">
        <v>127</v>
      </c>
      <c r="B11" s="3">
        <v>27295</v>
      </c>
      <c r="C11" s="3">
        <v>28959</v>
      </c>
      <c r="D11" s="3">
        <v>29978</v>
      </c>
      <c r="E11" s="3">
        <v>32109</v>
      </c>
      <c r="F11" s="3">
        <v>33518</v>
      </c>
      <c r="G11" s="3">
        <v>33305</v>
      </c>
      <c r="H11" s="3">
        <v>34572</v>
      </c>
      <c r="I11" s="3">
        <v>35665</v>
      </c>
      <c r="J11" s="3">
        <v>38178</v>
      </c>
      <c r="K11" s="3">
        <v>40182</v>
      </c>
      <c r="L11" s="3">
        <v>42067</v>
      </c>
      <c r="M11" s="3">
        <v>44103</v>
      </c>
      <c r="N11" s="3">
        <v>44761</v>
      </c>
      <c r="O11" s="3">
        <v>44117</v>
      </c>
      <c r="P11" s="3">
        <v>47448</v>
      </c>
      <c r="Q11" s="3">
        <v>49327</v>
      </c>
      <c r="R11" s="3">
        <v>52049</v>
      </c>
      <c r="S11" s="3">
        <v>52980</v>
      </c>
      <c r="T11" s="3">
        <v>53914</v>
      </c>
      <c r="U11" s="3">
        <v>54756</v>
      </c>
      <c r="V11" s="3">
        <v>57360</v>
      </c>
      <c r="W11" s="3">
        <v>59063</v>
      </c>
      <c r="X11" s="3">
        <v>61127</v>
      </c>
      <c r="Y11" s="3">
        <v>63175</v>
      </c>
      <c r="Z11" s="3">
        <v>58850</v>
      </c>
      <c r="AA11" s="3">
        <v>66453</v>
      </c>
      <c r="AB11" s="3">
        <v>68553</v>
      </c>
      <c r="AC11" s="3">
        <v>73072</v>
      </c>
      <c r="AD11" s="3">
        <v>73082</v>
      </c>
      <c r="AE11" s="3">
        <v>74760</v>
      </c>
      <c r="AF11" s="3">
        <v>77106</v>
      </c>
      <c r="AG11" s="3">
        <v>79839</v>
      </c>
      <c r="AH11" s="3">
        <v>83668</v>
      </c>
      <c r="AI11" s="3">
        <v>86484</v>
      </c>
      <c r="AJ11" s="3">
        <v>88964</v>
      </c>
      <c r="AK11" s="3">
        <v>90803</v>
      </c>
    </row>
    <row r="12" spans="1:37" x14ac:dyDescent="0.3">
      <c r="A12" s="16" t="s">
        <v>184</v>
      </c>
      <c r="B12" s="3">
        <v>830</v>
      </c>
      <c r="C12" s="3">
        <v>816</v>
      </c>
      <c r="D12" s="3">
        <v>956</v>
      </c>
      <c r="E12" s="3">
        <v>1022</v>
      </c>
      <c r="F12" s="3">
        <v>1175</v>
      </c>
      <c r="G12" s="3">
        <v>1206</v>
      </c>
      <c r="H12" s="3">
        <v>1256</v>
      </c>
      <c r="I12" s="3">
        <v>1390</v>
      </c>
      <c r="J12" s="3">
        <v>2177</v>
      </c>
      <c r="K12" s="3">
        <v>1873</v>
      </c>
      <c r="L12" s="3">
        <v>2153</v>
      </c>
      <c r="M12" s="3">
        <v>2216</v>
      </c>
      <c r="N12" s="3">
        <v>2370</v>
      </c>
      <c r="O12" s="3">
        <v>2235</v>
      </c>
      <c r="P12" s="3">
        <v>2596</v>
      </c>
      <c r="Q12" s="3">
        <v>2772</v>
      </c>
      <c r="R12" s="3">
        <v>3318</v>
      </c>
      <c r="S12" s="3">
        <v>3973</v>
      </c>
      <c r="T12" s="3">
        <v>3898</v>
      </c>
      <c r="U12" s="3">
        <v>3639</v>
      </c>
      <c r="V12" s="3">
        <v>3346</v>
      </c>
      <c r="W12" s="3">
        <v>3616</v>
      </c>
      <c r="X12" s="3">
        <v>3772</v>
      </c>
      <c r="Y12" s="3">
        <v>3391</v>
      </c>
      <c r="Z12" s="3">
        <v>3288</v>
      </c>
      <c r="AA12" s="3">
        <v>4079</v>
      </c>
      <c r="AB12" s="3">
        <v>3902</v>
      </c>
      <c r="AC12" s="3">
        <v>3959</v>
      </c>
      <c r="AD12" s="3">
        <v>4258</v>
      </c>
      <c r="AE12" s="3">
        <v>4318</v>
      </c>
      <c r="AF12" s="3">
        <v>5019</v>
      </c>
      <c r="AG12" s="3">
        <v>4763</v>
      </c>
      <c r="AH12" s="3">
        <v>4255</v>
      </c>
      <c r="AI12" s="3">
        <v>4342</v>
      </c>
      <c r="AJ12" s="3">
        <v>4478</v>
      </c>
      <c r="AK12" s="3">
        <v>4610</v>
      </c>
    </row>
    <row r="13" spans="1:37" x14ac:dyDescent="0.3">
      <c r="A13" s="7" t="s">
        <v>128</v>
      </c>
      <c r="B13" s="3">
        <v>30284</v>
      </c>
      <c r="C13" s="3">
        <v>31270</v>
      </c>
      <c r="D13" s="3">
        <v>32577</v>
      </c>
      <c r="E13" s="3">
        <v>33786</v>
      </c>
      <c r="F13" s="3">
        <v>34690</v>
      </c>
      <c r="G13" s="3">
        <v>36236</v>
      </c>
      <c r="H13" s="3">
        <v>38064</v>
      </c>
      <c r="I13" s="3">
        <v>38871</v>
      </c>
      <c r="J13" s="3">
        <v>40134</v>
      </c>
      <c r="K13" s="3">
        <v>41289</v>
      </c>
      <c r="L13" s="3">
        <v>43185</v>
      </c>
      <c r="M13" s="3">
        <v>45934</v>
      </c>
      <c r="N13" s="3">
        <v>48559</v>
      </c>
      <c r="O13" s="3">
        <v>49533</v>
      </c>
      <c r="P13" s="3">
        <v>50575</v>
      </c>
      <c r="Q13" s="3">
        <v>53010</v>
      </c>
      <c r="R13" s="3">
        <v>55149</v>
      </c>
      <c r="S13" s="3">
        <v>56410</v>
      </c>
      <c r="T13" s="3">
        <v>57155</v>
      </c>
      <c r="U13" s="3">
        <v>58742</v>
      </c>
      <c r="V13" s="3">
        <v>58053</v>
      </c>
      <c r="W13" s="3">
        <v>59758</v>
      </c>
      <c r="X13" s="3">
        <v>61115</v>
      </c>
      <c r="Y13" s="3">
        <v>63200</v>
      </c>
      <c r="Z13" s="3">
        <v>62278</v>
      </c>
      <c r="AA13" s="3">
        <v>65612</v>
      </c>
      <c r="AB13" s="3">
        <v>71102</v>
      </c>
      <c r="AC13" s="3">
        <v>77069</v>
      </c>
      <c r="AD13" s="3">
        <v>80645</v>
      </c>
      <c r="AE13" s="3">
        <v>83194</v>
      </c>
      <c r="AF13" s="3">
        <v>85362</v>
      </c>
      <c r="AG13" s="3">
        <v>89195</v>
      </c>
      <c r="AH13" s="3">
        <v>92190</v>
      </c>
      <c r="AI13" s="3">
        <v>94776</v>
      </c>
      <c r="AJ13" s="3">
        <v>97732</v>
      </c>
      <c r="AK13" s="3">
        <v>100593</v>
      </c>
    </row>
    <row r="14" spans="1:37" x14ac:dyDescent="0.3">
      <c r="A14" s="14" t="s">
        <v>129</v>
      </c>
      <c r="B14" s="3">
        <v>7719</v>
      </c>
      <c r="C14" s="3">
        <v>8010</v>
      </c>
      <c r="D14" s="3">
        <v>8014</v>
      </c>
      <c r="E14" s="3">
        <v>8492</v>
      </c>
      <c r="F14" s="3">
        <v>8763</v>
      </c>
      <c r="G14" s="3">
        <v>10054</v>
      </c>
      <c r="H14" s="3">
        <v>10298</v>
      </c>
      <c r="I14" s="3">
        <v>10429</v>
      </c>
      <c r="J14" s="3">
        <v>10355</v>
      </c>
      <c r="K14" s="3">
        <v>11565</v>
      </c>
      <c r="L14" s="3">
        <v>12045</v>
      </c>
      <c r="M14" s="3">
        <v>12427</v>
      </c>
      <c r="N14" s="3">
        <v>13763</v>
      </c>
      <c r="O14" s="3">
        <v>14011</v>
      </c>
      <c r="P14" s="3">
        <v>15527</v>
      </c>
      <c r="Q14" s="3">
        <v>17198</v>
      </c>
      <c r="R14" s="3">
        <v>18246</v>
      </c>
      <c r="S14" s="3">
        <v>18641</v>
      </c>
      <c r="T14" s="3">
        <v>18932</v>
      </c>
      <c r="U14" s="3">
        <v>18418</v>
      </c>
      <c r="V14" s="3">
        <v>20441</v>
      </c>
      <c r="W14" s="3">
        <v>21237</v>
      </c>
      <c r="X14" s="3">
        <v>22041</v>
      </c>
      <c r="Y14" s="3">
        <v>22398</v>
      </c>
      <c r="Z14" s="3">
        <v>20932</v>
      </c>
      <c r="AA14" s="3">
        <v>23171</v>
      </c>
      <c r="AB14" s="3">
        <v>26882</v>
      </c>
      <c r="AC14" s="3">
        <v>29645</v>
      </c>
      <c r="AD14" s="3">
        <v>31481</v>
      </c>
      <c r="AE14" s="3">
        <v>31649</v>
      </c>
      <c r="AF14" s="3">
        <v>33440</v>
      </c>
      <c r="AG14" s="3">
        <v>33163</v>
      </c>
      <c r="AH14" s="3">
        <v>33736</v>
      </c>
      <c r="AI14" s="3">
        <v>34357</v>
      </c>
      <c r="AJ14" s="3">
        <v>34730</v>
      </c>
      <c r="AK14" s="3">
        <v>35456</v>
      </c>
    </row>
    <row r="15" spans="1:37" x14ac:dyDescent="0.3">
      <c r="A15" s="7" t="s">
        <v>130</v>
      </c>
      <c r="B15" s="3">
        <v>2866</v>
      </c>
      <c r="C15" s="3">
        <v>2666</v>
      </c>
      <c r="D15" s="3">
        <v>2637</v>
      </c>
      <c r="E15" s="3">
        <v>2382</v>
      </c>
      <c r="F15" s="3">
        <v>2896</v>
      </c>
      <c r="G15" s="3">
        <v>3466</v>
      </c>
      <c r="H15" s="3">
        <v>3081</v>
      </c>
      <c r="I15" s="3">
        <v>2937</v>
      </c>
      <c r="J15" s="3">
        <v>2311</v>
      </c>
      <c r="K15" s="3">
        <v>2609</v>
      </c>
      <c r="L15" s="3">
        <v>2894</v>
      </c>
      <c r="M15" s="3">
        <v>3207</v>
      </c>
      <c r="N15" s="3">
        <v>3783</v>
      </c>
      <c r="O15" s="3">
        <v>3275</v>
      </c>
      <c r="P15" s="3">
        <v>3805</v>
      </c>
      <c r="Q15" s="3">
        <v>4677</v>
      </c>
      <c r="R15" s="3">
        <v>4516</v>
      </c>
      <c r="S15" s="3">
        <v>4895</v>
      </c>
      <c r="T15" s="3">
        <v>3870</v>
      </c>
      <c r="U15" s="3">
        <v>3498</v>
      </c>
      <c r="V15" s="3">
        <v>3734</v>
      </c>
      <c r="W15" s="3">
        <v>3960</v>
      </c>
      <c r="X15" s="3">
        <v>4177</v>
      </c>
      <c r="Y15" s="3">
        <v>3888</v>
      </c>
      <c r="Z15" s="3">
        <v>3080</v>
      </c>
      <c r="AA15" s="3">
        <v>3512</v>
      </c>
      <c r="AB15" s="3">
        <v>4038</v>
      </c>
      <c r="AC15" s="3">
        <v>5560</v>
      </c>
      <c r="AD15" s="3">
        <v>6244</v>
      </c>
      <c r="AE15" s="3">
        <v>5695</v>
      </c>
      <c r="AF15" s="3">
        <v>5808</v>
      </c>
      <c r="AG15" s="3">
        <v>5820</v>
      </c>
      <c r="AH15" s="3">
        <v>5986</v>
      </c>
      <c r="AI15" s="3">
        <v>6146</v>
      </c>
      <c r="AJ15" s="3">
        <v>6307</v>
      </c>
      <c r="AK15" s="3">
        <v>6464</v>
      </c>
    </row>
    <row r="16" spans="1:37" x14ac:dyDescent="0.3">
      <c r="A16" s="7" t="s">
        <v>131</v>
      </c>
      <c r="B16" s="3">
        <v>742</v>
      </c>
      <c r="C16" s="3">
        <v>664</v>
      </c>
      <c r="D16" s="3">
        <v>839</v>
      </c>
      <c r="E16" s="3">
        <v>947</v>
      </c>
      <c r="F16" s="3">
        <v>876</v>
      </c>
      <c r="G16" s="3">
        <v>1042</v>
      </c>
      <c r="H16" s="3">
        <v>1049</v>
      </c>
      <c r="I16" s="3">
        <v>912</v>
      </c>
      <c r="J16" s="3">
        <v>1258</v>
      </c>
      <c r="K16" s="3">
        <v>1436</v>
      </c>
      <c r="L16" s="3">
        <v>1481</v>
      </c>
      <c r="M16" s="3">
        <v>1448</v>
      </c>
      <c r="N16" s="3">
        <v>1725</v>
      </c>
      <c r="O16" s="3">
        <v>2128</v>
      </c>
      <c r="P16" s="3">
        <v>2613</v>
      </c>
      <c r="Q16" s="3">
        <v>2782</v>
      </c>
      <c r="R16" s="3">
        <v>3153</v>
      </c>
      <c r="S16" s="3">
        <v>2800</v>
      </c>
      <c r="T16" s="3">
        <v>2850</v>
      </c>
      <c r="U16" s="3">
        <v>2680</v>
      </c>
      <c r="V16" s="3">
        <v>2551</v>
      </c>
      <c r="W16" s="3">
        <v>2660</v>
      </c>
      <c r="X16" s="3">
        <v>2919</v>
      </c>
      <c r="Y16" s="3">
        <v>3283</v>
      </c>
      <c r="Z16" s="3">
        <v>3182</v>
      </c>
      <c r="AA16" s="3">
        <v>3599</v>
      </c>
      <c r="AB16" s="3">
        <v>4264</v>
      </c>
      <c r="AC16" s="3">
        <v>4451</v>
      </c>
      <c r="AD16" s="3">
        <v>4906</v>
      </c>
      <c r="AE16" s="3">
        <v>4912</v>
      </c>
      <c r="AF16" s="3">
        <v>4916</v>
      </c>
      <c r="AG16" s="3">
        <v>4790</v>
      </c>
      <c r="AH16" s="3">
        <v>4512</v>
      </c>
      <c r="AI16" s="3">
        <v>4368</v>
      </c>
      <c r="AJ16" s="3">
        <v>4021</v>
      </c>
      <c r="AK16" s="3">
        <v>3978</v>
      </c>
    </row>
    <row r="17" spans="1:37" x14ac:dyDescent="0.3">
      <c r="A17" s="7" t="s">
        <v>132</v>
      </c>
      <c r="B17" s="3">
        <v>151</v>
      </c>
      <c r="C17" s="3">
        <v>527</v>
      </c>
      <c r="D17" s="3">
        <v>106</v>
      </c>
      <c r="E17" s="3">
        <v>492</v>
      </c>
      <c r="F17" s="3">
        <v>155</v>
      </c>
      <c r="G17" s="3">
        <v>262</v>
      </c>
      <c r="H17" s="3">
        <v>193</v>
      </c>
      <c r="I17" s="3">
        <v>274</v>
      </c>
      <c r="J17" s="3">
        <v>216</v>
      </c>
      <c r="K17" s="3">
        <v>426</v>
      </c>
      <c r="L17" s="3">
        <v>265</v>
      </c>
      <c r="M17" s="3">
        <v>155</v>
      </c>
      <c r="N17" s="3">
        <v>163</v>
      </c>
      <c r="O17" s="3">
        <v>188</v>
      </c>
      <c r="P17" s="3">
        <v>212</v>
      </c>
      <c r="Q17" s="3">
        <v>274</v>
      </c>
      <c r="R17" s="3">
        <v>534</v>
      </c>
      <c r="S17" s="3">
        <v>526</v>
      </c>
      <c r="T17" s="3">
        <v>255</v>
      </c>
      <c r="U17" s="3">
        <v>208</v>
      </c>
      <c r="V17" s="3">
        <v>630</v>
      </c>
      <c r="W17" s="3">
        <v>465</v>
      </c>
      <c r="X17" s="3">
        <v>303</v>
      </c>
      <c r="Y17" s="3">
        <v>301</v>
      </c>
      <c r="Z17" s="3">
        <v>290</v>
      </c>
      <c r="AA17" s="3">
        <v>767</v>
      </c>
      <c r="AB17" s="3">
        <v>1285</v>
      </c>
      <c r="AC17" s="3">
        <v>1143</v>
      </c>
      <c r="AD17" s="3">
        <v>660</v>
      </c>
      <c r="AE17" s="3">
        <v>889</v>
      </c>
      <c r="AF17" s="3">
        <v>1535</v>
      </c>
      <c r="AG17" s="3">
        <v>549</v>
      </c>
      <c r="AH17" s="3">
        <v>528</v>
      </c>
      <c r="AI17" s="3">
        <v>538</v>
      </c>
      <c r="AJ17" s="3">
        <v>548</v>
      </c>
      <c r="AK17" s="3">
        <v>559</v>
      </c>
    </row>
    <row r="18" spans="1:37" x14ac:dyDescent="0.3">
      <c r="A18" s="7" t="s">
        <v>133</v>
      </c>
      <c r="B18" s="3">
        <v>3960</v>
      </c>
      <c r="C18" s="3">
        <v>4153</v>
      </c>
      <c r="D18" s="3">
        <v>4433</v>
      </c>
      <c r="E18" s="3">
        <v>4671</v>
      </c>
      <c r="F18" s="3">
        <v>4835</v>
      </c>
      <c r="G18" s="3">
        <v>5282</v>
      </c>
      <c r="H18" s="3">
        <v>5974</v>
      </c>
      <c r="I18" s="3">
        <v>6306</v>
      </c>
      <c r="J18" s="3">
        <v>6569</v>
      </c>
      <c r="K18" s="3">
        <v>7095</v>
      </c>
      <c r="L18" s="3">
        <v>7405</v>
      </c>
      <c r="M18" s="3">
        <v>7616</v>
      </c>
      <c r="N18" s="3">
        <v>8092</v>
      </c>
      <c r="O18" s="3">
        <v>8421</v>
      </c>
      <c r="P18" s="3">
        <v>8898</v>
      </c>
      <c r="Q18" s="3">
        <v>9466</v>
      </c>
      <c r="R18" s="3">
        <v>10044</v>
      </c>
      <c r="S18" s="3">
        <v>10419</v>
      </c>
      <c r="T18" s="3">
        <v>11957</v>
      </c>
      <c r="U18" s="3">
        <v>12033</v>
      </c>
      <c r="V18" s="3">
        <v>13526</v>
      </c>
      <c r="W18" s="3">
        <v>14151</v>
      </c>
      <c r="X18" s="3">
        <v>14642</v>
      </c>
      <c r="Y18" s="3">
        <v>14926</v>
      </c>
      <c r="Z18" s="3">
        <v>14380</v>
      </c>
      <c r="AA18" s="3">
        <v>15294</v>
      </c>
      <c r="AB18" s="3">
        <v>17295</v>
      </c>
      <c r="AC18" s="3">
        <v>18491</v>
      </c>
      <c r="AD18" s="3">
        <v>19671</v>
      </c>
      <c r="AE18" s="3">
        <v>20153</v>
      </c>
      <c r="AF18" s="3">
        <v>21181</v>
      </c>
      <c r="AG18" s="3">
        <v>22004</v>
      </c>
      <c r="AH18" s="3">
        <v>22710</v>
      </c>
      <c r="AI18" s="3">
        <v>23305</v>
      </c>
      <c r="AJ18" s="3">
        <v>23854</v>
      </c>
      <c r="AK18" s="3">
        <v>24454</v>
      </c>
    </row>
    <row r="19" spans="1:37" x14ac:dyDescent="0.3">
      <c r="A19" s="14" t="s">
        <v>166</v>
      </c>
      <c r="B19" s="3">
        <v>188</v>
      </c>
      <c r="C19" s="3">
        <v>191</v>
      </c>
      <c r="D19" s="3">
        <v>215</v>
      </c>
      <c r="E19" s="3">
        <v>271</v>
      </c>
      <c r="F19" s="3">
        <v>298</v>
      </c>
      <c r="G19" s="3">
        <v>310</v>
      </c>
      <c r="H19" s="3">
        <v>332</v>
      </c>
      <c r="I19" s="3">
        <v>356</v>
      </c>
      <c r="J19" s="3">
        <v>400</v>
      </c>
      <c r="K19" s="3">
        <v>509</v>
      </c>
      <c r="L19" s="3">
        <v>520</v>
      </c>
      <c r="M19" s="3">
        <v>582</v>
      </c>
      <c r="N19" s="3">
        <v>622</v>
      </c>
      <c r="O19" s="3">
        <v>707</v>
      </c>
      <c r="P19" s="3">
        <v>768</v>
      </c>
      <c r="Q19" s="3">
        <v>836</v>
      </c>
      <c r="R19" s="3">
        <v>895</v>
      </c>
      <c r="S19" s="3">
        <v>914</v>
      </c>
      <c r="T19" s="3">
        <v>910</v>
      </c>
      <c r="U19" s="3">
        <v>827</v>
      </c>
      <c r="V19" s="3">
        <v>805</v>
      </c>
      <c r="W19" s="3">
        <v>826</v>
      </c>
      <c r="X19" s="3">
        <v>827</v>
      </c>
      <c r="Y19" s="3">
        <v>867</v>
      </c>
      <c r="Z19" s="3">
        <v>926</v>
      </c>
      <c r="AA19" s="3">
        <v>917</v>
      </c>
      <c r="AB19" s="3">
        <v>741</v>
      </c>
      <c r="AC19" s="3">
        <v>713</v>
      </c>
      <c r="AD19" s="3">
        <v>694</v>
      </c>
      <c r="AE19" s="3">
        <v>655</v>
      </c>
      <c r="AF19" s="3">
        <v>663</v>
      </c>
      <c r="AG19" s="3">
        <v>678</v>
      </c>
      <c r="AH19" s="3">
        <v>680</v>
      </c>
      <c r="AI19" s="3">
        <v>683</v>
      </c>
      <c r="AJ19" s="3">
        <v>696</v>
      </c>
      <c r="AK19" s="3">
        <v>709</v>
      </c>
    </row>
    <row r="20" spans="1:37" x14ac:dyDescent="0.3">
      <c r="A20" s="14" t="s">
        <v>167</v>
      </c>
      <c r="B20" s="3">
        <v>4371</v>
      </c>
      <c r="C20" s="3">
        <v>4593</v>
      </c>
      <c r="D20" s="3">
        <v>4796</v>
      </c>
      <c r="E20" s="3">
        <v>4929</v>
      </c>
      <c r="F20" s="3">
        <v>5163</v>
      </c>
      <c r="G20" s="3">
        <v>5451</v>
      </c>
      <c r="H20" s="3">
        <v>5827</v>
      </c>
      <c r="I20" s="3">
        <v>5919</v>
      </c>
      <c r="J20" s="3">
        <v>6135</v>
      </c>
      <c r="K20" s="3">
        <v>6279</v>
      </c>
      <c r="L20" s="3">
        <v>6784</v>
      </c>
      <c r="M20" s="3">
        <v>7137</v>
      </c>
      <c r="N20" s="3">
        <v>7552</v>
      </c>
      <c r="O20" s="3">
        <v>7944</v>
      </c>
      <c r="P20" s="3">
        <v>8186</v>
      </c>
      <c r="Q20" s="3">
        <v>8719</v>
      </c>
      <c r="R20" s="3">
        <v>9129</v>
      </c>
      <c r="S20" s="3">
        <v>9538</v>
      </c>
      <c r="T20" s="3">
        <v>9588</v>
      </c>
      <c r="U20" s="3">
        <v>9236</v>
      </c>
      <c r="V20" s="3">
        <v>9529</v>
      </c>
      <c r="W20" s="3">
        <v>9915</v>
      </c>
      <c r="X20" s="3">
        <v>10167</v>
      </c>
      <c r="Y20" s="3">
        <v>10388</v>
      </c>
      <c r="Z20" s="3">
        <v>10726</v>
      </c>
      <c r="AA20" s="3">
        <v>11000</v>
      </c>
      <c r="AB20" s="3">
        <v>12032</v>
      </c>
      <c r="AC20" s="3">
        <v>12996</v>
      </c>
      <c r="AD20" s="3">
        <v>13564</v>
      </c>
      <c r="AE20" s="3">
        <v>14320</v>
      </c>
      <c r="AF20" s="3">
        <v>14850</v>
      </c>
      <c r="AG20" s="3">
        <v>15367</v>
      </c>
      <c r="AH20" s="3">
        <v>15683</v>
      </c>
      <c r="AI20" s="3">
        <v>15878</v>
      </c>
      <c r="AJ20" s="3">
        <v>16155</v>
      </c>
      <c r="AK20" s="3">
        <v>16408</v>
      </c>
    </row>
    <row r="21" spans="1:37" x14ac:dyDescent="0.3">
      <c r="A21" s="11" t="s">
        <v>141</v>
      </c>
      <c r="B21" s="11">
        <v>113684</v>
      </c>
      <c r="C21" s="11">
        <v>115640</v>
      </c>
      <c r="D21" s="11">
        <v>118544</v>
      </c>
      <c r="E21" s="11">
        <v>122357</v>
      </c>
      <c r="F21" s="11">
        <v>126646</v>
      </c>
      <c r="G21" s="11">
        <v>130527</v>
      </c>
      <c r="H21" s="11">
        <v>136364</v>
      </c>
      <c r="I21" s="11">
        <v>143545</v>
      </c>
      <c r="J21" s="11">
        <v>146388</v>
      </c>
      <c r="K21" s="11">
        <v>160792</v>
      </c>
      <c r="L21" s="11">
        <v>158639</v>
      </c>
      <c r="M21" s="11">
        <v>166871</v>
      </c>
      <c r="N21" s="11">
        <v>178599</v>
      </c>
      <c r="O21" s="11">
        <v>189621</v>
      </c>
      <c r="P21" s="11">
        <v>195796</v>
      </c>
      <c r="Q21" s="11">
        <v>208413</v>
      </c>
      <c r="R21" s="11">
        <v>218194</v>
      </c>
      <c r="S21" s="11">
        <v>220599</v>
      </c>
      <c r="T21" s="11">
        <v>224414</v>
      </c>
      <c r="U21" s="11">
        <v>223896</v>
      </c>
      <c r="V21" s="11">
        <v>228709</v>
      </c>
      <c r="W21" s="11">
        <v>231699</v>
      </c>
      <c r="X21" s="11">
        <v>241008</v>
      </c>
      <c r="Y21" s="11">
        <v>248119</v>
      </c>
      <c r="Z21" s="11">
        <v>271076</v>
      </c>
      <c r="AA21" s="11">
        <v>278018</v>
      </c>
      <c r="AB21" s="11">
        <v>294711</v>
      </c>
      <c r="AC21" s="11">
        <v>318078</v>
      </c>
      <c r="AD21" s="11">
        <v>335288</v>
      </c>
      <c r="AE21" s="11">
        <v>347722</v>
      </c>
      <c r="AF21" s="11">
        <v>361797</v>
      </c>
      <c r="AG21" s="11">
        <v>374303</v>
      </c>
      <c r="AH21" s="11">
        <v>387185</v>
      </c>
      <c r="AI21" s="11">
        <v>400358</v>
      </c>
      <c r="AJ21" s="11">
        <v>412086</v>
      </c>
      <c r="AK21" s="11">
        <v>423969</v>
      </c>
    </row>
    <row r="22" spans="1:37" x14ac:dyDescent="0.3">
      <c r="A22" s="14" t="s">
        <v>142</v>
      </c>
      <c r="B22" s="3">
        <v>95313</v>
      </c>
      <c r="C22" s="3">
        <v>98127</v>
      </c>
      <c r="D22" s="3">
        <v>101168</v>
      </c>
      <c r="E22" s="3">
        <v>105550</v>
      </c>
      <c r="F22" s="3">
        <v>109432</v>
      </c>
      <c r="G22" s="3">
        <v>113156</v>
      </c>
      <c r="H22" s="3">
        <v>120408</v>
      </c>
      <c r="I22" s="3">
        <v>128313</v>
      </c>
      <c r="J22" s="3">
        <v>131969</v>
      </c>
      <c r="K22" s="3">
        <v>147135</v>
      </c>
      <c r="L22" s="3">
        <v>145168</v>
      </c>
      <c r="M22" s="3">
        <v>153026</v>
      </c>
      <c r="N22" s="3">
        <v>164425</v>
      </c>
      <c r="O22" s="3">
        <v>175872</v>
      </c>
      <c r="P22" s="3">
        <v>182570</v>
      </c>
      <c r="Q22" s="3">
        <v>194820</v>
      </c>
      <c r="R22" s="3">
        <v>204380</v>
      </c>
      <c r="S22" s="3">
        <v>207376</v>
      </c>
      <c r="T22" s="3">
        <v>211082</v>
      </c>
      <c r="U22" s="3">
        <v>211499</v>
      </c>
      <c r="V22" s="3">
        <v>216826</v>
      </c>
      <c r="W22" s="3">
        <v>221002</v>
      </c>
      <c r="X22" s="3">
        <v>231002</v>
      </c>
      <c r="Y22" s="3">
        <v>238491</v>
      </c>
      <c r="Z22" s="3">
        <v>261950</v>
      </c>
      <c r="AA22" s="3">
        <v>269437</v>
      </c>
      <c r="AB22" s="3">
        <v>285970</v>
      </c>
      <c r="AC22" s="3">
        <v>306311</v>
      </c>
      <c r="AD22" s="3">
        <v>321564</v>
      </c>
      <c r="AE22" s="3">
        <v>333440</v>
      </c>
      <c r="AF22" s="3">
        <v>345186</v>
      </c>
      <c r="AG22" s="3">
        <v>355317</v>
      </c>
      <c r="AH22" s="3">
        <v>366406</v>
      </c>
      <c r="AI22" s="3">
        <v>377312</v>
      </c>
      <c r="AJ22" s="3">
        <v>386870</v>
      </c>
      <c r="AK22" s="3">
        <v>396428</v>
      </c>
    </row>
    <row r="23" spans="1:37" x14ac:dyDescent="0.3">
      <c r="A23" s="14" t="s">
        <v>199</v>
      </c>
      <c r="B23" s="3">
        <v>88242</v>
      </c>
      <c r="C23" s="3">
        <v>90115</v>
      </c>
      <c r="D23" s="3">
        <v>93093</v>
      </c>
      <c r="E23" s="3">
        <v>96633</v>
      </c>
      <c r="F23" s="3">
        <v>100052</v>
      </c>
      <c r="G23" s="3">
        <v>104723</v>
      </c>
      <c r="H23" s="3">
        <v>112292</v>
      </c>
      <c r="I23" s="3">
        <v>118147</v>
      </c>
      <c r="J23" s="3">
        <v>123073</v>
      </c>
      <c r="K23" s="3">
        <v>129649</v>
      </c>
      <c r="L23" s="3">
        <v>135356</v>
      </c>
      <c r="M23" s="3">
        <v>141782</v>
      </c>
      <c r="N23" s="3">
        <v>152319</v>
      </c>
      <c r="O23" s="3">
        <v>162608</v>
      </c>
      <c r="P23" s="3">
        <v>168709</v>
      </c>
      <c r="Q23" s="3">
        <v>177136</v>
      </c>
      <c r="R23" s="3">
        <v>184740</v>
      </c>
      <c r="S23" s="3">
        <v>190148</v>
      </c>
      <c r="T23" s="3">
        <v>194160</v>
      </c>
      <c r="U23" s="3">
        <v>196688</v>
      </c>
      <c r="V23" s="3">
        <v>202436</v>
      </c>
      <c r="W23" s="3">
        <v>206585</v>
      </c>
      <c r="X23" s="3">
        <v>214685</v>
      </c>
      <c r="Y23" s="3">
        <v>222413</v>
      </c>
      <c r="Z23" s="3">
        <v>244735</v>
      </c>
      <c r="AA23" s="3">
        <v>250126</v>
      </c>
      <c r="AB23" s="3">
        <v>265401</v>
      </c>
      <c r="AC23" s="3">
        <v>283086</v>
      </c>
      <c r="AD23" s="3">
        <v>296303</v>
      </c>
      <c r="AE23" s="3">
        <v>307400</v>
      </c>
      <c r="AF23" s="3">
        <v>318386</v>
      </c>
      <c r="AG23" s="3">
        <v>330166</v>
      </c>
      <c r="AH23" s="3">
        <v>340235</v>
      </c>
      <c r="AI23" s="3">
        <v>349707</v>
      </c>
      <c r="AJ23" s="3">
        <v>357190</v>
      </c>
      <c r="AK23" s="3">
        <v>366940</v>
      </c>
    </row>
    <row r="24" spans="1:37" x14ac:dyDescent="0.3">
      <c r="A24" s="7" t="s">
        <v>144</v>
      </c>
      <c r="B24" s="3">
        <v>24956</v>
      </c>
      <c r="C24" s="3">
        <v>25796</v>
      </c>
      <c r="D24" s="3">
        <v>26571</v>
      </c>
      <c r="E24" s="3">
        <v>27773</v>
      </c>
      <c r="F24" s="3">
        <v>28818</v>
      </c>
      <c r="G24" s="3">
        <v>30105</v>
      </c>
      <c r="H24" s="3">
        <v>32321</v>
      </c>
      <c r="I24" s="3">
        <v>33653</v>
      </c>
      <c r="J24" s="3">
        <v>34662</v>
      </c>
      <c r="K24" s="3">
        <v>36470</v>
      </c>
      <c r="L24" s="3">
        <v>38043</v>
      </c>
      <c r="M24" s="3">
        <v>39668</v>
      </c>
      <c r="N24" s="3">
        <v>41942</v>
      </c>
      <c r="O24" s="3">
        <v>43966</v>
      </c>
      <c r="P24" s="3">
        <v>45302</v>
      </c>
      <c r="Q24" s="3">
        <v>47158</v>
      </c>
      <c r="R24" s="3">
        <v>49147</v>
      </c>
      <c r="S24" s="3">
        <v>50686</v>
      </c>
      <c r="T24" s="3">
        <v>52174</v>
      </c>
      <c r="U24" s="3">
        <v>52336</v>
      </c>
      <c r="V24" s="3">
        <v>53697</v>
      </c>
      <c r="W24" s="3">
        <v>55349</v>
      </c>
      <c r="X24" s="3">
        <v>56918</v>
      </c>
      <c r="Y24" s="3">
        <v>58764</v>
      </c>
      <c r="Z24" s="3">
        <v>60570</v>
      </c>
      <c r="AA24" s="3">
        <v>62842</v>
      </c>
      <c r="AB24" s="3">
        <v>68194</v>
      </c>
      <c r="AC24" s="3">
        <v>73623</v>
      </c>
      <c r="AD24" s="3">
        <v>77342</v>
      </c>
      <c r="AE24" s="3">
        <v>80236</v>
      </c>
      <c r="AF24" s="3">
        <v>82828</v>
      </c>
      <c r="AG24" s="3">
        <v>85464</v>
      </c>
      <c r="AH24" s="3">
        <v>87402</v>
      </c>
      <c r="AI24" s="3">
        <v>88617</v>
      </c>
      <c r="AJ24" s="3">
        <v>90526</v>
      </c>
      <c r="AK24" s="3">
        <v>92300</v>
      </c>
    </row>
    <row r="25" spans="1:37" x14ac:dyDescent="0.3">
      <c r="A25" s="7" t="s">
        <v>145</v>
      </c>
      <c r="B25" s="3">
        <v>7971</v>
      </c>
      <c r="C25" s="3">
        <v>8210</v>
      </c>
      <c r="D25" s="3">
        <v>8588</v>
      </c>
      <c r="E25" s="3">
        <v>9055</v>
      </c>
      <c r="F25" s="3">
        <v>9506</v>
      </c>
      <c r="G25" s="3">
        <v>10093</v>
      </c>
      <c r="H25" s="3">
        <v>11586</v>
      </c>
      <c r="I25" s="3">
        <v>11906</v>
      </c>
      <c r="J25" s="3">
        <v>12144</v>
      </c>
      <c r="K25" s="3">
        <v>12491</v>
      </c>
      <c r="L25" s="3">
        <v>12917</v>
      </c>
      <c r="M25" s="3">
        <v>12943</v>
      </c>
      <c r="N25" s="3">
        <v>13862</v>
      </c>
      <c r="O25" s="3">
        <v>14874</v>
      </c>
      <c r="P25" s="3">
        <v>15110</v>
      </c>
      <c r="Q25" s="3">
        <v>15960</v>
      </c>
      <c r="R25" s="3">
        <v>16546</v>
      </c>
      <c r="S25" s="3">
        <v>16469</v>
      </c>
      <c r="T25" s="3">
        <v>17088</v>
      </c>
      <c r="U25" s="3">
        <v>16986</v>
      </c>
      <c r="V25" s="3">
        <v>17516</v>
      </c>
      <c r="W25" s="3">
        <v>17940</v>
      </c>
      <c r="X25" s="3">
        <v>19119</v>
      </c>
      <c r="Y25" s="3">
        <v>19732</v>
      </c>
      <c r="Z25" s="3">
        <v>19948</v>
      </c>
      <c r="AA25" s="3">
        <v>21422</v>
      </c>
      <c r="AB25" s="3">
        <v>24013</v>
      </c>
      <c r="AC25" s="3">
        <v>25443</v>
      </c>
      <c r="AD25" s="3">
        <v>26986</v>
      </c>
      <c r="AE25" s="3">
        <v>27704</v>
      </c>
      <c r="AF25" s="3">
        <v>28984</v>
      </c>
      <c r="AG25" s="3">
        <v>29893</v>
      </c>
      <c r="AH25" s="3">
        <v>30301</v>
      </c>
      <c r="AI25" s="3">
        <v>31543</v>
      </c>
      <c r="AJ25" s="3">
        <v>30798</v>
      </c>
      <c r="AK25" s="3">
        <v>31149</v>
      </c>
    </row>
    <row r="26" spans="1:37" x14ac:dyDescent="0.3">
      <c r="A26" s="7" t="s">
        <v>146</v>
      </c>
      <c r="B26" s="3">
        <v>4095</v>
      </c>
      <c r="C26" s="3">
        <v>3686</v>
      </c>
      <c r="D26" s="3">
        <v>3985</v>
      </c>
      <c r="E26" s="3">
        <v>4139</v>
      </c>
      <c r="F26" s="3">
        <v>4165</v>
      </c>
      <c r="G26" s="3">
        <v>4362</v>
      </c>
      <c r="H26" s="3">
        <v>4471</v>
      </c>
      <c r="I26" s="3">
        <v>5093</v>
      </c>
      <c r="J26" s="3">
        <v>5140</v>
      </c>
      <c r="K26" s="3">
        <v>6965</v>
      </c>
      <c r="L26" s="3">
        <v>8324</v>
      </c>
      <c r="M26" s="3">
        <v>9717</v>
      </c>
      <c r="N26" s="3">
        <v>10810</v>
      </c>
      <c r="O26" s="3">
        <v>11276</v>
      </c>
      <c r="P26" s="3">
        <v>13312</v>
      </c>
      <c r="Q26" s="3">
        <v>14564</v>
      </c>
      <c r="R26" s="3">
        <v>14948</v>
      </c>
      <c r="S26" s="3">
        <v>15428</v>
      </c>
      <c r="T26" s="3">
        <v>15803</v>
      </c>
      <c r="U26" s="3">
        <v>16056</v>
      </c>
      <c r="V26" s="3">
        <v>16086</v>
      </c>
      <c r="W26" s="3">
        <v>16368</v>
      </c>
      <c r="X26" s="3">
        <v>17090</v>
      </c>
      <c r="Y26" s="3">
        <v>18112</v>
      </c>
      <c r="Z26" s="3">
        <v>22984</v>
      </c>
      <c r="AA26" s="3">
        <v>22154</v>
      </c>
      <c r="AB26" s="3">
        <v>21457</v>
      </c>
      <c r="AC26" s="3">
        <v>22275</v>
      </c>
      <c r="AD26" s="3">
        <v>21788</v>
      </c>
      <c r="AE26" s="3">
        <v>22633</v>
      </c>
      <c r="AF26" s="3">
        <v>22980</v>
      </c>
      <c r="AG26" s="3">
        <v>23455</v>
      </c>
      <c r="AH26" s="3">
        <v>23715</v>
      </c>
      <c r="AI26" s="3">
        <v>24466</v>
      </c>
      <c r="AJ26" s="3">
        <v>25488</v>
      </c>
      <c r="AK26" s="3">
        <v>26003</v>
      </c>
    </row>
    <row r="27" spans="1:37" x14ac:dyDescent="0.3">
      <c r="A27" s="7" t="s">
        <v>147</v>
      </c>
      <c r="B27" s="3">
        <v>46940</v>
      </c>
      <c r="C27" s="3">
        <v>47914</v>
      </c>
      <c r="D27" s="3">
        <v>49308</v>
      </c>
      <c r="E27" s="3">
        <v>50938</v>
      </c>
      <c r="F27" s="3">
        <v>52713</v>
      </c>
      <c r="G27" s="3">
        <v>55115</v>
      </c>
      <c r="H27" s="3">
        <v>58782</v>
      </c>
      <c r="I27" s="3">
        <v>61928</v>
      </c>
      <c r="J27" s="3">
        <v>65117</v>
      </c>
      <c r="K27" s="3">
        <v>67344</v>
      </c>
      <c r="L27" s="3">
        <v>69626</v>
      </c>
      <c r="M27" s="3">
        <v>73366</v>
      </c>
      <c r="N27" s="3">
        <v>79012</v>
      </c>
      <c r="O27" s="3">
        <v>84789</v>
      </c>
      <c r="P27" s="3">
        <v>87273</v>
      </c>
      <c r="Q27" s="3">
        <v>91415</v>
      </c>
      <c r="R27" s="3">
        <v>95816</v>
      </c>
      <c r="S27" s="3">
        <v>99105</v>
      </c>
      <c r="T27" s="3">
        <v>100909</v>
      </c>
      <c r="U27" s="3">
        <v>102919</v>
      </c>
      <c r="V27" s="3">
        <v>106036</v>
      </c>
      <c r="W27" s="3">
        <v>109170</v>
      </c>
      <c r="X27" s="3">
        <v>112720</v>
      </c>
      <c r="Y27" s="3">
        <v>116595</v>
      </c>
      <c r="Z27" s="3">
        <v>127761</v>
      </c>
      <c r="AA27" s="3">
        <v>131071</v>
      </c>
      <c r="AB27" s="3">
        <v>139137</v>
      </c>
      <c r="AC27" s="3">
        <v>149416</v>
      </c>
      <c r="AD27" s="3">
        <v>158453</v>
      </c>
      <c r="AE27" s="3">
        <v>164977</v>
      </c>
      <c r="AF27" s="3">
        <v>170656</v>
      </c>
      <c r="AG27" s="3">
        <v>177800</v>
      </c>
      <c r="AH27" s="3">
        <v>184702</v>
      </c>
      <c r="AI27" s="3">
        <v>190621</v>
      </c>
      <c r="AJ27" s="3">
        <v>197693</v>
      </c>
      <c r="AK27" s="3">
        <v>204469</v>
      </c>
    </row>
    <row r="28" spans="1:37" x14ac:dyDescent="0.3">
      <c r="A28" s="9" t="s">
        <v>80</v>
      </c>
      <c r="B28" s="3">
        <v>33909</v>
      </c>
      <c r="C28" s="3">
        <v>34952</v>
      </c>
      <c r="D28" s="3">
        <v>35649</v>
      </c>
      <c r="E28" s="3">
        <v>36292</v>
      </c>
      <c r="F28" s="3">
        <v>37232</v>
      </c>
      <c r="G28" s="3">
        <v>38790</v>
      </c>
      <c r="H28" s="3">
        <v>41466</v>
      </c>
      <c r="I28" s="3">
        <v>43353</v>
      </c>
      <c r="J28" s="3">
        <v>45024</v>
      </c>
      <c r="K28" s="3">
        <v>46678</v>
      </c>
      <c r="L28" s="3">
        <v>48278</v>
      </c>
      <c r="M28" s="3">
        <v>50803</v>
      </c>
      <c r="N28" s="3">
        <v>54067</v>
      </c>
      <c r="O28" s="3">
        <v>58197</v>
      </c>
      <c r="P28" s="3">
        <v>59699</v>
      </c>
      <c r="Q28" s="3">
        <v>62176</v>
      </c>
      <c r="R28" s="3">
        <v>65426</v>
      </c>
      <c r="S28" s="3">
        <v>68235</v>
      </c>
      <c r="T28" s="3">
        <v>69236</v>
      </c>
      <c r="U28" s="3">
        <v>70724</v>
      </c>
      <c r="V28" s="3">
        <v>72856</v>
      </c>
      <c r="W28" s="3">
        <v>75156</v>
      </c>
      <c r="X28" s="3">
        <v>77423</v>
      </c>
      <c r="Y28" s="3">
        <v>80059</v>
      </c>
      <c r="Z28" s="3">
        <v>91544</v>
      </c>
      <c r="AA28" s="3">
        <v>90569</v>
      </c>
      <c r="AB28" s="3">
        <v>94970</v>
      </c>
      <c r="AC28" s="3">
        <v>102771</v>
      </c>
      <c r="AD28" s="3">
        <v>109277</v>
      </c>
      <c r="AE28" s="3">
        <v>113460</v>
      </c>
      <c r="AF28" s="3">
        <v>116795</v>
      </c>
      <c r="AG28" s="3">
        <v>121308</v>
      </c>
      <c r="AH28" s="3">
        <v>125253</v>
      </c>
      <c r="AI28" s="3">
        <v>128767</v>
      </c>
      <c r="AJ28" s="3">
        <v>133216</v>
      </c>
      <c r="AK28" s="3">
        <v>137081</v>
      </c>
    </row>
    <row r="29" spans="1:37" x14ac:dyDescent="0.3">
      <c r="A29" s="9" t="s">
        <v>148</v>
      </c>
      <c r="B29" s="3">
        <v>13032</v>
      </c>
      <c r="C29" s="3">
        <v>12962</v>
      </c>
      <c r="D29" s="3">
        <v>13659</v>
      </c>
      <c r="E29" s="3">
        <v>14646</v>
      </c>
      <c r="F29" s="3">
        <v>15481</v>
      </c>
      <c r="G29" s="3">
        <v>16325</v>
      </c>
      <c r="H29" s="3">
        <v>17316</v>
      </c>
      <c r="I29" s="3">
        <v>18575</v>
      </c>
      <c r="J29" s="3">
        <v>20092</v>
      </c>
      <c r="K29" s="3">
        <v>20666</v>
      </c>
      <c r="L29" s="3">
        <v>21347</v>
      </c>
      <c r="M29" s="3">
        <v>22563</v>
      </c>
      <c r="N29" s="3">
        <v>24945</v>
      </c>
      <c r="O29" s="3">
        <v>26592</v>
      </c>
      <c r="P29" s="3">
        <v>27574</v>
      </c>
      <c r="Q29" s="3">
        <v>29239</v>
      </c>
      <c r="R29" s="3">
        <v>30390</v>
      </c>
      <c r="S29" s="3">
        <v>30870</v>
      </c>
      <c r="T29" s="3">
        <v>31674</v>
      </c>
      <c r="U29" s="3">
        <v>32195</v>
      </c>
      <c r="V29" s="3">
        <v>33179</v>
      </c>
      <c r="W29" s="3">
        <v>34014</v>
      </c>
      <c r="X29" s="3">
        <v>35297</v>
      </c>
      <c r="Y29" s="3">
        <v>36536</v>
      </c>
      <c r="Z29" s="3">
        <v>36217</v>
      </c>
      <c r="AA29" s="3">
        <v>40503</v>
      </c>
      <c r="AB29" s="3">
        <v>44166</v>
      </c>
      <c r="AC29" s="3">
        <v>46645</v>
      </c>
      <c r="AD29" s="3">
        <v>49175</v>
      </c>
      <c r="AE29" s="3">
        <v>51518</v>
      </c>
      <c r="AF29" s="3">
        <v>53862</v>
      </c>
      <c r="AG29" s="3">
        <v>56492</v>
      </c>
      <c r="AH29" s="3">
        <v>59449</v>
      </c>
      <c r="AI29" s="3">
        <v>61854</v>
      </c>
      <c r="AJ29" s="3">
        <v>64478</v>
      </c>
      <c r="AK29" s="3">
        <v>67388</v>
      </c>
    </row>
    <row r="30" spans="1:37" x14ac:dyDescent="0.3">
      <c r="A30" s="7" t="s">
        <v>149</v>
      </c>
      <c r="B30" s="3">
        <v>1175</v>
      </c>
      <c r="C30" s="3">
        <v>1416</v>
      </c>
      <c r="D30" s="3">
        <v>1381</v>
      </c>
      <c r="E30" s="3">
        <v>1357</v>
      </c>
      <c r="F30" s="3">
        <v>1360</v>
      </c>
      <c r="G30" s="3">
        <v>1464</v>
      </c>
      <c r="H30" s="3">
        <v>1545</v>
      </c>
      <c r="I30" s="3">
        <v>1771</v>
      </c>
      <c r="J30" s="3">
        <v>1985</v>
      </c>
      <c r="K30" s="3">
        <v>2198</v>
      </c>
      <c r="L30" s="3">
        <v>2262</v>
      </c>
      <c r="M30" s="3">
        <v>2386</v>
      </c>
      <c r="N30" s="3">
        <v>2695</v>
      </c>
      <c r="O30" s="3">
        <v>3182</v>
      </c>
      <c r="P30" s="3">
        <v>3124</v>
      </c>
      <c r="Q30" s="3">
        <v>3347</v>
      </c>
      <c r="R30" s="3">
        <v>3376</v>
      </c>
      <c r="S30" s="3">
        <v>3192</v>
      </c>
      <c r="T30" s="3">
        <v>3368</v>
      </c>
      <c r="U30" s="3">
        <v>3128</v>
      </c>
      <c r="V30" s="3">
        <v>3418</v>
      </c>
      <c r="W30" s="3">
        <v>3342</v>
      </c>
      <c r="X30" s="3">
        <v>3592</v>
      </c>
      <c r="Y30" s="3">
        <v>3816</v>
      </c>
      <c r="Z30" s="3">
        <v>5492</v>
      </c>
      <c r="AA30" s="3">
        <v>4610</v>
      </c>
      <c r="AB30" s="3">
        <v>5808</v>
      </c>
      <c r="AC30" s="3">
        <v>5962</v>
      </c>
      <c r="AD30" s="3">
        <v>4762</v>
      </c>
      <c r="AE30" s="3">
        <v>4661</v>
      </c>
      <c r="AF30" s="3">
        <v>4425</v>
      </c>
      <c r="AG30" s="3">
        <v>4321</v>
      </c>
      <c r="AH30" s="3">
        <v>4331</v>
      </c>
      <c r="AI30" s="3">
        <v>4366</v>
      </c>
      <c r="AJ30" s="3">
        <v>4438</v>
      </c>
      <c r="AK30" s="3">
        <v>4511</v>
      </c>
    </row>
    <row r="31" spans="1:37" x14ac:dyDescent="0.3">
      <c r="A31" s="7" t="s">
        <v>150</v>
      </c>
      <c r="B31" s="3">
        <v>786</v>
      </c>
      <c r="C31" s="3">
        <v>598</v>
      </c>
      <c r="D31" s="3">
        <v>624</v>
      </c>
      <c r="E31" s="3">
        <v>652</v>
      </c>
      <c r="F31" s="3">
        <v>637</v>
      </c>
      <c r="G31" s="3">
        <v>643</v>
      </c>
      <c r="H31" s="3">
        <v>649</v>
      </c>
      <c r="I31" s="3">
        <v>655</v>
      </c>
      <c r="J31" s="3">
        <v>648</v>
      </c>
      <c r="K31" s="3">
        <v>661</v>
      </c>
      <c r="L31" s="3">
        <v>684</v>
      </c>
      <c r="M31" s="3">
        <v>146</v>
      </c>
      <c r="N31" s="3">
        <v>163</v>
      </c>
      <c r="O31" s="3">
        <v>180</v>
      </c>
      <c r="P31" s="3">
        <v>132</v>
      </c>
      <c r="Q31" s="3">
        <v>192</v>
      </c>
      <c r="R31" s="3">
        <v>196</v>
      </c>
      <c r="S31" s="3">
        <v>138</v>
      </c>
      <c r="T31" s="3">
        <v>126</v>
      </c>
      <c r="U31" s="3">
        <v>177</v>
      </c>
      <c r="V31" s="3">
        <v>139</v>
      </c>
      <c r="W31" s="3">
        <v>133</v>
      </c>
      <c r="X31" s="3">
        <v>131</v>
      </c>
      <c r="Y31" s="3">
        <v>145</v>
      </c>
      <c r="Z31" s="3">
        <v>1820</v>
      </c>
      <c r="AA31" s="3">
        <v>1109</v>
      </c>
      <c r="AB31" s="3">
        <v>324</v>
      </c>
      <c r="AC31" s="3">
        <v>144</v>
      </c>
      <c r="AD31" s="3">
        <v>143</v>
      </c>
      <c r="AE31" s="3">
        <v>139</v>
      </c>
      <c r="AF31" s="3">
        <v>141</v>
      </c>
      <c r="AG31" s="3">
        <v>143</v>
      </c>
      <c r="AH31" s="3">
        <v>144</v>
      </c>
      <c r="AI31" s="3">
        <v>145</v>
      </c>
      <c r="AJ31" s="3">
        <v>146</v>
      </c>
      <c r="AK31" s="3">
        <v>147</v>
      </c>
    </row>
    <row r="32" spans="1:37" x14ac:dyDescent="0.3">
      <c r="A32" s="7" t="s">
        <v>200</v>
      </c>
      <c r="B32" s="3">
        <v>1753</v>
      </c>
      <c r="C32" s="3">
        <v>1903</v>
      </c>
      <c r="D32" s="3">
        <v>1998</v>
      </c>
      <c r="E32" s="3">
        <v>2065</v>
      </c>
      <c r="F32" s="3">
        <v>2133</v>
      </c>
      <c r="G32" s="3">
        <v>2236</v>
      </c>
      <c r="H32" s="3">
        <v>2192</v>
      </c>
      <c r="I32" s="3">
        <v>2316</v>
      </c>
      <c r="J32" s="3">
        <v>2558</v>
      </c>
      <c r="K32" s="3">
        <v>2663</v>
      </c>
      <c r="L32" s="3">
        <v>2628</v>
      </c>
      <c r="M32" s="3">
        <v>2677</v>
      </c>
      <c r="N32" s="3">
        <v>2806</v>
      </c>
      <c r="O32" s="3">
        <v>3313</v>
      </c>
      <c r="P32" s="3">
        <v>3288</v>
      </c>
      <c r="Q32" s="3">
        <v>3276</v>
      </c>
      <c r="R32" s="3">
        <v>3676</v>
      </c>
      <c r="S32" s="3">
        <v>3949</v>
      </c>
      <c r="T32" s="3">
        <v>3500</v>
      </c>
      <c r="U32" s="3">
        <v>3852</v>
      </c>
      <c r="V32" s="3">
        <v>4086</v>
      </c>
      <c r="W32" s="3">
        <v>2988</v>
      </c>
      <c r="X32" s="3">
        <v>3846</v>
      </c>
      <c r="Y32" s="3">
        <v>3866</v>
      </c>
      <c r="Z32" s="3">
        <v>4658</v>
      </c>
      <c r="AA32" s="3">
        <v>5291</v>
      </c>
      <c r="AB32" s="3">
        <v>4741</v>
      </c>
      <c r="AC32" s="3">
        <v>4401</v>
      </c>
      <c r="AD32" s="3">
        <v>4407</v>
      </c>
      <c r="AE32" s="3">
        <v>4647</v>
      </c>
      <c r="AF32" s="3">
        <v>5912</v>
      </c>
      <c r="AG32" s="3">
        <v>6853</v>
      </c>
      <c r="AH32" s="3">
        <v>7345</v>
      </c>
      <c r="AI32" s="3">
        <v>7593</v>
      </c>
      <c r="AJ32" s="3">
        <v>5867</v>
      </c>
      <c r="AK32" s="3">
        <v>6089</v>
      </c>
    </row>
    <row r="33" spans="1:37" x14ac:dyDescent="0.3">
      <c r="A33" s="7" t="s">
        <v>194</v>
      </c>
      <c r="B33" s="3">
        <v>566</v>
      </c>
      <c r="C33" s="3">
        <v>591</v>
      </c>
      <c r="D33" s="3">
        <v>637</v>
      </c>
      <c r="E33" s="3">
        <v>654</v>
      </c>
      <c r="F33" s="3">
        <v>720</v>
      </c>
      <c r="G33" s="3">
        <v>705</v>
      </c>
      <c r="H33" s="3">
        <v>745</v>
      </c>
      <c r="I33" s="3">
        <v>824</v>
      </c>
      <c r="J33" s="3">
        <v>818</v>
      </c>
      <c r="K33" s="3">
        <v>858</v>
      </c>
      <c r="L33" s="3">
        <v>873</v>
      </c>
      <c r="M33" s="3">
        <v>879</v>
      </c>
      <c r="N33" s="3">
        <v>1030</v>
      </c>
      <c r="O33" s="3">
        <v>1029</v>
      </c>
      <c r="P33" s="3">
        <v>1168</v>
      </c>
      <c r="Q33" s="3">
        <v>1225</v>
      </c>
      <c r="R33" s="3">
        <v>1035</v>
      </c>
      <c r="S33" s="3">
        <v>1179</v>
      </c>
      <c r="T33" s="3">
        <v>1192</v>
      </c>
      <c r="U33" s="3">
        <v>1236</v>
      </c>
      <c r="V33" s="3">
        <v>1459</v>
      </c>
      <c r="W33" s="3">
        <v>1296</v>
      </c>
      <c r="X33" s="3">
        <v>1270</v>
      </c>
      <c r="Y33" s="3">
        <v>1383</v>
      </c>
      <c r="Z33" s="3">
        <v>1502</v>
      </c>
      <c r="AA33" s="3">
        <v>1626</v>
      </c>
      <c r="AB33" s="3">
        <v>1728</v>
      </c>
      <c r="AC33" s="3">
        <v>1822</v>
      </c>
      <c r="AD33" s="3">
        <v>2422</v>
      </c>
      <c r="AE33" s="3">
        <v>2403</v>
      </c>
      <c r="AF33" s="3">
        <v>2459</v>
      </c>
      <c r="AG33" s="3">
        <v>2236</v>
      </c>
      <c r="AH33" s="3">
        <v>2296</v>
      </c>
      <c r="AI33" s="3">
        <v>2357</v>
      </c>
      <c r="AJ33" s="3">
        <v>2233</v>
      </c>
      <c r="AK33" s="3">
        <v>2272</v>
      </c>
    </row>
    <row r="34" spans="1:37" x14ac:dyDescent="0.3">
      <c r="A34" s="14" t="s">
        <v>201</v>
      </c>
      <c r="B34" s="3">
        <v>7071</v>
      </c>
      <c r="C34" s="3">
        <v>8012</v>
      </c>
      <c r="D34" s="3">
        <v>8076</v>
      </c>
      <c r="E34" s="3">
        <v>8918</v>
      </c>
      <c r="F34" s="3">
        <v>9380</v>
      </c>
      <c r="G34" s="3">
        <v>8433</v>
      </c>
      <c r="H34" s="3">
        <v>8117</v>
      </c>
      <c r="I34" s="3">
        <v>10167</v>
      </c>
      <c r="J34" s="3">
        <v>8896</v>
      </c>
      <c r="K34" s="3">
        <v>17485</v>
      </c>
      <c r="L34" s="3">
        <v>9812</v>
      </c>
      <c r="M34" s="3">
        <v>11245</v>
      </c>
      <c r="N34" s="3">
        <v>12106</v>
      </c>
      <c r="O34" s="3">
        <v>13264</v>
      </c>
      <c r="P34" s="3">
        <v>13861</v>
      </c>
      <c r="Q34" s="3">
        <v>17684</v>
      </c>
      <c r="R34" s="3">
        <v>19641</v>
      </c>
      <c r="S34" s="3">
        <v>17228</v>
      </c>
      <c r="T34" s="3">
        <v>16921</v>
      </c>
      <c r="U34" s="3">
        <v>14811</v>
      </c>
      <c r="V34" s="3">
        <v>14390</v>
      </c>
      <c r="W34" s="3">
        <v>14417</v>
      </c>
      <c r="X34" s="3">
        <v>16317</v>
      </c>
      <c r="Y34" s="3">
        <v>16078</v>
      </c>
      <c r="Z34" s="3">
        <v>17215</v>
      </c>
      <c r="AA34" s="3">
        <v>19311</v>
      </c>
      <c r="AB34" s="3">
        <v>20569</v>
      </c>
      <c r="AC34" s="3">
        <v>23225</v>
      </c>
      <c r="AD34" s="3">
        <v>25261</v>
      </c>
      <c r="AE34" s="3">
        <v>26040</v>
      </c>
      <c r="AF34" s="3">
        <v>26800</v>
      </c>
      <c r="AG34" s="3">
        <v>25151</v>
      </c>
      <c r="AH34" s="3">
        <v>26171</v>
      </c>
      <c r="AI34" s="3">
        <v>27604</v>
      </c>
      <c r="AJ34" s="3">
        <v>29680</v>
      </c>
      <c r="AK34" s="3">
        <v>29487</v>
      </c>
    </row>
    <row r="35" spans="1:37" x14ac:dyDescent="0.3">
      <c r="A35" s="7" t="s">
        <v>153</v>
      </c>
      <c r="B35" s="3">
        <v>4455</v>
      </c>
      <c r="C35" s="3">
        <v>4731</v>
      </c>
      <c r="D35" s="3">
        <v>4789</v>
      </c>
      <c r="E35" s="3">
        <v>5696</v>
      </c>
      <c r="F35" s="3">
        <v>6098</v>
      </c>
      <c r="G35" s="3">
        <v>5606</v>
      </c>
      <c r="H35" s="3">
        <v>5642</v>
      </c>
      <c r="I35" s="3">
        <v>5890</v>
      </c>
      <c r="J35" s="3">
        <v>5976</v>
      </c>
      <c r="K35" s="3">
        <v>6402</v>
      </c>
      <c r="L35" s="3">
        <v>6212</v>
      </c>
      <c r="M35" s="3">
        <v>6818</v>
      </c>
      <c r="N35" s="3">
        <v>7175</v>
      </c>
      <c r="O35" s="3">
        <v>7850</v>
      </c>
      <c r="P35" s="3">
        <v>8141</v>
      </c>
      <c r="Q35" s="3">
        <v>8974</v>
      </c>
      <c r="R35" s="3">
        <v>9595</v>
      </c>
      <c r="S35" s="3">
        <v>9174</v>
      </c>
      <c r="T35" s="3">
        <v>10308</v>
      </c>
      <c r="U35" s="3">
        <v>10357</v>
      </c>
      <c r="V35" s="3">
        <v>10450</v>
      </c>
      <c r="W35" s="3">
        <v>10884</v>
      </c>
      <c r="X35" s="3">
        <v>12249</v>
      </c>
      <c r="Y35" s="3">
        <v>12638</v>
      </c>
      <c r="Z35" s="3">
        <v>12755</v>
      </c>
      <c r="AA35" s="3">
        <v>14017</v>
      </c>
      <c r="AB35" s="3">
        <v>15340</v>
      </c>
      <c r="AC35" s="3">
        <v>17253</v>
      </c>
      <c r="AD35" s="3">
        <v>19266</v>
      </c>
      <c r="AE35" s="3">
        <v>19776</v>
      </c>
      <c r="AF35" s="3">
        <v>20683</v>
      </c>
      <c r="AG35" s="3">
        <v>20675</v>
      </c>
      <c r="AH35" s="3">
        <v>21624</v>
      </c>
      <c r="AI35" s="3">
        <v>23079</v>
      </c>
      <c r="AJ35" s="3">
        <v>24875</v>
      </c>
      <c r="AK35" s="3">
        <v>24369</v>
      </c>
    </row>
    <row r="36" spans="1:37" x14ac:dyDescent="0.3">
      <c r="A36" s="7" t="s">
        <v>172</v>
      </c>
      <c r="B36" s="3">
        <v>21</v>
      </c>
      <c r="C36" s="3">
        <v>-27</v>
      </c>
      <c r="D36" s="3">
        <v>14</v>
      </c>
      <c r="E36" s="3">
        <v>50</v>
      </c>
      <c r="F36" s="3">
        <v>51</v>
      </c>
      <c r="G36" s="3">
        <v>129</v>
      </c>
      <c r="H36" s="3">
        <v>-96</v>
      </c>
      <c r="I36" s="3">
        <v>50</v>
      </c>
      <c r="J36" s="3">
        <v>48</v>
      </c>
      <c r="K36" s="3">
        <v>-12</v>
      </c>
      <c r="L36" s="3">
        <v>-392</v>
      </c>
      <c r="M36" s="3">
        <v>58</v>
      </c>
      <c r="N36" s="3">
        <v>368</v>
      </c>
      <c r="O36" s="3">
        <v>493</v>
      </c>
      <c r="P36" s="3">
        <v>336</v>
      </c>
      <c r="Q36" s="3">
        <v>650</v>
      </c>
      <c r="R36" s="3">
        <v>755</v>
      </c>
      <c r="S36" s="3">
        <v>546</v>
      </c>
      <c r="T36" s="3">
        <v>62</v>
      </c>
      <c r="U36" s="3">
        <v>113</v>
      </c>
      <c r="V36" s="3">
        <v>96</v>
      </c>
      <c r="W36" s="3">
        <v>161</v>
      </c>
      <c r="X36" s="3">
        <v>220</v>
      </c>
      <c r="Y36" s="3">
        <v>126</v>
      </c>
      <c r="Z36" s="3">
        <v>183</v>
      </c>
      <c r="AA36" s="3">
        <v>191</v>
      </c>
      <c r="AB36" s="3">
        <v>631</v>
      </c>
      <c r="AC36" s="3">
        <v>456</v>
      </c>
      <c r="AD36" s="3">
        <v>364</v>
      </c>
      <c r="AE36" s="3">
        <v>403</v>
      </c>
      <c r="AF36" s="3">
        <v>390</v>
      </c>
      <c r="AG36" s="3">
        <v>301</v>
      </c>
      <c r="AH36" s="3">
        <v>294</v>
      </c>
      <c r="AI36" s="3">
        <v>288</v>
      </c>
      <c r="AJ36" s="3">
        <v>290</v>
      </c>
      <c r="AK36" s="3">
        <v>291</v>
      </c>
    </row>
    <row r="37" spans="1:37" x14ac:dyDescent="0.3">
      <c r="A37" s="7" t="s">
        <v>173</v>
      </c>
      <c r="B37" s="3">
        <v>257</v>
      </c>
      <c r="C37" s="3">
        <v>245</v>
      </c>
      <c r="D37" s="3">
        <v>271</v>
      </c>
      <c r="E37" s="3">
        <v>431</v>
      </c>
      <c r="F37" s="3">
        <v>211</v>
      </c>
      <c r="G37" s="3">
        <v>250</v>
      </c>
      <c r="H37" s="3">
        <v>267</v>
      </c>
      <c r="I37" s="3">
        <v>275</v>
      </c>
      <c r="J37" s="3">
        <v>397</v>
      </c>
      <c r="K37" s="3">
        <v>268</v>
      </c>
      <c r="L37" s="3">
        <v>260</v>
      </c>
      <c r="M37" s="3">
        <v>333</v>
      </c>
      <c r="N37" s="3">
        <v>416</v>
      </c>
      <c r="O37" s="3">
        <v>823</v>
      </c>
      <c r="P37" s="3">
        <v>958</v>
      </c>
      <c r="Q37" s="3">
        <v>1417</v>
      </c>
      <c r="R37" s="3">
        <v>1799</v>
      </c>
      <c r="S37" s="3">
        <v>1433</v>
      </c>
      <c r="T37" s="3">
        <v>923</v>
      </c>
      <c r="U37" s="3">
        <v>690</v>
      </c>
      <c r="V37" s="3">
        <v>544</v>
      </c>
      <c r="W37" s="3">
        <v>554</v>
      </c>
      <c r="X37" s="3">
        <v>599</v>
      </c>
      <c r="Y37" s="3">
        <v>766</v>
      </c>
      <c r="Z37" s="3">
        <v>994</v>
      </c>
      <c r="AA37" s="3">
        <v>1618</v>
      </c>
      <c r="AB37" s="3">
        <v>996</v>
      </c>
      <c r="AC37" s="3">
        <v>1238</v>
      </c>
      <c r="AD37" s="3">
        <v>1334</v>
      </c>
      <c r="AE37" s="3">
        <v>1425</v>
      </c>
      <c r="AF37" s="3">
        <v>1152</v>
      </c>
      <c r="AG37" s="3">
        <v>919</v>
      </c>
      <c r="AH37" s="3">
        <v>921</v>
      </c>
      <c r="AI37" s="3">
        <v>977</v>
      </c>
      <c r="AJ37" s="3">
        <v>1041</v>
      </c>
      <c r="AK37" s="3">
        <v>1034</v>
      </c>
    </row>
    <row r="38" spans="1:37" x14ac:dyDescent="0.3">
      <c r="A38" s="7" t="s">
        <v>174</v>
      </c>
      <c r="B38" s="3">
        <v>2067</v>
      </c>
      <c r="C38" s="3">
        <v>2852</v>
      </c>
      <c r="D38" s="3">
        <v>2737</v>
      </c>
      <c r="E38" s="3">
        <v>2484</v>
      </c>
      <c r="F38" s="3">
        <v>2606</v>
      </c>
      <c r="G38" s="3">
        <v>2156</v>
      </c>
      <c r="H38" s="3">
        <v>2030</v>
      </c>
      <c r="I38" s="3">
        <v>3710</v>
      </c>
      <c r="J38" s="3">
        <v>2210</v>
      </c>
      <c r="K38" s="3">
        <v>10440</v>
      </c>
      <c r="L38" s="3">
        <v>3296</v>
      </c>
      <c r="M38" s="3">
        <v>3628</v>
      </c>
      <c r="N38" s="3">
        <v>3635</v>
      </c>
      <c r="O38" s="3">
        <v>3556</v>
      </c>
      <c r="P38" s="3">
        <v>4078</v>
      </c>
      <c r="Q38" s="3">
        <v>5738</v>
      </c>
      <c r="R38" s="3">
        <v>7128</v>
      </c>
      <c r="S38" s="3">
        <v>5720</v>
      </c>
      <c r="T38" s="3">
        <v>4822</v>
      </c>
      <c r="U38" s="3">
        <v>3361</v>
      </c>
      <c r="V38" s="3">
        <v>2787</v>
      </c>
      <c r="W38" s="3">
        <v>2509</v>
      </c>
      <c r="X38" s="3">
        <v>2454</v>
      </c>
      <c r="Y38" s="3">
        <v>2273</v>
      </c>
      <c r="Z38" s="3">
        <v>2471</v>
      </c>
      <c r="AA38" s="3">
        <v>3201</v>
      </c>
      <c r="AB38" s="3">
        <v>2912</v>
      </c>
      <c r="AC38" s="3">
        <v>3762</v>
      </c>
      <c r="AD38" s="3">
        <v>3651</v>
      </c>
      <c r="AE38" s="3">
        <v>3863</v>
      </c>
      <c r="AF38" s="3">
        <v>3874</v>
      </c>
      <c r="AG38" s="3">
        <v>2662</v>
      </c>
      <c r="AH38" s="3">
        <v>2552</v>
      </c>
      <c r="AI38" s="3">
        <v>2607</v>
      </c>
      <c r="AJ38" s="3">
        <v>2808</v>
      </c>
      <c r="AK38" s="3">
        <v>2910</v>
      </c>
    </row>
    <row r="39" spans="1:37" x14ac:dyDescent="0.3">
      <c r="A39" s="7" t="s">
        <v>187</v>
      </c>
      <c r="B39" s="3">
        <v>271</v>
      </c>
      <c r="C39" s="3">
        <v>211</v>
      </c>
      <c r="D39" s="3">
        <v>265</v>
      </c>
      <c r="E39" s="3">
        <v>258</v>
      </c>
      <c r="F39" s="3">
        <v>413</v>
      </c>
      <c r="G39" s="3">
        <v>292</v>
      </c>
      <c r="H39" s="3">
        <v>274</v>
      </c>
      <c r="I39" s="3">
        <v>241</v>
      </c>
      <c r="J39" s="3">
        <v>265</v>
      </c>
      <c r="K39" s="3">
        <v>388</v>
      </c>
      <c r="L39" s="3">
        <v>435</v>
      </c>
      <c r="M39" s="3">
        <v>409</v>
      </c>
      <c r="N39" s="3">
        <v>511</v>
      </c>
      <c r="O39" s="3">
        <v>540</v>
      </c>
      <c r="P39" s="3">
        <v>349</v>
      </c>
      <c r="Q39" s="3">
        <v>906</v>
      </c>
      <c r="R39" s="3">
        <v>364</v>
      </c>
      <c r="S39" s="3">
        <v>355</v>
      </c>
      <c r="T39" s="3">
        <v>806</v>
      </c>
      <c r="U39" s="3">
        <v>290</v>
      </c>
      <c r="V39" s="3">
        <v>514</v>
      </c>
      <c r="W39" s="3">
        <v>310</v>
      </c>
      <c r="X39" s="3">
        <v>795</v>
      </c>
      <c r="Y39" s="3">
        <v>275</v>
      </c>
      <c r="Z39" s="3">
        <v>812</v>
      </c>
      <c r="AA39" s="3">
        <v>284</v>
      </c>
      <c r="AB39" s="3">
        <v>689</v>
      </c>
      <c r="AC39" s="3">
        <v>516</v>
      </c>
      <c r="AD39" s="3">
        <v>647</v>
      </c>
      <c r="AE39" s="3">
        <v>573</v>
      </c>
      <c r="AF39" s="3">
        <v>702</v>
      </c>
      <c r="AG39" s="3">
        <v>595</v>
      </c>
      <c r="AH39" s="3">
        <v>779</v>
      </c>
      <c r="AI39" s="3">
        <v>652</v>
      </c>
      <c r="AJ39" s="3">
        <v>666</v>
      </c>
      <c r="AK39" s="3">
        <v>884</v>
      </c>
    </row>
    <row r="40" spans="1:37" x14ac:dyDescent="0.3">
      <c r="A40" s="14" t="s">
        <v>159</v>
      </c>
      <c r="B40" s="3">
        <v>18371</v>
      </c>
      <c r="C40" s="3">
        <v>17513</v>
      </c>
      <c r="D40" s="3">
        <v>17375</v>
      </c>
      <c r="E40" s="3">
        <v>16807</v>
      </c>
      <c r="F40" s="3">
        <v>17214</v>
      </c>
      <c r="G40" s="3">
        <v>17371</v>
      </c>
      <c r="H40" s="3">
        <v>15956</v>
      </c>
      <c r="I40" s="3">
        <v>15232</v>
      </c>
      <c r="J40" s="3">
        <v>14419</v>
      </c>
      <c r="K40" s="3">
        <v>13657</v>
      </c>
      <c r="L40" s="3">
        <v>13472</v>
      </c>
      <c r="M40" s="3">
        <v>13845</v>
      </c>
      <c r="N40" s="3">
        <v>14174</v>
      </c>
      <c r="O40" s="3">
        <v>13749</v>
      </c>
      <c r="P40" s="3">
        <v>13226</v>
      </c>
      <c r="Q40" s="3">
        <v>13593</v>
      </c>
      <c r="R40" s="3">
        <v>13814</v>
      </c>
      <c r="S40" s="3">
        <v>13223</v>
      </c>
      <c r="T40" s="3">
        <v>13332</v>
      </c>
      <c r="U40" s="3">
        <v>12396</v>
      </c>
      <c r="V40" s="3">
        <v>11883</v>
      </c>
      <c r="W40" s="3">
        <v>10697</v>
      </c>
      <c r="X40" s="3">
        <v>10006</v>
      </c>
      <c r="Y40" s="3">
        <v>9628</v>
      </c>
      <c r="Z40" s="3">
        <v>9127</v>
      </c>
      <c r="AA40" s="3">
        <v>8581</v>
      </c>
      <c r="AB40" s="3">
        <v>8741</v>
      </c>
      <c r="AC40" s="3">
        <v>11767</v>
      </c>
      <c r="AD40" s="3">
        <v>13723</v>
      </c>
      <c r="AE40" s="3">
        <v>14282</v>
      </c>
      <c r="AF40" s="3">
        <v>16611</v>
      </c>
      <c r="AG40" s="3">
        <v>18985</v>
      </c>
      <c r="AH40" s="3">
        <v>20779</v>
      </c>
      <c r="AI40" s="3">
        <v>23047</v>
      </c>
      <c r="AJ40" s="3">
        <v>25216</v>
      </c>
      <c r="AK40" s="3">
        <v>27541</v>
      </c>
    </row>
    <row r="41" spans="1:37" x14ac:dyDescent="0.3">
      <c r="A41" s="11" t="s">
        <v>160</v>
      </c>
      <c r="B41" s="11">
        <v>-8577</v>
      </c>
      <c r="C41" s="11">
        <v>-4821</v>
      </c>
      <c r="D41" s="11">
        <v>-2384</v>
      </c>
      <c r="E41" s="11">
        <v>-1571</v>
      </c>
      <c r="F41" s="11">
        <v>-203</v>
      </c>
      <c r="G41" s="11">
        <v>616</v>
      </c>
      <c r="H41" s="11">
        <v>-119</v>
      </c>
      <c r="I41" s="11">
        <v>-5242</v>
      </c>
      <c r="J41" s="11">
        <v>-708</v>
      </c>
      <c r="K41" s="11">
        <v>-8418</v>
      </c>
      <c r="L41" s="11">
        <v>779</v>
      </c>
      <c r="M41" s="11">
        <v>228</v>
      </c>
      <c r="N41" s="11">
        <v>-3853</v>
      </c>
      <c r="O41" s="11">
        <v>-18944</v>
      </c>
      <c r="P41" s="11">
        <v>-15013</v>
      </c>
      <c r="Q41" s="11">
        <v>-16822</v>
      </c>
      <c r="R41" s="11">
        <v>-16869</v>
      </c>
      <c r="S41" s="11">
        <v>-12484</v>
      </c>
      <c r="T41" s="11">
        <v>-12858</v>
      </c>
      <c r="U41" s="11">
        <v>-10286</v>
      </c>
      <c r="V41" s="11">
        <v>-10415</v>
      </c>
      <c r="W41" s="11">
        <v>-3385</v>
      </c>
      <c r="X41" s="11">
        <v>-4817</v>
      </c>
      <c r="Y41" s="11">
        <v>-9819</v>
      </c>
      <c r="Z41" s="11">
        <v>-41898</v>
      </c>
      <c r="AA41" s="11">
        <v>-27336</v>
      </c>
      <c r="AB41" s="11">
        <v>-20216</v>
      </c>
      <c r="AC41" s="11">
        <v>-24135</v>
      </c>
      <c r="AD41" s="11">
        <v>-27058</v>
      </c>
      <c r="AE41" s="11">
        <v>-32874</v>
      </c>
      <c r="AF41" s="11">
        <v>-33684</v>
      </c>
      <c r="AG41" s="11">
        <v>-35778</v>
      </c>
      <c r="AH41" s="11">
        <v>-38661</v>
      </c>
      <c r="AI41" s="11">
        <v>-44307</v>
      </c>
      <c r="AJ41" s="11">
        <v>-47242</v>
      </c>
      <c r="AK41" s="11">
        <v>-49980</v>
      </c>
    </row>
    <row r="42" spans="1:37" x14ac:dyDescent="0.3">
      <c r="A42" s="7" t="s">
        <v>161</v>
      </c>
      <c r="B42" s="3">
        <v>-2235</v>
      </c>
      <c r="C42" s="3">
        <v>2211</v>
      </c>
      <c r="D42" s="3">
        <v>4926</v>
      </c>
      <c r="E42" s="3">
        <v>6079</v>
      </c>
      <c r="F42" s="3">
        <v>8137</v>
      </c>
      <c r="G42" s="3">
        <v>8216</v>
      </c>
      <c r="H42" s="3">
        <v>7088</v>
      </c>
      <c r="I42" s="3">
        <v>4098</v>
      </c>
      <c r="J42" s="3">
        <v>6393</v>
      </c>
      <c r="K42" s="3">
        <v>7272</v>
      </c>
      <c r="L42" s="3">
        <v>8589</v>
      </c>
      <c r="M42" s="3">
        <v>9483</v>
      </c>
      <c r="N42" s="3">
        <v>6488</v>
      </c>
      <c r="O42" s="3">
        <v>-7109</v>
      </c>
      <c r="P42" s="3">
        <v>-3364</v>
      </c>
      <c r="Q42" s="3">
        <v>-1428</v>
      </c>
      <c r="R42" s="3">
        <v>-249</v>
      </c>
      <c r="S42" s="3">
        <v>975</v>
      </c>
      <c r="T42" s="3">
        <v>393</v>
      </c>
      <c r="U42" s="3">
        <v>1225</v>
      </c>
      <c r="V42" s="3">
        <v>617</v>
      </c>
      <c r="W42" s="3">
        <v>7594</v>
      </c>
      <c r="X42" s="3">
        <v>8039</v>
      </c>
      <c r="Y42" s="3">
        <v>3178</v>
      </c>
      <c r="Z42" s="3">
        <v>-27645</v>
      </c>
      <c r="AA42" s="3">
        <v>-12347</v>
      </c>
      <c r="AB42" s="3">
        <v>-4303</v>
      </c>
      <c r="AC42" s="3">
        <v>-5465</v>
      </c>
      <c r="AD42" s="3">
        <v>-6048</v>
      </c>
      <c r="AE42" s="3">
        <v>-11146</v>
      </c>
      <c r="AF42" s="3">
        <v>-12507</v>
      </c>
      <c r="AG42" s="3">
        <v>-14970</v>
      </c>
      <c r="AH42" s="3">
        <v>-16273</v>
      </c>
      <c r="AI42" s="3">
        <v>-20549</v>
      </c>
      <c r="AJ42" s="3">
        <v>-21521</v>
      </c>
      <c r="AK42" s="3">
        <v>-24568</v>
      </c>
    </row>
    <row r="43" spans="1:37" x14ac:dyDescent="0.3">
      <c r="A43" s="11" t="s">
        <v>162</v>
      </c>
      <c r="B43" s="11">
        <v>9794</v>
      </c>
      <c r="C43" s="11">
        <v>12692</v>
      </c>
      <c r="D43" s="11">
        <v>14991</v>
      </c>
      <c r="E43" s="11">
        <v>15236</v>
      </c>
      <c r="F43" s="11">
        <v>17010</v>
      </c>
      <c r="G43" s="11">
        <v>17986</v>
      </c>
      <c r="H43" s="11">
        <v>15836</v>
      </c>
      <c r="I43" s="11">
        <v>9990</v>
      </c>
      <c r="J43" s="11">
        <v>13711</v>
      </c>
      <c r="K43" s="11">
        <v>5240</v>
      </c>
      <c r="L43" s="11">
        <v>14251</v>
      </c>
      <c r="M43" s="11">
        <v>14073</v>
      </c>
      <c r="N43" s="11">
        <v>10321</v>
      </c>
      <c r="O43" s="11">
        <v>-5194</v>
      </c>
      <c r="P43" s="11">
        <v>-1787</v>
      </c>
      <c r="Q43" s="11">
        <v>-3229</v>
      </c>
      <c r="R43" s="11">
        <v>-3055</v>
      </c>
      <c r="S43" s="11">
        <v>739</v>
      </c>
      <c r="T43" s="11">
        <v>474</v>
      </c>
      <c r="U43" s="11">
        <v>2110</v>
      </c>
      <c r="V43" s="11">
        <v>1468</v>
      </c>
      <c r="W43" s="11">
        <v>7313</v>
      </c>
      <c r="X43" s="11">
        <v>5189</v>
      </c>
      <c r="Y43" s="11">
        <v>-191</v>
      </c>
      <c r="Z43" s="11">
        <v>-32772</v>
      </c>
      <c r="AA43" s="11">
        <v>-18756</v>
      </c>
      <c r="AB43" s="11">
        <v>-11475</v>
      </c>
      <c r="AC43" s="11">
        <v>-12368</v>
      </c>
      <c r="AD43" s="11">
        <v>-13334</v>
      </c>
      <c r="AE43" s="11">
        <v>-18592</v>
      </c>
      <c r="AF43" s="11">
        <v>-17074</v>
      </c>
      <c r="AG43" s="11">
        <v>-16792</v>
      </c>
      <c r="AH43" s="11">
        <v>-17882</v>
      </c>
      <c r="AI43" s="11">
        <v>-21260</v>
      </c>
      <c r="AJ43" s="11">
        <v>-22026</v>
      </c>
      <c r="AK43" s="11">
        <v>-22438</v>
      </c>
    </row>
    <row r="44" spans="1:37" x14ac:dyDescent="0.3">
      <c r="A44" s="3" t="s">
        <v>163</v>
      </c>
      <c r="B44" s="3">
        <v>46540</v>
      </c>
      <c r="C44" s="3">
        <v>47401</v>
      </c>
      <c r="D44" s="3">
        <v>49072</v>
      </c>
      <c r="E44" s="3">
        <v>51568</v>
      </c>
      <c r="F44" s="3">
        <v>53942</v>
      </c>
      <c r="G44" s="3">
        <v>56339</v>
      </c>
      <c r="H44" s="3">
        <v>60496</v>
      </c>
      <c r="I44" s="3">
        <v>63226</v>
      </c>
      <c r="J44" s="3">
        <v>65886</v>
      </c>
      <c r="K44" s="3">
        <v>68500</v>
      </c>
      <c r="L44" s="3">
        <v>71334</v>
      </c>
      <c r="M44" s="3">
        <v>74276</v>
      </c>
      <c r="N44" s="3">
        <v>79727</v>
      </c>
      <c r="O44" s="3">
        <v>83900</v>
      </c>
      <c r="P44" s="3">
        <v>86242</v>
      </c>
      <c r="Q44" s="3">
        <v>90395</v>
      </c>
      <c r="R44" s="3">
        <v>93811</v>
      </c>
      <c r="S44" s="3">
        <v>95515</v>
      </c>
      <c r="T44" s="3">
        <v>97626</v>
      </c>
      <c r="U44" s="3">
        <v>98372</v>
      </c>
      <c r="V44" s="3">
        <v>99914</v>
      </c>
      <c r="W44" s="3">
        <v>102499</v>
      </c>
      <c r="X44" s="3">
        <v>106380</v>
      </c>
      <c r="Y44" s="3">
        <v>110063</v>
      </c>
      <c r="Z44" s="3">
        <v>112399</v>
      </c>
      <c r="AA44" s="3">
        <v>120272</v>
      </c>
      <c r="AB44" s="3">
        <v>131608</v>
      </c>
      <c r="AC44" s="3">
        <v>140873</v>
      </c>
      <c r="AD44" s="3">
        <v>147786</v>
      </c>
      <c r="AE44" s="3">
        <v>153831</v>
      </c>
      <c r="AF44" s="3">
        <v>159646</v>
      </c>
      <c r="AG44" s="3">
        <v>165668</v>
      </c>
      <c r="AH44" s="3">
        <v>170852</v>
      </c>
      <c r="AI44" s="3">
        <v>175720</v>
      </c>
      <c r="AJ44" s="3">
        <v>179629</v>
      </c>
      <c r="AK44" s="3">
        <v>184813</v>
      </c>
    </row>
  </sheetData>
  <mergeCells count="1">
    <mergeCell ref="A1:AK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D647-49C6-4F31-8F50-42C581DCAC41}">
  <dimension ref="A1:AK45"/>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5" style="1" bestFit="1" customWidth="1"/>
    <col min="38" max="16384" width="9.109375" style="1"/>
  </cols>
  <sheetData>
    <row r="1" spans="1:37" ht="15" customHeight="1" x14ac:dyDescent="0.3">
      <c r="A1" s="28" t="s">
        <v>197</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 t="s">
        <v>198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121</v>
      </c>
      <c r="B4" s="17">
        <v>49</v>
      </c>
      <c r="C4" s="17">
        <v>49.5</v>
      </c>
      <c r="D4" s="17">
        <v>49.9</v>
      </c>
      <c r="E4" s="17">
        <v>49.8</v>
      </c>
      <c r="F4" s="17">
        <v>49.3</v>
      </c>
      <c r="G4" s="17">
        <v>49.6</v>
      </c>
      <c r="H4" s="17">
        <v>49.9</v>
      </c>
      <c r="I4" s="17">
        <v>49.2</v>
      </c>
      <c r="J4" s="17">
        <v>49.1</v>
      </c>
      <c r="K4" s="17">
        <v>49.1</v>
      </c>
      <c r="L4" s="17">
        <v>49</v>
      </c>
      <c r="M4" s="17">
        <v>48.6</v>
      </c>
      <c r="N4" s="17">
        <v>49.7</v>
      </c>
      <c r="O4" s="17">
        <v>49.1</v>
      </c>
      <c r="P4" s="17">
        <v>49.8</v>
      </c>
      <c r="Q4" s="17">
        <v>50.6</v>
      </c>
      <c r="R4" s="17">
        <v>51.9</v>
      </c>
      <c r="S4" s="17">
        <v>52.7</v>
      </c>
      <c r="T4" s="17">
        <v>52.2</v>
      </c>
      <c r="U4" s="17">
        <v>51.4</v>
      </c>
      <c r="V4" s="17">
        <v>50.9</v>
      </c>
      <c r="W4" s="17">
        <v>51.5</v>
      </c>
      <c r="X4" s="17">
        <v>51.4</v>
      </c>
      <c r="Y4" s="17">
        <v>49.7</v>
      </c>
      <c r="Z4" s="17">
        <v>49.4</v>
      </c>
      <c r="AA4" s="17">
        <v>49.5</v>
      </c>
      <c r="AB4" s="17">
        <v>48.9</v>
      </c>
      <c r="AC4" s="17">
        <v>48.8</v>
      </c>
      <c r="AD4" s="17">
        <v>49.7</v>
      </c>
      <c r="AE4" s="17">
        <v>49</v>
      </c>
      <c r="AF4" s="17">
        <v>49.5</v>
      </c>
      <c r="AG4" s="17">
        <v>49.2</v>
      </c>
      <c r="AH4" s="17">
        <v>49</v>
      </c>
      <c r="AI4" s="17">
        <v>48.5</v>
      </c>
      <c r="AJ4" s="17">
        <v>48.2</v>
      </c>
      <c r="AK4" s="17">
        <v>48</v>
      </c>
    </row>
    <row r="5" spans="1:37" x14ac:dyDescent="0.3">
      <c r="A5" s="14" t="s">
        <v>122</v>
      </c>
      <c r="B5" s="8">
        <v>43.3</v>
      </c>
      <c r="C5" s="8">
        <v>43.7</v>
      </c>
      <c r="D5" s="8">
        <v>44.3</v>
      </c>
      <c r="E5" s="8">
        <v>44.2</v>
      </c>
      <c r="F5" s="8">
        <v>43.8</v>
      </c>
      <c r="G5" s="8">
        <v>43.6</v>
      </c>
      <c r="H5" s="8">
        <v>43.8</v>
      </c>
      <c r="I5" s="8">
        <v>43.2</v>
      </c>
      <c r="J5" s="8">
        <v>43.4</v>
      </c>
      <c r="K5" s="8">
        <v>43.2</v>
      </c>
      <c r="L5" s="8">
        <v>43.1</v>
      </c>
      <c r="M5" s="8">
        <v>42.8</v>
      </c>
      <c r="N5" s="8">
        <v>43.4</v>
      </c>
      <c r="O5" s="8">
        <v>42.6</v>
      </c>
      <c r="P5" s="8">
        <v>43</v>
      </c>
      <c r="Q5" s="8">
        <v>43.5</v>
      </c>
      <c r="R5" s="8">
        <v>44.6</v>
      </c>
      <c r="S5" s="8">
        <v>45.4</v>
      </c>
      <c r="T5" s="8">
        <v>45</v>
      </c>
      <c r="U5" s="8">
        <v>44.6</v>
      </c>
      <c r="V5" s="8">
        <v>43.8</v>
      </c>
      <c r="W5" s="8">
        <v>44.3</v>
      </c>
      <c r="X5" s="8">
        <v>44.2</v>
      </c>
      <c r="Y5" s="8">
        <v>42.7</v>
      </c>
      <c r="Z5" s="8">
        <v>42.4</v>
      </c>
      <c r="AA5" s="8">
        <v>42.6</v>
      </c>
      <c r="AB5" s="8">
        <v>41.8</v>
      </c>
      <c r="AC5" s="8">
        <v>41.6</v>
      </c>
      <c r="AD5" s="8">
        <v>42.3</v>
      </c>
      <c r="AE5" s="8">
        <v>41.8</v>
      </c>
      <c r="AF5" s="8">
        <v>42.1</v>
      </c>
      <c r="AG5" s="8">
        <v>42.1</v>
      </c>
      <c r="AH5" s="8">
        <v>42</v>
      </c>
      <c r="AI5" s="8">
        <v>41.6</v>
      </c>
      <c r="AJ5" s="8">
        <v>41.4</v>
      </c>
      <c r="AK5" s="8">
        <v>41.3</v>
      </c>
    </row>
    <row r="6" spans="1:37" x14ac:dyDescent="0.3">
      <c r="A6" s="7" t="s">
        <v>123</v>
      </c>
      <c r="B6" s="8">
        <v>29.2</v>
      </c>
      <c r="C6" s="8">
        <v>29.8</v>
      </c>
      <c r="D6" s="8">
        <v>30.3</v>
      </c>
      <c r="E6" s="8">
        <v>30.3</v>
      </c>
      <c r="F6" s="8">
        <v>30.2</v>
      </c>
      <c r="G6" s="8">
        <v>29.9</v>
      </c>
      <c r="H6" s="8">
        <v>29.9</v>
      </c>
      <c r="I6" s="8">
        <v>29.4</v>
      </c>
      <c r="J6" s="8">
        <v>29.9</v>
      </c>
      <c r="K6" s="8">
        <v>29.9</v>
      </c>
      <c r="L6" s="8">
        <v>29.8</v>
      </c>
      <c r="M6" s="8">
        <v>29.4</v>
      </c>
      <c r="N6" s="8">
        <v>29.6</v>
      </c>
      <c r="O6" s="8">
        <v>28.3</v>
      </c>
      <c r="P6" s="8">
        <v>29.1</v>
      </c>
      <c r="Q6" s="8">
        <v>29.5</v>
      </c>
      <c r="R6" s="8">
        <v>30.4</v>
      </c>
      <c r="S6" s="8">
        <v>31.1</v>
      </c>
      <c r="T6" s="8">
        <v>30.9</v>
      </c>
      <c r="U6" s="8">
        <v>30.4</v>
      </c>
      <c r="V6" s="8">
        <v>30.2</v>
      </c>
      <c r="W6" s="8">
        <v>30.8</v>
      </c>
      <c r="X6" s="8">
        <v>30.9</v>
      </c>
      <c r="Y6" s="8">
        <v>29.5</v>
      </c>
      <c r="Z6" s="8">
        <v>29</v>
      </c>
      <c r="AA6" s="8">
        <v>29.6</v>
      </c>
      <c r="AB6" s="8">
        <v>29.2</v>
      </c>
      <c r="AC6" s="8">
        <v>28.8</v>
      </c>
      <c r="AD6" s="8">
        <v>29.3</v>
      </c>
      <c r="AE6" s="8">
        <v>28.8</v>
      </c>
      <c r="AF6" s="8">
        <v>29.2</v>
      </c>
      <c r="AG6" s="8">
        <v>29.1</v>
      </c>
      <c r="AH6" s="8">
        <v>29</v>
      </c>
      <c r="AI6" s="8">
        <v>28.7</v>
      </c>
      <c r="AJ6" s="8">
        <v>28.5</v>
      </c>
      <c r="AK6" s="8">
        <v>28.4</v>
      </c>
    </row>
    <row r="7" spans="1:37" x14ac:dyDescent="0.3">
      <c r="A7" s="16" t="s">
        <v>124</v>
      </c>
      <c r="B7" s="8">
        <v>16.100000000000001</v>
      </c>
      <c r="C7" s="8">
        <v>16.5</v>
      </c>
      <c r="D7" s="8">
        <v>17</v>
      </c>
      <c r="E7" s="8">
        <v>16.600000000000001</v>
      </c>
      <c r="F7" s="8">
        <v>16.7</v>
      </c>
      <c r="G7" s="8">
        <v>16.899999999999999</v>
      </c>
      <c r="H7" s="8">
        <v>16.8</v>
      </c>
      <c r="I7" s="8">
        <v>16.2</v>
      </c>
      <c r="J7" s="8">
        <v>16.3</v>
      </c>
      <c r="K7" s="8">
        <v>16.3</v>
      </c>
      <c r="L7" s="8">
        <v>16.2</v>
      </c>
      <c r="M7" s="8">
        <v>15.9</v>
      </c>
      <c r="N7" s="8">
        <v>16.2</v>
      </c>
      <c r="O7" s="8">
        <v>15</v>
      </c>
      <c r="P7" s="8">
        <v>15.3</v>
      </c>
      <c r="Q7" s="8">
        <v>15.8</v>
      </c>
      <c r="R7" s="8">
        <v>16.100000000000001</v>
      </c>
      <c r="S7" s="8">
        <v>16.600000000000001</v>
      </c>
      <c r="T7" s="8">
        <v>16.600000000000001</v>
      </c>
      <c r="U7" s="8">
        <v>16.399999999999999</v>
      </c>
      <c r="V7" s="8">
        <v>16</v>
      </c>
      <c r="W7" s="8">
        <v>16.7</v>
      </c>
      <c r="X7" s="8">
        <v>16.8</v>
      </c>
      <c r="Y7" s="8">
        <v>15.6</v>
      </c>
      <c r="Z7" s="8">
        <v>15.6</v>
      </c>
      <c r="AA7" s="8">
        <v>15.7</v>
      </c>
      <c r="AB7" s="8">
        <v>16.3</v>
      </c>
      <c r="AC7" s="8">
        <v>16</v>
      </c>
      <c r="AD7" s="8">
        <v>16.8</v>
      </c>
      <c r="AE7" s="8">
        <v>16.5</v>
      </c>
      <c r="AF7" s="8">
        <v>16.8</v>
      </c>
      <c r="AG7" s="8">
        <v>16.8</v>
      </c>
      <c r="AH7" s="8">
        <v>16.600000000000001</v>
      </c>
      <c r="AI7" s="8">
        <v>16.3</v>
      </c>
      <c r="AJ7" s="8">
        <v>16.100000000000001</v>
      </c>
      <c r="AK7" s="8">
        <v>16.100000000000001</v>
      </c>
    </row>
    <row r="8" spans="1:37" x14ac:dyDescent="0.3">
      <c r="A8" s="18" t="s">
        <v>125</v>
      </c>
      <c r="B8" s="8">
        <v>13.2</v>
      </c>
      <c r="C8" s="8">
        <v>13.4</v>
      </c>
      <c r="D8" s="8">
        <v>13.4</v>
      </c>
      <c r="E8" s="8">
        <v>13.1</v>
      </c>
      <c r="F8" s="8">
        <v>13.2</v>
      </c>
      <c r="G8" s="8">
        <v>13.5</v>
      </c>
      <c r="H8" s="8">
        <v>13.5</v>
      </c>
      <c r="I8" s="8">
        <v>13.1</v>
      </c>
      <c r="J8" s="8">
        <v>12.9</v>
      </c>
      <c r="K8" s="8">
        <v>12.9</v>
      </c>
      <c r="L8" s="8">
        <v>12.4</v>
      </c>
      <c r="M8" s="8">
        <v>12.2</v>
      </c>
      <c r="N8" s="8">
        <v>12.6</v>
      </c>
      <c r="O8" s="8">
        <v>12.3</v>
      </c>
      <c r="P8" s="8">
        <v>12.5</v>
      </c>
      <c r="Q8" s="8">
        <v>12.7</v>
      </c>
      <c r="R8" s="8">
        <v>12.8</v>
      </c>
      <c r="S8" s="8">
        <v>13.2</v>
      </c>
      <c r="T8" s="8">
        <v>13.1</v>
      </c>
      <c r="U8" s="8">
        <v>12.8</v>
      </c>
      <c r="V8" s="8">
        <v>12.3</v>
      </c>
      <c r="W8" s="8">
        <v>12.3</v>
      </c>
      <c r="X8" s="8">
        <v>12.2</v>
      </c>
      <c r="Y8" s="8">
        <v>11.6</v>
      </c>
      <c r="Z8" s="8">
        <v>12</v>
      </c>
      <c r="AA8" s="8">
        <v>11.6</v>
      </c>
      <c r="AB8" s="8">
        <v>12.1</v>
      </c>
      <c r="AC8" s="8">
        <v>11.9</v>
      </c>
      <c r="AD8" s="8">
        <v>12.2</v>
      </c>
      <c r="AE8" s="8">
        <v>12.1</v>
      </c>
      <c r="AF8" s="8">
        <v>12.3</v>
      </c>
      <c r="AG8" s="8">
        <v>12.3</v>
      </c>
      <c r="AH8" s="8">
        <v>12.2</v>
      </c>
      <c r="AI8" s="8">
        <v>11.9</v>
      </c>
      <c r="AJ8" s="8">
        <v>11.8</v>
      </c>
      <c r="AK8" s="8">
        <v>11.8</v>
      </c>
    </row>
    <row r="9" spans="1:37" x14ac:dyDescent="0.3">
      <c r="A9" s="18" t="s">
        <v>126</v>
      </c>
      <c r="B9" s="8">
        <v>2.7</v>
      </c>
      <c r="C9" s="8">
        <v>2.9</v>
      </c>
      <c r="D9" s="8">
        <v>3.4</v>
      </c>
      <c r="E9" s="8">
        <v>3.3</v>
      </c>
      <c r="F9" s="8">
        <v>3.2</v>
      </c>
      <c r="G9" s="8">
        <v>3.1</v>
      </c>
      <c r="H9" s="8">
        <v>3.1</v>
      </c>
      <c r="I9" s="8">
        <v>2.9</v>
      </c>
      <c r="J9" s="8">
        <v>3.1</v>
      </c>
      <c r="K9" s="8">
        <v>3.2</v>
      </c>
      <c r="L9" s="8">
        <v>3.6</v>
      </c>
      <c r="M9" s="8">
        <v>3.5</v>
      </c>
      <c r="N9" s="8">
        <v>3.4</v>
      </c>
      <c r="O9" s="8">
        <v>2.4</v>
      </c>
      <c r="P9" s="8">
        <v>2.6</v>
      </c>
      <c r="Q9" s="8">
        <v>2.9</v>
      </c>
      <c r="R9" s="8">
        <v>3.1</v>
      </c>
      <c r="S9" s="8">
        <v>3.2</v>
      </c>
      <c r="T9" s="8">
        <v>3.2</v>
      </c>
      <c r="U9" s="8">
        <v>3.4</v>
      </c>
      <c r="V9" s="8">
        <v>3.5</v>
      </c>
      <c r="W9" s="8">
        <v>4.0999999999999996</v>
      </c>
      <c r="X9" s="8">
        <v>4.4000000000000004</v>
      </c>
      <c r="Y9" s="8">
        <v>3.8</v>
      </c>
      <c r="Z9" s="8">
        <v>3.3</v>
      </c>
      <c r="AA9" s="8">
        <v>3.8</v>
      </c>
      <c r="AB9" s="8">
        <v>3.9</v>
      </c>
      <c r="AC9" s="8">
        <v>3.9</v>
      </c>
      <c r="AD9" s="8">
        <v>4.4000000000000004</v>
      </c>
      <c r="AE9" s="8">
        <v>4.2</v>
      </c>
      <c r="AF9" s="8">
        <v>4.3</v>
      </c>
      <c r="AG9" s="8">
        <v>4.3</v>
      </c>
      <c r="AH9" s="8">
        <v>4.2</v>
      </c>
      <c r="AI9" s="8">
        <v>4.2</v>
      </c>
      <c r="AJ9" s="8">
        <v>4.0999999999999996</v>
      </c>
      <c r="AK9" s="8">
        <v>4.0999999999999996</v>
      </c>
    </row>
    <row r="10" spans="1:37" x14ac:dyDescent="0.3">
      <c r="A10" s="18" t="s">
        <v>189</v>
      </c>
      <c r="B10" s="8">
        <v>0.2</v>
      </c>
      <c r="C10" s="8">
        <v>0.2</v>
      </c>
      <c r="D10" s="8">
        <v>0.2</v>
      </c>
      <c r="E10" s="8">
        <v>0.2</v>
      </c>
      <c r="F10" s="8">
        <v>0.3</v>
      </c>
      <c r="G10" s="8">
        <v>0.3</v>
      </c>
      <c r="H10" s="8">
        <v>0.3</v>
      </c>
      <c r="I10" s="8">
        <v>0.3</v>
      </c>
      <c r="J10" s="8">
        <v>0.3</v>
      </c>
      <c r="K10" s="8">
        <v>0.2</v>
      </c>
      <c r="L10" s="8">
        <v>0.2</v>
      </c>
      <c r="M10" s="8">
        <v>0.3</v>
      </c>
      <c r="N10" s="8">
        <v>0.2</v>
      </c>
      <c r="O10" s="8">
        <v>0.2</v>
      </c>
      <c r="P10" s="8">
        <v>0.2</v>
      </c>
      <c r="Q10" s="8">
        <v>0.2</v>
      </c>
      <c r="R10" s="8">
        <v>0.2</v>
      </c>
      <c r="S10" s="8">
        <v>0.2</v>
      </c>
      <c r="T10" s="8">
        <v>0.3</v>
      </c>
      <c r="U10" s="8">
        <v>0.2</v>
      </c>
      <c r="V10" s="8">
        <v>0.3</v>
      </c>
      <c r="W10" s="8">
        <v>0.2</v>
      </c>
      <c r="X10" s="8">
        <v>0.3</v>
      </c>
      <c r="Y10" s="8">
        <v>0.3</v>
      </c>
      <c r="Z10" s="8">
        <v>0.3</v>
      </c>
      <c r="AA10" s="8">
        <v>0.3</v>
      </c>
      <c r="AB10" s="8">
        <v>0.2</v>
      </c>
      <c r="AC10" s="8">
        <v>0.2</v>
      </c>
      <c r="AD10" s="8">
        <v>0.2</v>
      </c>
      <c r="AE10" s="8">
        <v>0.2</v>
      </c>
      <c r="AF10" s="8">
        <v>0.2</v>
      </c>
      <c r="AG10" s="8">
        <v>0.2</v>
      </c>
      <c r="AH10" s="8">
        <v>0.2</v>
      </c>
      <c r="AI10" s="8">
        <v>0.2</v>
      </c>
      <c r="AJ10" s="8">
        <v>0.2</v>
      </c>
      <c r="AK10" s="8">
        <v>0.2</v>
      </c>
    </row>
    <row r="11" spans="1:37" x14ac:dyDescent="0.3">
      <c r="A11" s="16" t="s">
        <v>127</v>
      </c>
      <c r="B11" s="8">
        <v>12.7</v>
      </c>
      <c r="C11" s="8">
        <v>12.9</v>
      </c>
      <c r="D11" s="8">
        <v>12.9</v>
      </c>
      <c r="E11" s="8">
        <v>13.3</v>
      </c>
      <c r="F11" s="8">
        <v>13.1</v>
      </c>
      <c r="G11" s="8">
        <v>12.6</v>
      </c>
      <c r="H11" s="8">
        <v>12.7</v>
      </c>
      <c r="I11" s="8">
        <v>12.7</v>
      </c>
      <c r="J11" s="8">
        <v>12.9</v>
      </c>
      <c r="K11" s="8">
        <v>13</v>
      </c>
      <c r="L11" s="8">
        <v>12.9</v>
      </c>
      <c r="M11" s="8">
        <v>12.8</v>
      </c>
      <c r="N11" s="8">
        <v>12.7</v>
      </c>
      <c r="O11" s="8">
        <v>12.7</v>
      </c>
      <c r="P11" s="8">
        <v>13.1</v>
      </c>
      <c r="Q11" s="8">
        <v>13</v>
      </c>
      <c r="R11" s="8">
        <v>13.4</v>
      </c>
      <c r="S11" s="8">
        <v>13.4</v>
      </c>
      <c r="T11" s="8">
        <v>13.3</v>
      </c>
      <c r="U11" s="8">
        <v>13.2</v>
      </c>
      <c r="V11" s="8">
        <v>13.4</v>
      </c>
      <c r="W11" s="8">
        <v>13.3</v>
      </c>
      <c r="X11" s="8">
        <v>13.3</v>
      </c>
      <c r="Y11" s="8">
        <v>13.2</v>
      </c>
      <c r="Z11" s="8">
        <v>12.7</v>
      </c>
      <c r="AA11" s="8">
        <v>13.1</v>
      </c>
      <c r="AB11" s="8">
        <v>12.2</v>
      </c>
      <c r="AC11" s="8">
        <v>12.1</v>
      </c>
      <c r="AD11" s="8">
        <v>11.8</v>
      </c>
      <c r="AE11" s="8">
        <v>11.6</v>
      </c>
      <c r="AF11" s="8">
        <v>11.6</v>
      </c>
      <c r="AG11" s="8">
        <v>11.6</v>
      </c>
      <c r="AH11" s="8">
        <v>11.8</v>
      </c>
      <c r="AI11" s="8">
        <v>11.8</v>
      </c>
      <c r="AJ11" s="8">
        <v>11.8</v>
      </c>
      <c r="AK11" s="8">
        <v>11.7</v>
      </c>
    </row>
    <row r="12" spans="1:37" x14ac:dyDescent="0.3">
      <c r="A12" s="16" t="s">
        <v>184</v>
      </c>
      <c r="B12" s="8">
        <v>0.4</v>
      </c>
      <c r="C12" s="8">
        <v>0.4</v>
      </c>
      <c r="D12" s="8">
        <v>0.4</v>
      </c>
      <c r="E12" s="8">
        <v>0.4</v>
      </c>
      <c r="F12" s="8">
        <v>0.5</v>
      </c>
      <c r="G12" s="8">
        <v>0.5</v>
      </c>
      <c r="H12" s="8">
        <v>0.5</v>
      </c>
      <c r="I12" s="8">
        <v>0.5</v>
      </c>
      <c r="J12" s="8">
        <v>0.7</v>
      </c>
      <c r="K12" s="8">
        <v>0.6</v>
      </c>
      <c r="L12" s="8">
        <v>0.7</v>
      </c>
      <c r="M12" s="8">
        <v>0.6</v>
      </c>
      <c r="N12" s="8">
        <v>0.7</v>
      </c>
      <c r="O12" s="8">
        <v>0.6</v>
      </c>
      <c r="P12" s="8">
        <v>0.7</v>
      </c>
      <c r="Q12" s="8">
        <v>0.7</v>
      </c>
      <c r="R12" s="8">
        <v>0.9</v>
      </c>
      <c r="S12" s="8">
        <v>1</v>
      </c>
      <c r="T12" s="8">
        <v>1</v>
      </c>
      <c r="U12" s="8">
        <v>0.9</v>
      </c>
      <c r="V12" s="8">
        <v>0.8</v>
      </c>
      <c r="W12" s="8">
        <v>0.8</v>
      </c>
      <c r="X12" s="8">
        <v>0.8</v>
      </c>
      <c r="Y12" s="8">
        <v>0.7</v>
      </c>
      <c r="Z12" s="8">
        <v>0.7</v>
      </c>
      <c r="AA12" s="8">
        <v>0.8</v>
      </c>
      <c r="AB12" s="8">
        <v>0.7</v>
      </c>
      <c r="AC12" s="8">
        <v>0.7</v>
      </c>
      <c r="AD12" s="8">
        <v>0.7</v>
      </c>
      <c r="AE12" s="8">
        <v>0.7</v>
      </c>
      <c r="AF12" s="8">
        <v>0.8</v>
      </c>
      <c r="AG12" s="8">
        <v>0.7</v>
      </c>
      <c r="AH12" s="8">
        <v>0.6</v>
      </c>
      <c r="AI12" s="8">
        <v>0.6</v>
      </c>
      <c r="AJ12" s="8">
        <v>0.6</v>
      </c>
      <c r="AK12" s="8">
        <v>0.6</v>
      </c>
    </row>
    <row r="13" spans="1:37" x14ac:dyDescent="0.3">
      <c r="A13" s="7" t="s">
        <v>128</v>
      </c>
      <c r="B13" s="8">
        <v>14.1</v>
      </c>
      <c r="C13" s="8">
        <v>14</v>
      </c>
      <c r="D13" s="8">
        <v>14</v>
      </c>
      <c r="E13" s="8">
        <v>13.9</v>
      </c>
      <c r="F13" s="8">
        <v>13.5</v>
      </c>
      <c r="G13" s="8">
        <v>13.7</v>
      </c>
      <c r="H13" s="8">
        <v>13.9</v>
      </c>
      <c r="I13" s="8">
        <v>13.8</v>
      </c>
      <c r="J13" s="8">
        <v>13.5</v>
      </c>
      <c r="K13" s="8">
        <v>13.3</v>
      </c>
      <c r="L13" s="8">
        <v>13.3</v>
      </c>
      <c r="M13" s="8">
        <v>13.4</v>
      </c>
      <c r="N13" s="8">
        <v>13.8</v>
      </c>
      <c r="O13" s="8">
        <v>14.2</v>
      </c>
      <c r="P13" s="8">
        <v>13.9</v>
      </c>
      <c r="Q13" s="8">
        <v>14</v>
      </c>
      <c r="R13" s="8">
        <v>14.2</v>
      </c>
      <c r="S13" s="8">
        <v>14.3</v>
      </c>
      <c r="T13" s="8">
        <v>14.1</v>
      </c>
      <c r="U13" s="8">
        <v>14.1</v>
      </c>
      <c r="V13" s="8">
        <v>13.5</v>
      </c>
      <c r="W13" s="8">
        <v>13.5</v>
      </c>
      <c r="X13" s="8">
        <v>13.3</v>
      </c>
      <c r="Y13" s="8">
        <v>13.2</v>
      </c>
      <c r="Z13" s="8">
        <v>13.4</v>
      </c>
      <c r="AA13" s="8">
        <v>13</v>
      </c>
      <c r="AB13" s="8">
        <v>12.7</v>
      </c>
      <c r="AC13" s="8">
        <v>12.8</v>
      </c>
      <c r="AD13" s="8">
        <v>13</v>
      </c>
      <c r="AE13" s="8">
        <v>13</v>
      </c>
      <c r="AF13" s="8">
        <v>12.9</v>
      </c>
      <c r="AG13" s="8">
        <v>13</v>
      </c>
      <c r="AH13" s="8">
        <v>13</v>
      </c>
      <c r="AI13" s="8">
        <v>12.9</v>
      </c>
      <c r="AJ13" s="8">
        <v>12.9</v>
      </c>
      <c r="AK13" s="8">
        <v>12.9</v>
      </c>
    </row>
    <row r="14" spans="1:37" x14ac:dyDescent="0.3">
      <c r="A14" s="14" t="s">
        <v>129</v>
      </c>
      <c r="B14" s="8">
        <v>3.6</v>
      </c>
      <c r="C14" s="8">
        <v>3.6</v>
      </c>
      <c r="D14" s="8">
        <v>3.4</v>
      </c>
      <c r="E14" s="8">
        <v>3.5</v>
      </c>
      <c r="F14" s="8">
        <v>3.4</v>
      </c>
      <c r="G14" s="8">
        <v>3.8</v>
      </c>
      <c r="H14" s="8">
        <v>3.8</v>
      </c>
      <c r="I14" s="8">
        <v>3.7</v>
      </c>
      <c r="J14" s="8">
        <v>3.5</v>
      </c>
      <c r="K14" s="8">
        <v>3.7</v>
      </c>
      <c r="L14" s="8">
        <v>3.7</v>
      </c>
      <c r="M14" s="8">
        <v>3.6</v>
      </c>
      <c r="N14" s="8">
        <v>3.9</v>
      </c>
      <c r="O14" s="8">
        <v>4</v>
      </c>
      <c r="P14" s="8">
        <v>4.3</v>
      </c>
      <c r="Q14" s="8">
        <v>4.5</v>
      </c>
      <c r="R14" s="8">
        <v>4.7</v>
      </c>
      <c r="S14" s="8">
        <v>4.7</v>
      </c>
      <c r="T14" s="8">
        <v>4.7</v>
      </c>
      <c r="U14" s="8">
        <v>4.4000000000000004</v>
      </c>
      <c r="V14" s="8">
        <v>4.8</v>
      </c>
      <c r="W14" s="8">
        <v>4.8</v>
      </c>
      <c r="X14" s="8">
        <v>4.8</v>
      </c>
      <c r="Y14" s="8">
        <v>4.7</v>
      </c>
      <c r="Z14" s="8">
        <v>4.5</v>
      </c>
      <c r="AA14" s="8">
        <v>4.5999999999999996</v>
      </c>
      <c r="AB14" s="8">
        <v>4.8</v>
      </c>
      <c r="AC14" s="8">
        <v>4.9000000000000004</v>
      </c>
      <c r="AD14" s="8">
        <v>5.0999999999999996</v>
      </c>
      <c r="AE14" s="8">
        <v>4.9000000000000004</v>
      </c>
      <c r="AF14" s="8">
        <v>5</v>
      </c>
      <c r="AG14" s="8">
        <v>4.8</v>
      </c>
      <c r="AH14" s="8">
        <v>4.7</v>
      </c>
      <c r="AI14" s="8">
        <v>4.7</v>
      </c>
      <c r="AJ14" s="8">
        <v>4.5999999999999996</v>
      </c>
      <c r="AK14" s="8">
        <v>4.5999999999999996</v>
      </c>
    </row>
    <row r="15" spans="1:37" x14ac:dyDescent="0.3">
      <c r="A15" s="7" t="s">
        <v>130</v>
      </c>
      <c r="B15" s="8">
        <v>1.3</v>
      </c>
      <c r="C15" s="8">
        <v>1.2</v>
      </c>
      <c r="D15" s="8">
        <v>1.1000000000000001</v>
      </c>
      <c r="E15" s="8">
        <v>1</v>
      </c>
      <c r="F15" s="8">
        <v>1.1000000000000001</v>
      </c>
      <c r="G15" s="8">
        <v>1.3</v>
      </c>
      <c r="H15" s="8">
        <v>1.1000000000000001</v>
      </c>
      <c r="I15" s="8">
        <v>1</v>
      </c>
      <c r="J15" s="8">
        <v>0.8</v>
      </c>
      <c r="K15" s="8">
        <v>0.8</v>
      </c>
      <c r="L15" s="8">
        <v>0.9</v>
      </c>
      <c r="M15" s="8">
        <v>0.9</v>
      </c>
      <c r="N15" s="8">
        <v>1.1000000000000001</v>
      </c>
      <c r="O15" s="8">
        <v>0.9</v>
      </c>
      <c r="P15" s="8">
        <v>1</v>
      </c>
      <c r="Q15" s="8">
        <v>1.2</v>
      </c>
      <c r="R15" s="8">
        <v>1.2</v>
      </c>
      <c r="S15" s="8">
        <v>1.2</v>
      </c>
      <c r="T15" s="8">
        <v>1</v>
      </c>
      <c r="U15" s="8">
        <v>0.8</v>
      </c>
      <c r="V15" s="8">
        <v>0.9</v>
      </c>
      <c r="W15" s="8">
        <v>0.9</v>
      </c>
      <c r="X15" s="8">
        <v>0.9</v>
      </c>
      <c r="Y15" s="8">
        <v>0.8</v>
      </c>
      <c r="Z15" s="8">
        <v>0.7</v>
      </c>
      <c r="AA15" s="8">
        <v>0.7</v>
      </c>
      <c r="AB15" s="8">
        <v>0.7</v>
      </c>
      <c r="AC15" s="8">
        <v>0.9</v>
      </c>
      <c r="AD15" s="8">
        <v>1</v>
      </c>
      <c r="AE15" s="8">
        <v>0.9</v>
      </c>
      <c r="AF15" s="8">
        <v>0.9</v>
      </c>
      <c r="AG15" s="8">
        <v>0.8</v>
      </c>
      <c r="AH15" s="8">
        <v>0.8</v>
      </c>
      <c r="AI15" s="8">
        <v>0.8</v>
      </c>
      <c r="AJ15" s="8">
        <v>0.8</v>
      </c>
      <c r="AK15" s="8">
        <v>0.8</v>
      </c>
    </row>
    <row r="16" spans="1:37" x14ac:dyDescent="0.3">
      <c r="A16" s="7" t="s">
        <v>131</v>
      </c>
      <c r="B16" s="8">
        <v>0.3</v>
      </c>
      <c r="C16" s="8">
        <v>0.3</v>
      </c>
      <c r="D16" s="8">
        <v>0.4</v>
      </c>
      <c r="E16" s="8">
        <v>0.4</v>
      </c>
      <c r="F16" s="8">
        <v>0.3</v>
      </c>
      <c r="G16" s="8">
        <v>0.4</v>
      </c>
      <c r="H16" s="8">
        <v>0.4</v>
      </c>
      <c r="I16" s="8">
        <v>0.3</v>
      </c>
      <c r="J16" s="8">
        <v>0.4</v>
      </c>
      <c r="K16" s="8">
        <v>0.5</v>
      </c>
      <c r="L16" s="8">
        <v>0.5</v>
      </c>
      <c r="M16" s="8">
        <v>0.4</v>
      </c>
      <c r="N16" s="8">
        <v>0.5</v>
      </c>
      <c r="O16" s="8">
        <v>0.6</v>
      </c>
      <c r="P16" s="8">
        <v>0.7</v>
      </c>
      <c r="Q16" s="8">
        <v>0.7</v>
      </c>
      <c r="R16" s="8">
        <v>0.8</v>
      </c>
      <c r="S16" s="8">
        <v>0.7</v>
      </c>
      <c r="T16" s="8">
        <v>0.7</v>
      </c>
      <c r="U16" s="8">
        <v>0.6</v>
      </c>
      <c r="V16" s="8">
        <v>0.6</v>
      </c>
      <c r="W16" s="8">
        <v>0.6</v>
      </c>
      <c r="X16" s="8">
        <v>0.6</v>
      </c>
      <c r="Y16" s="8">
        <v>0.7</v>
      </c>
      <c r="Z16" s="8">
        <v>0.7</v>
      </c>
      <c r="AA16" s="8">
        <v>0.7</v>
      </c>
      <c r="AB16" s="8">
        <v>0.8</v>
      </c>
      <c r="AC16" s="8">
        <v>0.7</v>
      </c>
      <c r="AD16" s="8">
        <v>0.8</v>
      </c>
      <c r="AE16" s="8">
        <v>0.8</v>
      </c>
      <c r="AF16" s="8">
        <v>0.7</v>
      </c>
      <c r="AG16" s="8">
        <v>0.7</v>
      </c>
      <c r="AH16" s="8">
        <v>0.6</v>
      </c>
      <c r="AI16" s="8">
        <v>0.6</v>
      </c>
      <c r="AJ16" s="8">
        <v>0.5</v>
      </c>
      <c r="AK16" s="8">
        <v>0.5</v>
      </c>
    </row>
    <row r="17" spans="1:37" x14ac:dyDescent="0.3">
      <c r="A17" s="7" t="s">
        <v>132</v>
      </c>
      <c r="B17" s="8">
        <v>0.1</v>
      </c>
      <c r="C17" s="8">
        <v>0.2</v>
      </c>
      <c r="D17" s="8">
        <v>0</v>
      </c>
      <c r="E17" s="8">
        <v>0.2</v>
      </c>
      <c r="F17" s="8">
        <v>0.1</v>
      </c>
      <c r="G17" s="8">
        <v>0.1</v>
      </c>
      <c r="H17" s="8">
        <v>0.1</v>
      </c>
      <c r="I17" s="8">
        <v>0.1</v>
      </c>
      <c r="J17" s="8">
        <v>0.1</v>
      </c>
      <c r="K17" s="8">
        <v>0.1</v>
      </c>
      <c r="L17" s="8">
        <v>0.1</v>
      </c>
      <c r="M17" s="8">
        <v>0</v>
      </c>
      <c r="N17" s="8">
        <v>0</v>
      </c>
      <c r="O17" s="8">
        <v>0.1</v>
      </c>
      <c r="P17" s="8">
        <v>0.1</v>
      </c>
      <c r="Q17" s="8">
        <v>0.1</v>
      </c>
      <c r="R17" s="8">
        <v>0.1</v>
      </c>
      <c r="S17" s="8">
        <v>0.1</v>
      </c>
      <c r="T17" s="8">
        <v>0.1</v>
      </c>
      <c r="U17" s="8">
        <v>0.1</v>
      </c>
      <c r="V17" s="8">
        <v>0.1</v>
      </c>
      <c r="W17" s="8">
        <v>0.1</v>
      </c>
      <c r="X17" s="8">
        <v>0.1</v>
      </c>
      <c r="Y17" s="8">
        <v>0.1</v>
      </c>
      <c r="Z17" s="8">
        <v>0.1</v>
      </c>
      <c r="AA17" s="8">
        <v>0.2</v>
      </c>
      <c r="AB17" s="8">
        <v>0.2</v>
      </c>
      <c r="AC17" s="8">
        <v>0.2</v>
      </c>
      <c r="AD17" s="8">
        <v>0.1</v>
      </c>
      <c r="AE17" s="8">
        <v>0.1</v>
      </c>
      <c r="AF17" s="8">
        <v>0.2</v>
      </c>
      <c r="AG17" s="8">
        <v>0.1</v>
      </c>
      <c r="AH17" s="8">
        <v>0.1</v>
      </c>
      <c r="AI17" s="8">
        <v>0.1</v>
      </c>
      <c r="AJ17" s="8">
        <v>0.1</v>
      </c>
      <c r="AK17" s="8">
        <v>0.1</v>
      </c>
    </row>
    <row r="18" spans="1:37" x14ac:dyDescent="0.3">
      <c r="A18" s="7" t="s">
        <v>133</v>
      </c>
      <c r="B18" s="8">
        <v>1.8</v>
      </c>
      <c r="C18" s="8">
        <v>1.9</v>
      </c>
      <c r="D18" s="8">
        <v>1.9</v>
      </c>
      <c r="E18" s="8">
        <v>1.9</v>
      </c>
      <c r="F18" s="8">
        <v>1.9</v>
      </c>
      <c r="G18" s="8">
        <v>2</v>
      </c>
      <c r="H18" s="8">
        <v>2.2000000000000002</v>
      </c>
      <c r="I18" s="8">
        <v>2.2000000000000002</v>
      </c>
      <c r="J18" s="8">
        <v>2.2000000000000002</v>
      </c>
      <c r="K18" s="8">
        <v>2.2999999999999998</v>
      </c>
      <c r="L18" s="8">
        <v>2.2999999999999998</v>
      </c>
      <c r="M18" s="8">
        <v>2.2000000000000002</v>
      </c>
      <c r="N18" s="8">
        <v>2.2999999999999998</v>
      </c>
      <c r="O18" s="8">
        <v>2.4</v>
      </c>
      <c r="P18" s="8">
        <v>2.4</v>
      </c>
      <c r="Q18" s="8">
        <v>2.5</v>
      </c>
      <c r="R18" s="8">
        <v>2.6</v>
      </c>
      <c r="S18" s="8">
        <v>2.6</v>
      </c>
      <c r="T18" s="8">
        <v>3</v>
      </c>
      <c r="U18" s="8">
        <v>2.9</v>
      </c>
      <c r="V18" s="8">
        <v>3.2</v>
      </c>
      <c r="W18" s="8">
        <v>3.2</v>
      </c>
      <c r="X18" s="8">
        <v>3.2</v>
      </c>
      <c r="Y18" s="8">
        <v>3.1</v>
      </c>
      <c r="Z18" s="8">
        <v>3.1</v>
      </c>
      <c r="AA18" s="8">
        <v>3</v>
      </c>
      <c r="AB18" s="8">
        <v>3.1</v>
      </c>
      <c r="AC18" s="8">
        <v>3.1</v>
      </c>
      <c r="AD18" s="8">
        <v>3.2</v>
      </c>
      <c r="AE18" s="8">
        <v>3.1</v>
      </c>
      <c r="AF18" s="8">
        <v>3.2</v>
      </c>
      <c r="AG18" s="8">
        <v>3.2</v>
      </c>
      <c r="AH18" s="8">
        <v>3.2</v>
      </c>
      <c r="AI18" s="8">
        <v>3.2</v>
      </c>
      <c r="AJ18" s="8">
        <v>3.2</v>
      </c>
      <c r="AK18" s="8">
        <v>3.1</v>
      </c>
    </row>
    <row r="19" spans="1:37" x14ac:dyDescent="0.3">
      <c r="A19" s="14" t="s">
        <v>166</v>
      </c>
      <c r="B19" s="8">
        <v>0.1</v>
      </c>
      <c r="C19" s="8">
        <v>0.1</v>
      </c>
      <c r="D19" s="8">
        <v>0.1</v>
      </c>
      <c r="E19" s="8">
        <v>0.1</v>
      </c>
      <c r="F19" s="8">
        <v>0.1</v>
      </c>
      <c r="G19" s="8">
        <v>0.1</v>
      </c>
      <c r="H19" s="8">
        <v>0.1</v>
      </c>
      <c r="I19" s="8">
        <v>0.1</v>
      </c>
      <c r="J19" s="8">
        <v>0.1</v>
      </c>
      <c r="K19" s="8">
        <v>0.2</v>
      </c>
      <c r="L19" s="8">
        <v>0.2</v>
      </c>
      <c r="M19" s="8">
        <v>0.2</v>
      </c>
      <c r="N19" s="8">
        <v>0.2</v>
      </c>
      <c r="O19" s="8">
        <v>0.2</v>
      </c>
      <c r="P19" s="8">
        <v>0.2</v>
      </c>
      <c r="Q19" s="8">
        <v>0.2</v>
      </c>
      <c r="R19" s="8">
        <v>0.2</v>
      </c>
      <c r="S19" s="8">
        <v>0.2</v>
      </c>
      <c r="T19" s="8">
        <v>0.2</v>
      </c>
      <c r="U19" s="8">
        <v>0.2</v>
      </c>
      <c r="V19" s="8">
        <v>0.2</v>
      </c>
      <c r="W19" s="8">
        <v>0.2</v>
      </c>
      <c r="X19" s="8">
        <v>0.2</v>
      </c>
      <c r="Y19" s="8">
        <v>0.2</v>
      </c>
      <c r="Z19" s="8">
        <v>0.2</v>
      </c>
      <c r="AA19" s="8">
        <v>0.2</v>
      </c>
      <c r="AB19" s="8">
        <v>0.1</v>
      </c>
      <c r="AC19" s="8">
        <v>0.1</v>
      </c>
      <c r="AD19" s="8">
        <v>0.1</v>
      </c>
      <c r="AE19" s="8">
        <v>0.1</v>
      </c>
      <c r="AF19" s="8">
        <v>0.1</v>
      </c>
      <c r="AG19" s="8">
        <v>0.1</v>
      </c>
      <c r="AH19" s="8">
        <v>0.1</v>
      </c>
      <c r="AI19" s="8">
        <v>0.1</v>
      </c>
      <c r="AJ19" s="8">
        <v>0.1</v>
      </c>
      <c r="AK19" s="8">
        <v>0.1</v>
      </c>
    </row>
    <row r="20" spans="1:37" x14ac:dyDescent="0.3">
      <c r="A20" s="14" t="s">
        <v>167</v>
      </c>
      <c r="B20" s="8">
        <v>2</v>
      </c>
      <c r="C20" s="8">
        <v>2</v>
      </c>
      <c r="D20" s="8">
        <v>2.1</v>
      </c>
      <c r="E20" s="8">
        <v>2</v>
      </c>
      <c r="F20" s="8">
        <v>2</v>
      </c>
      <c r="G20" s="8">
        <v>2.1</v>
      </c>
      <c r="H20" s="8">
        <v>2.1</v>
      </c>
      <c r="I20" s="8">
        <v>2.1</v>
      </c>
      <c r="J20" s="8">
        <v>2.1</v>
      </c>
      <c r="K20" s="8">
        <v>2</v>
      </c>
      <c r="L20" s="8">
        <v>2.1</v>
      </c>
      <c r="M20" s="8">
        <v>2.1</v>
      </c>
      <c r="N20" s="8">
        <v>2.1</v>
      </c>
      <c r="O20" s="8">
        <v>2.2999999999999998</v>
      </c>
      <c r="P20" s="8">
        <v>2.2999999999999998</v>
      </c>
      <c r="Q20" s="8">
        <v>2.2999999999999998</v>
      </c>
      <c r="R20" s="8">
        <v>2.4</v>
      </c>
      <c r="S20" s="8">
        <v>2.4</v>
      </c>
      <c r="T20" s="8">
        <v>2.4</v>
      </c>
      <c r="U20" s="8">
        <v>2.2000000000000002</v>
      </c>
      <c r="V20" s="8">
        <v>2.2000000000000002</v>
      </c>
      <c r="W20" s="8">
        <v>2.2000000000000002</v>
      </c>
      <c r="X20" s="8">
        <v>2.2000000000000002</v>
      </c>
      <c r="Y20" s="8">
        <v>2.2000000000000002</v>
      </c>
      <c r="Z20" s="8">
        <v>2.2999999999999998</v>
      </c>
      <c r="AA20" s="8">
        <v>2.2000000000000002</v>
      </c>
      <c r="AB20" s="8">
        <v>2.1</v>
      </c>
      <c r="AC20" s="8">
        <v>2.2000000000000002</v>
      </c>
      <c r="AD20" s="8">
        <v>2.2000000000000002</v>
      </c>
      <c r="AE20" s="8">
        <v>2.2000000000000002</v>
      </c>
      <c r="AF20" s="8">
        <v>2.2000000000000002</v>
      </c>
      <c r="AG20" s="8">
        <v>2.2000000000000002</v>
      </c>
      <c r="AH20" s="8">
        <v>2.2000000000000002</v>
      </c>
      <c r="AI20" s="8">
        <v>2.2000000000000002</v>
      </c>
      <c r="AJ20" s="8">
        <v>2.1</v>
      </c>
      <c r="AK20" s="8">
        <v>2.1</v>
      </c>
    </row>
    <row r="21" spans="1:37" x14ac:dyDescent="0.3">
      <c r="A21" s="11" t="s">
        <v>141</v>
      </c>
      <c r="B21" s="19">
        <v>53.1</v>
      </c>
      <c r="C21" s="19">
        <v>51.6</v>
      </c>
      <c r="D21" s="19">
        <v>51</v>
      </c>
      <c r="E21" s="19">
        <v>50.5</v>
      </c>
      <c r="F21" s="19">
        <v>49.4</v>
      </c>
      <c r="G21" s="19">
        <v>49.4</v>
      </c>
      <c r="H21" s="19">
        <v>49.9</v>
      </c>
      <c r="I21" s="19">
        <v>51</v>
      </c>
      <c r="J21" s="19">
        <v>49.3</v>
      </c>
      <c r="K21" s="19">
        <v>51.9</v>
      </c>
      <c r="L21" s="19">
        <v>48.8</v>
      </c>
      <c r="M21" s="19">
        <v>48.6</v>
      </c>
      <c r="N21" s="19">
        <v>50.8</v>
      </c>
      <c r="O21" s="19">
        <v>54.5</v>
      </c>
      <c r="P21" s="19">
        <v>53.9</v>
      </c>
      <c r="Q21" s="19">
        <v>55</v>
      </c>
      <c r="R21" s="19">
        <v>56.2</v>
      </c>
      <c r="S21" s="19">
        <v>55.9</v>
      </c>
      <c r="T21" s="19">
        <v>55.4</v>
      </c>
      <c r="U21" s="19">
        <v>53.9</v>
      </c>
      <c r="V21" s="19">
        <v>53.4</v>
      </c>
      <c r="W21" s="19">
        <v>52.3</v>
      </c>
      <c r="X21" s="19">
        <v>52.5</v>
      </c>
      <c r="Y21" s="19">
        <v>51.8</v>
      </c>
      <c r="Z21" s="19">
        <v>58.5</v>
      </c>
      <c r="AA21" s="19">
        <v>54.9</v>
      </c>
      <c r="AB21" s="19">
        <v>52.5</v>
      </c>
      <c r="AC21" s="19">
        <v>52.8</v>
      </c>
      <c r="AD21" s="19">
        <v>54.1</v>
      </c>
      <c r="AE21" s="19">
        <v>54.2</v>
      </c>
      <c r="AF21" s="19">
        <v>54.5</v>
      </c>
      <c r="AG21" s="19">
        <v>54.5</v>
      </c>
      <c r="AH21" s="19">
        <v>54.5</v>
      </c>
      <c r="AI21" s="19">
        <v>54.6</v>
      </c>
      <c r="AJ21" s="19">
        <v>54.5</v>
      </c>
      <c r="AK21" s="19">
        <v>54.4</v>
      </c>
    </row>
    <row r="22" spans="1:37" x14ac:dyDescent="0.3">
      <c r="A22" s="14" t="s">
        <v>142</v>
      </c>
      <c r="B22" s="8">
        <v>44.5</v>
      </c>
      <c r="C22" s="8">
        <v>43.8</v>
      </c>
      <c r="D22" s="8">
        <v>43.5</v>
      </c>
      <c r="E22" s="8">
        <v>43.6</v>
      </c>
      <c r="F22" s="8">
        <v>42.7</v>
      </c>
      <c r="G22" s="8">
        <v>42.8</v>
      </c>
      <c r="H22" s="8">
        <v>44.1</v>
      </c>
      <c r="I22" s="8">
        <v>45.6</v>
      </c>
      <c r="J22" s="8">
        <v>44.5</v>
      </c>
      <c r="K22" s="8">
        <v>47.5</v>
      </c>
      <c r="L22" s="8">
        <v>44.6</v>
      </c>
      <c r="M22" s="8">
        <v>44.5</v>
      </c>
      <c r="N22" s="8">
        <v>46.7</v>
      </c>
      <c r="O22" s="8">
        <v>50.6</v>
      </c>
      <c r="P22" s="8">
        <v>50.3</v>
      </c>
      <c r="Q22" s="8">
        <v>51.4</v>
      </c>
      <c r="R22" s="8">
        <v>52.7</v>
      </c>
      <c r="S22" s="8">
        <v>52.6</v>
      </c>
      <c r="T22" s="8">
        <v>52.1</v>
      </c>
      <c r="U22" s="8">
        <v>50.9</v>
      </c>
      <c r="V22" s="8">
        <v>50.6</v>
      </c>
      <c r="W22" s="8">
        <v>49.8</v>
      </c>
      <c r="X22" s="8">
        <v>50.3</v>
      </c>
      <c r="Y22" s="8">
        <v>49.7</v>
      </c>
      <c r="Z22" s="8">
        <v>56.5</v>
      </c>
      <c r="AA22" s="8">
        <v>53.2</v>
      </c>
      <c r="AB22" s="8">
        <v>50.9</v>
      </c>
      <c r="AC22" s="8">
        <v>50.9</v>
      </c>
      <c r="AD22" s="8">
        <v>51.8</v>
      </c>
      <c r="AE22" s="8">
        <v>51.9</v>
      </c>
      <c r="AF22" s="8">
        <v>52</v>
      </c>
      <c r="AG22" s="8">
        <v>51.7</v>
      </c>
      <c r="AH22" s="8">
        <v>51.6</v>
      </c>
      <c r="AI22" s="8">
        <v>51.4</v>
      </c>
      <c r="AJ22" s="8">
        <v>51.1</v>
      </c>
      <c r="AK22" s="8">
        <v>50.9</v>
      </c>
    </row>
    <row r="23" spans="1:37" x14ac:dyDescent="0.3">
      <c r="A23" s="14" t="s">
        <v>199</v>
      </c>
      <c r="B23" s="8">
        <v>41.2</v>
      </c>
      <c r="C23" s="8">
        <v>40.200000000000003</v>
      </c>
      <c r="D23" s="8">
        <v>40</v>
      </c>
      <c r="E23" s="8">
        <v>39.9</v>
      </c>
      <c r="F23" s="8">
        <v>39</v>
      </c>
      <c r="G23" s="8">
        <v>39.6</v>
      </c>
      <c r="H23" s="8">
        <v>41.1</v>
      </c>
      <c r="I23" s="8">
        <v>42</v>
      </c>
      <c r="J23" s="8">
        <v>41.5</v>
      </c>
      <c r="K23" s="8">
        <v>41.8</v>
      </c>
      <c r="L23" s="8">
        <v>41.6</v>
      </c>
      <c r="M23" s="8">
        <v>41.3</v>
      </c>
      <c r="N23" s="8">
        <v>43.3</v>
      </c>
      <c r="O23" s="8">
        <v>46.8</v>
      </c>
      <c r="P23" s="8">
        <v>46.4</v>
      </c>
      <c r="Q23" s="8">
        <v>46.8</v>
      </c>
      <c r="R23" s="8">
        <v>47.6</v>
      </c>
      <c r="S23" s="8">
        <v>48.2</v>
      </c>
      <c r="T23" s="8">
        <v>47.9</v>
      </c>
      <c r="U23" s="8">
        <v>47.3</v>
      </c>
      <c r="V23" s="8">
        <v>47.2</v>
      </c>
      <c r="W23" s="8">
        <v>46.6</v>
      </c>
      <c r="X23" s="8">
        <v>46.7</v>
      </c>
      <c r="Y23" s="8">
        <v>46.4</v>
      </c>
      <c r="Z23" s="8">
        <v>52.8</v>
      </c>
      <c r="AA23" s="8">
        <v>49.4</v>
      </c>
      <c r="AB23" s="8">
        <v>47.3</v>
      </c>
      <c r="AC23" s="8">
        <v>47</v>
      </c>
      <c r="AD23" s="8">
        <v>47.8</v>
      </c>
      <c r="AE23" s="8">
        <v>47.9</v>
      </c>
      <c r="AF23" s="8">
        <v>48</v>
      </c>
      <c r="AG23" s="8">
        <v>48</v>
      </c>
      <c r="AH23" s="8">
        <v>47.9</v>
      </c>
      <c r="AI23" s="8">
        <v>47.7</v>
      </c>
      <c r="AJ23" s="8">
        <v>47.2</v>
      </c>
      <c r="AK23" s="8">
        <v>47.1</v>
      </c>
    </row>
    <row r="24" spans="1:37" x14ac:dyDescent="0.3">
      <c r="A24" s="7" t="s">
        <v>144</v>
      </c>
      <c r="B24" s="8">
        <v>11.6</v>
      </c>
      <c r="C24" s="8">
        <v>11.5</v>
      </c>
      <c r="D24" s="8">
        <v>11.4</v>
      </c>
      <c r="E24" s="8">
        <v>11.5</v>
      </c>
      <c r="F24" s="8">
        <v>11.2</v>
      </c>
      <c r="G24" s="8">
        <v>11.4</v>
      </c>
      <c r="H24" s="8">
        <v>11.8</v>
      </c>
      <c r="I24" s="8">
        <v>12</v>
      </c>
      <c r="J24" s="8">
        <v>11.7</v>
      </c>
      <c r="K24" s="8">
        <v>11.8</v>
      </c>
      <c r="L24" s="8">
        <v>11.7</v>
      </c>
      <c r="M24" s="8">
        <v>11.5</v>
      </c>
      <c r="N24" s="8">
        <v>11.9</v>
      </c>
      <c r="O24" s="8">
        <v>12.6</v>
      </c>
      <c r="P24" s="8">
        <v>12.5</v>
      </c>
      <c r="Q24" s="8">
        <v>12.5</v>
      </c>
      <c r="R24" s="8">
        <v>12.7</v>
      </c>
      <c r="S24" s="8">
        <v>12.8</v>
      </c>
      <c r="T24" s="8">
        <v>12.9</v>
      </c>
      <c r="U24" s="8">
        <v>12.6</v>
      </c>
      <c r="V24" s="8">
        <v>12.5</v>
      </c>
      <c r="W24" s="8">
        <v>12.5</v>
      </c>
      <c r="X24" s="8">
        <v>12.4</v>
      </c>
      <c r="Y24" s="8">
        <v>12.3</v>
      </c>
      <c r="Z24" s="8">
        <v>13.1</v>
      </c>
      <c r="AA24" s="8">
        <v>12.4</v>
      </c>
      <c r="AB24" s="8">
        <v>12.1</v>
      </c>
      <c r="AC24" s="8">
        <v>12.2</v>
      </c>
      <c r="AD24" s="8">
        <v>12.5</v>
      </c>
      <c r="AE24" s="8">
        <v>12.5</v>
      </c>
      <c r="AF24" s="8">
        <v>12.5</v>
      </c>
      <c r="AG24" s="8">
        <v>12.4</v>
      </c>
      <c r="AH24" s="8">
        <v>12.3</v>
      </c>
      <c r="AI24" s="8">
        <v>12.1</v>
      </c>
      <c r="AJ24" s="8">
        <v>12</v>
      </c>
      <c r="AK24" s="8">
        <v>11.9</v>
      </c>
    </row>
    <row r="25" spans="1:37" x14ac:dyDescent="0.3">
      <c r="A25" s="7" t="s">
        <v>145</v>
      </c>
      <c r="B25" s="8">
        <v>3.7</v>
      </c>
      <c r="C25" s="8">
        <v>3.7</v>
      </c>
      <c r="D25" s="8">
        <v>3.7</v>
      </c>
      <c r="E25" s="8">
        <v>3.7</v>
      </c>
      <c r="F25" s="8">
        <v>3.7</v>
      </c>
      <c r="G25" s="8">
        <v>3.8</v>
      </c>
      <c r="H25" s="8">
        <v>4.2</v>
      </c>
      <c r="I25" s="8">
        <v>4.2</v>
      </c>
      <c r="J25" s="8">
        <v>4.0999999999999996</v>
      </c>
      <c r="K25" s="8">
        <v>4</v>
      </c>
      <c r="L25" s="8">
        <v>4</v>
      </c>
      <c r="M25" s="8">
        <v>3.8</v>
      </c>
      <c r="N25" s="8">
        <v>3.9</v>
      </c>
      <c r="O25" s="8">
        <v>4.3</v>
      </c>
      <c r="P25" s="8">
        <v>4.2</v>
      </c>
      <c r="Q25" s="8">
        <v>4.2</v>
      </c>
      <c r="R25" s="8">
        <v>4.3</v>
      </c>
      <c r="S25" s="8">
        <v>4.2</v>
      </c>
      <c r="T25" s="8">
        <v>4.2</v>
      </c>
      <c r="U25" s="8">
        <v>4.0999999999999996</v>
      </c>
      <c r="V25" s="8">
        <v>4.0999999999999996</v>
      </c>
      <c r="W25" s="8">
        <v>4</v>
      </c>
      <c r="X25" s="8">
        <v>4.2</v>
      </c>
      <c r="Y25" s="8">
        <v>4.0999999999999996</v>
      </c>
      <c r="Z25" s="8">
        <v>4.3</v>
      </c>
      <c r="AA25" s="8">
        <v>4.2</v>
      </c>
      <c r="AB25" s="8">
        <v>4.3</v>
      </c>
      <c r="AC25" s="8">
        <v>4.2</v>
      </c>
      <c r="AD25" s="8">
        <v>4.4000000000000004</v>
      </c>
      <c r="AE25" s="8">
        <v>4.3</v>
      </c>
      <c r="AF25" s="8">
        <v>4.4000000000000004</v>
      </c>
      <c r="AG25" s="8">
        <v>4.3</v>
      </c>
      <c r="AH25" s="8">
        <v>4.3</v>
      </c>
      <c r="AI25" s="8">
        <v>4.3</v>
      </c>
      <c r="AJ25" s="8">
        <v>4.0999999999999996</v>
      </c>
      <c r="AK25" s="8">
        <v>4</v>
      </c>
    </row>
    <row r="26" spans="1:37" x14ac:dyDescent="0.3">
      <c r="A26" s="7" t="s">
        <v>146</v>
      </c>
      <c r="B26" s="8">
        <v>1.9</v>
      </c>
      <c r="C26" s="8">
        <v>1.6</v>
      </c>
      <c r="D26" s="8">
        <v>1.7</v>
      </c>
      <c r="E26" s="8">
        <v>1.7</v>
      </c>
      <c r="F26" s="8">
        <v>1.6</v>
      </c>
      <c r="G26" s="8">
        <v>1.7</v>
      </c>
      <c r="H26" s="8">
        <v>1.6</v>
      </c>
      <c r="I26" s="8">
        <v>1.8</v>
      </c>
      <c r="J26" s="8">
        <v>1.7</v>
      </c>
      <c r="K26" s="8">
        <v>2.2000000000000002</v>
      </c>
      <c r="L26" s="8">
        <v>2.6</v>
      </c>
      <c r="M26" s="8">
        <v>2.8</v>
      </c>
      <c r="N26" s="8">
        <v>3.1</v>
      </c>
      <c r="O26" s="8">
        <v>3.2</v>
      </c>
      <c r="P26" s="8">
        <v>3.7</v>
      </c>
      <c r="Q26" s="8">
        <v>3.8</v>
      </c>
      <c r="R26" s="8">
        <v>3.9</v>
      </c>
      <c r="S26" s="8">
        <v>3.9</v>
      </c>
      <c r="T26" s="8">
        <v>3.9</v>
      </c>
      <c r="U26" s="8">
        <v>3.9</v>
      </c>
      <c r="V26" s="8">
        <v>3.8</v>
      </c>
      <c r="W26" s="8">
        <v>3.7</v>
      </c>
      <c r="X26" s="8">
        <v>3.7</v>
      </c>
      <c r="Y26" s="8">
        <v>3.8</v>
      </c>
      <c r="Z26" s="8">
        <v>5</v>
      </c>
      <c r="AA26" s="8">
        <v>4.4000000000000004</v>
      </c>
      <c r="AB26" s="8">
        <v>3.8</v>
      </c>
      <c r="AC26" s="8">
        <v>3.7</v>
      </c>
      <c r="AD26" s="8">
        <v>3.5</v>
      </c>
      <c r="AE26" s="8">
        <v>3.5</v>
      </c>
      <c r="AF26" s="8">
        <v>3.5</v>
      </c>
      <c r="AG26" s="8">
        <v>3.4</v>
      </c>
      <c r="AH26" s="8">
        <v>3.3</v>
      </c>
      <c r="AI26" s="8">
        <v>3.3</v>
      </c>
      <c r="AJ26" s="8">
        <v>3.4</v>
      </c>
      <c r="AK26" s="8">
        <v>3.3</v>
      </c>
    </row>
    <row r="27" spans="1:37" x14ac:dyDescent="0.3">
      <c r="A27" s="7" t="s">
        <v>147</v>
      </c>
      <c r="B27" s="8">
        <v>21.9</v>
      </c>
      <c r="C27" s="8">
        <v>21.4</v>
      </c>
      <c r="D27" s="8">
        <v>21.2</v>
      </c>
      <c r="E27" s="8">
        <v>21</v>
      </c>
      <c r="F27" s="8">
        <v>20.6</v>
      </c>
      <c r="G27" s="8">
        <v>20.9</v>
      </c>
      <c r="H27" s="8">
        <v>21.5</v>
      </c>
      <c r="I27" s="8">
        <v>22</v>
      </c>
      <c r="J27" s="8">
        <v>21.9</v>
      </c>
      <c r="K27" s="8">
        <v>21.7</v>
      </c>
      <c r="L27" s="8">
        <v>21.4</v>
      </c>
      <c r="M27" s="8">
        <v>21.4</v>
      </c>
      <c r="N27" s="8">
        <v>22.5</v>
      </c>
      <c r="O27" s="8">
        <v>24.4</v>
      </c>
      <c r="P27" s="8">
        <v>24</v>
      </c>
      <c r="Q27" s="8">
        <v>24.1</v>
      </c>
      <c r="R27" s="8">
        <v>24.7</v>
      </c>
      <c r="S27" s="8">
        <v>25.1</v>
      </c>
      <c r="T27" s="8">
        <v>24.9</v>
      </c>
      <c r="U27" s="8">
        <v>24.8</v>
      </c>
      <c r="V27" s="8">
        <v>24.7</v>
      </c>
      <c r="W27" s="8">
        <v>24.6</v>
      </c>
      <c r="X27" s="8">
        <v>24.5</v>
      </c>
      <c r="Y27" s="8">
        <v>24.3</v>
      </c>
      <c r="Z27" s="8">
        <v>27.5</v>
      </c>
      <c r="AA27" s="8">
        <v>25.9</v>
      </c>
      <c r="AB27" s="8">
        <v>24.8</v>
      </c>
      <c r="AC27" s="8">
        <v>24.8</v>
      </c>
      <c r="AD27" s="8">
        <v>25.5</v>
      </c>
      <c r="AE27" s="8">
        <v>25.7</v>
      </c>
      <c r="AF27" s="8">
        <v>25.7</v>
      </c>
      <c r="AG27" s="8">
        <v>25.9</v>
      </c>
      <c r="AH27" s="8">
        <v>26</v>
      </c>
      <c r="AI27" s="8">
        <v>26</v>
      </c>
      <c r="AJ27" s="8">
        <v>26.1</v>
      </c>
      <c r="AK27" s="8">
        <v>26.3</v>
      </c>
    </row>
    <row r="28" spans="1:37" x14ac:dyDescent="0.3">
      <c r="A28" s="9" t="s">
        <v>80</v>
      </c>
      <c r="B28" s="8">
        <v>15.8</v>
      </c>
      <c r="C28" s="8">
        <v>15.6</v>
      </c>
      <c r="D28" s="8">
        <v>15.3</v>
      </c>
      <c r="E28" s="8">
        <v>15</v>
      </c>
      <c r="F28" s="8">
        <v>14.5</v>
      </c>
      <c r="G28" s="8">
        <v>14.7</v>
      </c>
      <c r="H28" s="8">
        <v>15.2</v>
      </c>
      <c r="I28" s="8">
        <v>15.4</v>
      </c>
      <c r="J28" s="8">
        <v>15.2</v>
      </c>
      <c r="K28" s="8">
        <v>15.1</v>
      </c>
      <c r="L28" s="8">
        <v>14.8</v>
      </c>
      <c r="M28" s="8">
        <v>14.8</v>
      </c>
      <c r="N28" s="8">
        <v>15.4</v>
      </c>
      <c r="O28" s="8">
        <v>16.7</v>
      </c>
      <c r="P28" s="8">
        <v>16.399999999999999</v>
      </c>
      <c r="Q28" s="8">
        <v>16.399999999999999</v>
      </c>
      <c r="R28" s="8">
        <v>16.899999999999999</v>
      </c>
      <c r="S28" s="8">
        <v>17.3</v>
      </c>
      <c r="T28" s="8">
        <v>17.100000000000001</v>
      </c>
      <c r="U28" s="8">
        <v>17</v>
      </c>
      <c r="V28" s="8">
        <v>17</v>
      </c>
      <c r="W28" s="8">
        <v>16.899999999999999</v>
      </c>
      <c r="X28" s="8">
        <v>16.8</v>
      </c>
      <c r="Y28" s="8">
        <v>16.7</v>
      </c>
      <c r="Z28" s="8">
        <v>19.7</v>
      </c>
      <c r="AA28" s="8">
        <v>17.899999999999999</v>
      </c>
      <c r="AB28" s="8">
        <v>16.899999999999999</v>
      </c>
      <c r="AC28" s="8">
        <v>17.100000000000001</v>
      </c>
      <c r="AD28" s="8">
        <v>17.600000000000001</v>
      </c>
      <c r="AE28" s="8">
        <v>17.7</v>
      </c>
      <c r="AF28" s="8">
        <v>17.600000000000001</v>
      </c>
      <c r="AG28" s="8">
        <v>17.600000000000001</v>
      </c>
      <c r="AH28" s="8">
        <v>17.600000000000001</v>
      </c>
      <c r="AI28" s="8">
        <v>17.600000000000001</v>
      </c>
      <c r="AJ28" s="8">
        <v>17.600000000000001</v>
      </c>
      <c r="AK28" s="8">
        <v>17.600000000000001</v>
      </c>
    </row>
    <row r="29" spans="1:37" x14ac:dyDescent="0.3">
      <c r="A29" s="9" t="s">
        <v>148</v>
      </c>
      <c r="B29" s="8">
        <v>6.1</v>
      </c>
      <c r="C29" s="8">
        <v>5.8</v>
      </c>
      <c r="D29" s="8">
        <v>5.9</v>
      </c>
      <c r="E29" s="8">
        <v>6</v>
      </c>
      <c r="F29" s="8">
        <v>6</v>
      </c>
      <c r="G29" s="8">
        <v>6.2</v>
      </c>
      <c r="H29" s="8">
        <v>6.3</v>
      </c>
      <c r="I29" s="8">
        <v>6.6</v>
      </c>
      <c r="J29" s="8">
        <v>6.8</v>
      </c>
      <c r="K29" s="8">
        <v>6.7</v>
      </c>
      <c r="L29" s="8">
        <v>6.6</v>
      </c>
      <c r="M29" s="8">
        <v>6.6</v>
      </c>
      <c r="N29" s="8">
        <v>7.1</v>
      </c>
      <c r="O29" s="8">
        <v>7.6</v>
      </c>
      <c r="P29" s="8">
        <v>7.6</v>
      </c>
      <c r="Q29" s="8">
        <v>7.7</v>
      </c>
      <c r="R29" s="8">
        <v>7.8</v>
      </c>
      <c r="S29" s="8">
        <v>7.8</v>
      </c>
      <c r="T29" s="8">
        <v>7.8</v>
      </c>
      <c r="U29" s="8">
        <v>7.7</v>
      </c>
      <c r="V29" s="8">
        <v>7.7</v>
      </c>
      <c r="W29" s="8">
        <v>7.7</v>
      </c>
      <c r="X29" s="8">
        <v>7.7</v>
      </c>
      <c r="Y29" s="8">
        <v>7.6</v>
      </c>
      <c r="Z29" s="8">
        <v>7.8</v>
      </c>
      <c r="AA29" s="8">
        <v>8</v>
      </c>
      <c r="AB29" s="8">
        <v>7.9</v>
      </c>
      <c r="AC29" s="8">
        <v>7.7</v>
      </c>
      <c r="AD29" s="8">
        <v>7.9</v>
      </c>
      <c r="AE29" s="8">
        <v>8</v>
      </c>
      <c r="AF29" s="8">
        <v>8.1</v>
      </c>
      <c r="AG29" s="8">
        <v>8.1999999999999993</v>
      </c>
      <c r="AH29" s="8">
        <v>8.4</v>
      </c>
      <c r="AI29" s="8">
        <v>8.4</v>
      </c>
      <c r="AJ29" s="8">
        <v>8.5</v>
      </c>
      <c r="AK29" s="8">
        <v>8.6999999999999993</v>
      </c>
    </row>
    <row r="30" spans="1:37" x14ac:dyDescent="0.3">
      <c r="A30" s="7" t="s">
        <v>149</v>
      </c>
      <c r="B30" s="8">
        <v>0.5</v>
      </c>
      <c r="C30" s="8">
        <v>0.6</v>
      </c>
      <c r="D30" s="8">
        <v>0.6</v>
      </c>
      <c r="E30" s="8">
        <v>0.6</v>
      </c>
      <c r="F30" s="8">
        <v>0.5</v>
      </c>
      <c r="G30" s="8">
        <v>0.6</v>
      </c>
      <c r="H30" s="8">
        <v>0.6</v>
      </c>
      <c r="I30" s="8">
        <v>0.6</v>
      </c>
      <c r="J30" s="8">
        <v>0.7</v>
      </c>
      <c r="K30" s="8">
        <v>0.7</v>
      </c>
      <c r="L30" s="8">
        <v>0.7</v>
      </c>
      <c r="M30" s="8">
        <v>0.7</v>
      </c>
      <c r="N30" s="8">
        <v>0.8</v>
      </c>
      <c r="O30" s="8">
        <v>0.9</v>
      </c>
      <c r="P30" s="8">
        <v>0.9</v>
      </c>
      <c r="Q30" s="8">
        <v>0.9</v>
      </c>
      <c r="R30" s="8">
        <v>0.9</v>
      </c>
      <c r="S30" s="8">
        <v>0.8</v>
      </c>
      <c r="T30" s="8">
        <v>0.8</v>
      </c>
      <c r="U30" s="8">
        <v>0.8</v>
      </c>
      <c r="V30" s="8">
        <v>0.8</v>
      </c>
      <c r="W30" s="8">
        <v>0.8</v>
      </c>
      <c r="X30" s="8">
        <v>0.8</v>
      </c>
      <c r="Y30" s="8">
        <v>0.8</v>
      </c>
      <c r="Z30" s="8">
        <v>1.2</v>
      </c>
      <c r="AA30" s="8">
        <v>0.9</v>
      </c>
      <c r="AB30" s="8">
        <v>1</v>
      </c>
      <c r="AC30" s="8">
        <v>1</v>
      </c>
      <c r="AD30" s="8">
        <v>0.8</v>
      </c>
      <c r="AE30" s="8">
        <v>0.7</v>
      </c>
      <c r="AF30" s="8">
        <v>0.7</v>
      </c>
      <c r="AG30" s="8">
        <v>0.6</v>
      </c>
      <c r="AH30" s="8">
        <v>0.6</v>
      </c>
      <c r="AI30" s="8">
        <v>0.6</v>
      </c>
      <c r="AJ30" s="8">
        <v>0.6</v>
      </c>
      <c r="AK30" s="8">
        <v>0.6</v>
      </c>
    </row>
    <row r="31" spans="1:37" x14ac:dyDescent="0.3">
      <c r="A31" s="7" t="s">
        <v>150</v>
      </c>
      <c r="B31" s="8">
        <v>0.4</v>
      </c>
      <c r="C31" s="8">
        <v>0.3</v>
      </c>
      <c r="D31" s="8">
        <v>0.3</v>
      </c>
      <c r="E31" s="8">
        <v>0.3</v>
      </c>
      <c r="F31" s="8">
        <v>0.2</v>
      </c>
      <c r="G31" s="8">
        <v>0.2</v>
      </c>
      <c r="H31" s="8">
        <v>0.2</v>
      </c>
      <c r="I31" s="8">
        <v>0.2</v>
      </c>
      <c r="J31" s="8">
        <v>0.2</v>
      </c>
      <c r="K31" s="8">
        <v>0.2</v>
      </c>
      <c r="L31" s="8">
        <v>0.2</v>
      </c>
      <c r="M31" s="8">
        <v>0</v>
      </c>
      <c r="N31" s="8">
        <v>0</v>
      </c>
      <c r="O31" s="8">
        <v>0.1</v>
      </c>
      <c r="P31" s="8">
        <v>0</v>
      </c>
      <c r="Q31" s="8">
        <v>0.1</v>
      </c>
      <c r="R31" s="8">
        <v>0.1</v>
      </c>
      <c r="S31" s="8">
        <v>0</v>
      </c>
      <c r="T31" s="8">
        <v>0</v>
      </c>
      <c r="U31" s="8">
        <v>0</v>
      </c>
      <c r="V31" s="8">
        <v>0</v>
      </c>
      <c r="W31" s="8">
        <v>0</v>
      </c>
      <c r="X31" s="8">
        <v>0</v>
      </c>
      <c r="Y31" s="8">
        <v>0</v>
      </c>
      <c r="Z31" s="8">
        <v>0.4</v>
      </c>
      <c r="AA31" s="8">
        <v>0.2</v>
      </c>
      <c r="AB31" s="8">
        <v>0.1</v>
      </c>
      <c r="AC31" s="8">
        <v>0</v>
      </c>
      <c r="AD31" s="8">
        <v>0</v>
      </c>
      <c r="AE31" s="8">
        <v>0</v>
      </c>
      <c r="AF31" s="8">
        <v>0</v>
      </c>
      <c r="AG31" s="8">
        <v>0</v>
      </c>
      <c r="AH31" s="8">
        <v>0</v>
      </c>
      <c r="AI31" s="8">
        <v>0</v>
      </c>
      <c r="AJ31" s="8">
        <v>0</v>
      </c>
      <c r="AK31" s="8">
        <v>0</v>
      </c>
    </row>
    <row r="32" spans="1:37" x14ac:dyDescent="0.3">
      <c r="A32" s="7" t="s">
        <v>200</v>
      </c>
      <c r="B32" s="8">
        <v>0.8</v>
      </c>
      <c r="C32" s="8">
        <v>0.8</v>
      </c>
      <c r="D32" s="8">
        <v>0.9</v>
      </c>
      <c r="E32" s="8">
        <v>0.9</v>
      </c>
      <c r="F32" s="8">
        <v>0.8</v>
      </c>
      <c r="G32" s="8">
        <v>0.8</v>
      </c>
      <c r="H32" s="8">
        <v>0.8</v>
      </c>
      <c r="I32" s="8">
        <v>0.8</v>
      </c>
      <c r="J32" s="8">
        <v>0.9</v>
      </c>
      <c r="K32" s="8">
        <v>0.9</v>
      </c>
      <c r="L32" s="8">
        <v>0.8</v>
      </c>
      <c r="M32" s="8">
        <v>0.8</v>
      </c>
      <c r="N32" s="8">
        <v>0.8</v>
      </c>
      <c r="O32" s="8">
        <v>1</v>
      </c>
      <c r="P32" s="8">
        <v>0.9</v>
      </c>
      <c r="Q32" s="8">
        <v>0.9</v>
      </c>
      <c r="R32" s="8">
        <v>0.9</v>
      </c>
      <c r="S32" s="8">
        <v>1</v>
      </c>
      <c r="T32" s="8">
        <v>0.9</v>
      </c>
      <c r="U32" s="8">
        <v>0.9</v>
      </c>
      <c r="V32" s="8">
        <v>1</v>
      </c>
      <c r="W32" s="8">
        <v>0.7</v>
      </c>
      <c r="X32" s="8">
        <v>0.8</v>
      </c>
      <c r="Y32" s="8">
        <v>0.8</v>
      </c>
      <c r="Z32" s="8">
        <v>1</v>
      </c>
      <c r="AA32" s="8">
        <v>1</v>
      </c>
      <c r="AB32" s="8">
        <v>0.8</v>
      </c>
      <c r="AC32" s="8">
        <v>0.7</v>
      </c>
      <c r="AD32" s="8">
        <v>0.7</v>
      </c>
      <c r="AE32" s="8">
        <v>0.7</v>
      </c>
      <c r="AF32" s="8">
        <v>0.9</v>
      </c>
      <c r="AG32" s="8">
        <v>1</v>
      </c>
      <c r="AH32" s="8">
        <v>1</v>
      </c>
      <c r="AI32" s="8">
        <v>1</v>
      </c>
      <c r="AJ32" s="8">
        <v>0.8</v>
      </c>
      <c r="AK32" s="8">
        <v>0.8</v>
      </c>
    </row>
    <row r="33" spans="1:37" x14ac:dyDescent="0.3">
      <c r="A33" s="7" t="s">
        <v>194</v>
      </c>
      <c r="B33" s="8">
        <v>0.3</v>
      </c>
      <c r="C33" s="8">
        <v>0.3</v>
      </c>
      <c r="D33" s="8">
        <v>0.3</v>
      </c>
      <c r="E33" s="8">
        <v>0.3</v>
      </c>
      <c r="F33" s="8">
        <v>0.3</v>
      </c>
      <c r="G33" s="8">
        <v>0.3</v>
      </c>
      <c r="H33" s="8">
        <v>0.3</v>
      </c>
      <c r="I33" s="8">
        <v>0.3</v>
      </c>
      <c r="J33" s="8">
        <v>0.3</v>
      </c>
      <c r="K33" s="8">
        <v>0.3</v>
      </c>
      <c r="L33" s="8">
        <v>0.3</v>
      </c>
      <c r="M33" s="8">
        <v>0.3</v>
      </c>
      <c r="N33" s="8">
        <v>0.3</v>
      </c>
      <c r="O33" s="8">
        <v>0.3</v>
      </c>
      <c r="P33" s="8">
        <v>0.3</v>
      </c>
      <c r="Q33" s="8">
        <v>0.3</v>
      </c>
      <c r="R33" s="8">
        <v>0.3</v>
      </c>
      <c r="S33" s="8">
        <v>0.3</v>
      </c>
      <c r="T33" s="8">
        <v>0.3</v>
      </c>
      <c r="U33" s="8">
        <v>0.3</v>
      </c>
      <c r="V33" s="8">
        <v>0.3</v>
      </c>
      <c r="W33" s="8">
        <v>0.3</v>
      </c>
      <c r="X33" s="8">
        <v>0.3</v>
      </c>
      <c r="Y33" s="8">
        <v>0.3</v>
      </c>
      <c r="Z33" s="8">
        <v>0.3</v>
      </c>
      <c r="AA33" s="8">
        <v>0.3</v>
      </c>
      <c r="AB33" s="8">
        <v>0.3</v>
      </c>
      <c r="AC33" s="8">
        <v>0.3</v>
      </c>
      <c r="AD33" s="8">
        <v>0.4</v>
      </c>
      <c r="AE33" s="8">
        <v>0.4</v>
      </c>
      <c r="AF33" s="8">
        <v>0.4</v>
      </c>
      <c r="AG33" s="8">
        <v>0.3</v>
      </c>
      <c r="AH33" s="8">
        <v>0.3</v>
      </c>
      <c r="AI33" s="8">
        <v>0.3</v>
      </c>
      <c r="AJ33" s="8">
        <v>0.3</v>
      </c>
      <c r="AK33" s="8">
        <v>0.3</v>
      </c>
    </row>
    <row r="34" spans="1:37" x14ac:dyDescent="0.3">
      <c r="A34" s="14" t="s">
        <v>201</v>
      </c>
      <c r="B34" s="8">
        <v>3.3</v>
      </c>
      <c r="C34" s="8">
        <v>3.6</v>
      </c>
      <c r="D34" s="8">
        <v>3.5</v>
      </c>
      <c r="E34" s="8">
        <v>3.7</v>
      </c>
      <c r="F34" s="8">
        <v>3.7</v>
      </c>
      <c r="G34" s="8">
        <v>3.2</v>
      </c>
      <c r="H34" s="8">
        <v>3</v>
      </c>
      <c r="I34" s="8">
        <v>3.6</v>
      </c>
      <c r="J34" s="8">
        <v>3</v>
      </c>
      <c r="K34" s="8">
        <v>5.6</v>
      </c>
      <c r="L34" s="8">
        <v>3</v>
      </c>
      <c r="M34" s="8">
        <v>3.3</v>
      </c>
      <c r="N34" s="8">
        <v>3.4</v>
      </c>
      <c r="O34" s="8">
        <v>3.8</v>
      </c>
      <c r="P34" s="8">
        <v>3.8</v>
      </c>
      <c r="Q34" s="8">
        <v>4.7</v>
      </c>
      <c r="R34" s="8">
        <v>5.0999999999999996</v>
      </c>
      <c r="S34" s="8">
        <v>4.4000000000000004</v>
      </c>
      <c r="T34" s="8">
        <v>4.2</v>
      </c>
      <c r="U34" s="8">
        <v>3.6</v>
      </c>
      <c r="V34" s="8">
        <v>3.4</v>
      </c>
      <c r="W34" s="8">
        <v>3.3</v>
      </c>
      <c r="X34" s="8">
        <v>3.6</v>
      </c>
      <c r="Y34" s="8">
        <v>3.4</v>
      </c>
      <c r="Z34" s="8">
        <v>3.7</v>
      </c>
      <c r="AA34" s="8">
        <v>3.8</v>
      </c>
      <c r="AB34" s="8">
        <v>3.7</v>
      </c>
      <c r="AC34" s="8">
        <v>3.9</v>
      </c>
      <c r="AD34" s="8">
        <v>4.0999999999999996</v>
      </c>
      <c r="AE34" s="8">
        <v>4.0999999999999996</v>
      </c>
      <c r="AF34" s="8">
        <v>4</v>
      </c>
      <c r="AG34" s="8">
        <v>3.7</v>
      </c>
      <c r="AH34" s="8">
        <v>3.7</v>
      </c>
      <c r="AI34" s="8">
        <v>3.8</v>
      </c>
      <c r="AJ34" s="8">
        <v>3.9</v>
      </c>
      <c r="AK34" s="8">
        <v>3.8</v>
      </c>
    </row>
    <row r="35" spans="1:37" x14ac:dyDescent="0.3">
      <c r="A35" s="7" t="s">
        <v>153</v>
      </c>
      <c r="B35" s="8">
        <v>2.1</v>
      </c>
      <c r="C35" s="8">
        <v>2.1</v>
      </c>
      <c r="D35" s="8">
        <v>2.1</v>
      </c>
      <c r="E35" s="8">
        <v>2.4</v>
      </c>
      <c r="F35" s="8">
        <v>2.4</v>
      </c>
      <c r="G35" s="8">
        <v>2.1</v>
      </c>
      <c r="H35" s="8">
        <v>2.1</v>
      </c>
      <c r="I35" s="8">
        <v>2.1</v>
      </c>
      <c r="J35" s="8">
        <v>2</v>
      </c>
      <c r="K35" s="8">
        <v>2.1</v>
      </c>
      <c r="L35" s="8">
        <v>1.9</v>
      </c>
      <c r="M35" s="8">
        <v>2</v>
      </c>
      <c r="N35" s="8">
        <v>2</v>
      </c>
      <c r="O35" s="8">
        <v>2.2999999999999998</v>
      </c>
      <c r="P35" s="8">
        <v>2.2000000000000002</v>
      </c>
      <c r="Q35" s="8">
        <v>2.4</v>
      </c>
      <c r="R35" s="8">
        <v>2.5</v>
      </c>
      <c r="S35" s="8">
        <v>2.2999999999999998</v>
      </c>
      <c r="T35" s="8">
        <v>2.5</v>
      </c>
      <c r="U35" s="8">
        <v>2.5</v>
      </c>
      <c r="V35" s="8">
        <v>2.4</v>
      </c>
      <c r="W35" s="8">
        <v>2.5</v>
      </c>
      <c r="X35" s="8">
        <v>2.7</v>
      </c>
      <c r="Y35" s="8">
        <v>2.6</v>
      </c>
      <c r="Z35" s="8">
        <v>2.8</v>
      </c>
      <c r="AA35" s="8">
        <v>2.8</v>
      </c>
      <c r="AB35" s="8">
        <v>2.7</v>
      </c>
      <c r="AC35" s="8">
        <v>2.9</v>
      </c>
      <c r="AD35" s="8">
        <v>3.1</v>
      </c>
      <c r="AE35" s="8">
        <v>3.1</v>
      </c>
      <c r="AF35" s="8">
        <v>3.1</v>
      </c>
      <c r="AG35" s="8">
        <v>3</v>
      </c>
      <c r="AH35" s="8">
        <v>3</v>
      </c>
      <c r="AI35" s="8">
        <v>3.1</v>
      </c>
      <c r="AJ35" s="8">
        <v>3.3</v>
      </c>
      <c r="AK35" s="8">
        <v>3.1</v>
      </c>
    </row>
    <row r="36" spans="1:37" x14ac:dyDescent="0.3">
      <c r="A36" s="7" t="s">
        <v>172</v>
      </c>
      <c r="B36" s="8">
        <v>0</v>
      </c>
      <c r="C36" s="8">
        <v>0</v>
      </c>
      <c r="D36" s="8">
        <v>0</v>
      </c>
      <c r="E36" s="8">
        <v>0</v>
      </c>
      <c r="F36" s="8">
        <v>0</v>
      </c>
      <c r="G36" s="8">
        <v>0</v>
      </c>
      <c r="H36" s="8">
        <v>0</v>
      </c>
      <c r="I36" s="8">
        <v>0</v>
      </c>
      <c r="J36" s="8">
        <v>0</v>
      </c>
      <c r="K36" s="8">
        <v>0</v>
      </c>
      <c r="L36" s="8">
        <v>-0.1</v>
      </c>
      <c r="M36" s="8">
        <v>0</v>
      </c>
      <c r="N36" s="8">
        <v>0.1</v>
      </c>
      <c r="O36" s="8">
        <v>0.1</v>
      </c>
      <c r="P36" s="8">
        <v>0.1</v>
      </c>
      <c r="Q36" s="8">
        <v>0.2</v>
      </c>
      <c r="R36" s="8">
        <v>0.2</v>
      </c>
      <c r="S36" s="8">
        <v>0.1</v>
      </c>
      <c r="T36" s="8">
        <v>0</v>
      </c>
      <c r="U36" s="8">
        <v>0</v>
      </c>
      <c r="V36" s="8">
        <v>0</v>
      </c>
      <c r="W36" s="8">
        <v>0</v>
      </c>
      <c r="X36" s="8">
        <v>0</v>
      </c>
      <c r="Y36" s="8">
        <v>0</v>
      </c>
      <c r="Z36" s="8">
        <v>0</v>
      </c>
      <c r="AA36" s="8">
        <v>0</v>
      </c>
      <c r="AB36" s="8">
        <v>0.1</v>
      </c>
      <c r="AC36" s="8">
        <v>0.1</v>
      </c>
      <c r="AD36" s="8">
        <v>0.1</v>
      </c>
      <c r="AE36" s="8">
        <v>0.1</v>
      </c>
      <c r="AF36" s="8">
        <v>0.1</v>
      </c>
      <c r="AG36" s="8">
        <v>0</v>
      </c>
      <c r="AH36" s="8">
        <v>0</v>
      </c>
      <c r="AI36" s="8">
        <v>0</v>
      </c>
      <c r="AJ36" s="8">
        <v>0</v>
      </c>
      <c r="AK36" s="8">
        <v>0</v>
      </c>
    </row>
    <row r="37" spans="1:37" x14ac:dyDescent="0.3">
      <c r="A37" s="7" t="s">
        <v>173</v>
      </c>
      <c r="B37" s="8">
        <v>0.1</v>
      </c>
      <c r="C37" s="8">
        <v>0.1</v>
      </c>
      <c r="D37" s="8">
        <v>0.1</v>
      </c>
      <c r="E37" s="8">
        <v>0.2</v>
      </c>
      <c r="F37" s="8">
        <v>0.1</v>
      </c>
      <c r="G37" s="8">
        <v>0.1</v>
      </c>
      <c r="H37" s="8">
        <v>0.1</v>
      </c>
      <c r="I37" s="8">
        <v>0.1</v>
      </c>
      <c r="J37" s="8">
        <v>0.1</v>
      </c>
      <c r="K37" s="8">
        <v>0.1</v>
      </c>
      <c r="L37" s="8">
        <v>0.1</v>
      </c>
      <c r="M37" s="8">
        <v>0.1</v>
      </c>
      <c r="N37" s="8">
        <v>0.1</v>
      </c>
      <c r="O37" s="8">
        <v>0.2</v>
      </c>
      <c r="P37" s="8">
        <v>0.3</v>
      </c>
      <c r="Q37" s="8">
        <v>0.4</v>
      </c>
      <c r="R37" s="8">
        <v>0.5</v>
      </c>
      <c r="S37" s="8">
        <v>0.4</v>
      </c>
      <c r="T37" s="8">
        <v>0.2</v>
      </c>
      <c r="U37" s="8">
        <v>0.2</v>
      </c>
      <c r="V37" s="8">
        <v>0.1</v>
      </c>
      <c r="W37" s="8">
        <v>0.1</v>
      </c>
      <c r="X37" s="8">
        <v>0.1</v>
      </c>
      <c r="Y37" s="8">
        <v>0.2</v>
      </c>
      <c r="Z37" s="8">
        <v>0.2</v>
      </c>
      <c r="AA37" s="8">
        <v>0.3</v>
      </c>
      <c r="AB37" s="8">
        <v>0.2</v>
      </c>
      <c r="AC37" s="8">
        <v>0.2</v>
      </c>
      <c r="AD37" s="8">
        <v>0.2</v>
      </c>
      <c r="AE37" s="8">
        <v>0.2</v>
      </c>
      <c r="AF37" s="8">
        <v>0.2</v>
      </c>
      <c r="AG37" s="8">
        <v>0.1</v>
      </c>
      <c r="AH37" s="8">
        <v>0.1</v>
      </c>
      <c r="AI37" s="8">
        <v>0.1</v>
      </c>
      <c r="AJ37" s="8">
        <v>0.1</v>
      </c>
      <c r="AK37" s="8">
        <v>0.1</v>
      </c>
    </row>
    <row r="38" spans="1:37" x14ac:dyDescent="0.3">
      <c r="A38" s="7" t="s">
        <v>174</v>
      </c>
      <c r="B38" s="8">
        <v>1</v>
      </c>
      <c r="C38" s="8">
        <v>1.3</v>
      </c>
      <c r="D38" s="8">
        <v>1.2</v>
      </c>
      <c r="E38" s="8">
        <v>1</v>
      </c>
      <c r="F38" s="8">
        <v>1</v>
      </c>
      <c r="G38" s="8">
        <v>0.8</v>
      </c>
      <c r="H38" s="8">
        <v>0.7</v>
      </c>
      <c r="I38" s="8">
        <v>1.3</v>
      </c>
      <c r="J38" s="8">
        <v>0.7</v>
      </c>
      <c r="K38" s="8">
        <v>3.4</v>
      </c>
      <c r="L38" s="8">
        <v>1</v>
      </c>
      <c r="M38" s="8">
        <v>1.1000000000000001</v>
      </c>
      <c r="N38" s="8">
        <v>1</v>
      </c>
      <c r="O38" s="8">
        <v>1</v>
      </c>
      <c r="P38" s="8">
        <v>1.1000000000000001</v>
      </c>
      <c r="Q38" s="8">
        <v>1.5</v>
      </c>
      <c r="R38" s="8">
        <v>1.8</v>
      </c>
      <c r="S38" s="8">
        <v>1.4</v>
      </c>
      <c r="T38" s="8">
        <v>1.2</v>
      </c>
      <c r="U38" s="8">
        <v>0.8</v>
      </c>
      <c r="V38" s="8">
        <v>0.7</v>
      </c>
      <c r="W38" s="8">
        <v>0.6</v>
      </c>
      <c r="X38" s="8">
        <v>0.5</v>
      </c>
      <c r="Y38" s="8">
        <v>0.5</v>
      </c>
      <c r="Z38" s="8">
        <v>0.5</v>
      </c>
      <c r="AA38" s="8">
        <v>0.6</v>
      </c>
      <c r="AB38" s="8">
        <v>0.5</v>
      </c>
      <c r="AC38" s="8">
        <v>0.6</v>
      </c>
      <c r="AD38" s="8">
        <v>0.6</v>
      </c>
      <c r="AE38" s="8">
        <v>0.6</v>
      </c>
      <c r="AF38" s="8">
        <v>0.6</v>
      </c>
      <c r="AG38" s="8">
        <v>0.4</v>
      </c>
      <c r="AH38" s="8">
        <v>0.4</v>
      </c>
      <c r="AI38" s="8">
        <v>0.4</v>
      </c>
      <c r="AJ38" s="8">
        <v>0.4</v>
      </c>
      <c r="AK38" s="8">
        <v>0.4</v>
      </c>
    </row>
    <row r="39" spans="1:37" x14ac:dyDescent="0.3">
      <c r="A39" s="7" t="s">
        <v>187</v>
      </c>
      <c r="B39" s="8">
        <v>0.1</v>
      </c>
      <c r="C39" s="8">
        <v>0.1</v>
      </c>
      <c r="D39" s="8">
        <v>0.1</v>
      </c>
      <c r="E39" s="8">
        <v>0.1</v>
      </c>
      <c r="F39" s="8">
        <v>0.2</v>
      </c>
      <c r="G39" s="8">
        <v>0.1</v>
      </c>
      <c r="H39" s="8">
        <v>0.1</v>
      </c>
      <c r="I39" s="8">
        <v>0.1</v>
      </c>
      <c r="J39" s="8">
        <v>0.1</v>
      </c>
      <c r="K39" s="8">
        <v>0.1</v>
      </c>
      <c r="L39" s="8">
        <v>0.1</v>
      </c>
      <c r="M39" s="8">
        <v>0.1</v>
      </c>
      <c r="N39" s="8">
        <v>0.1</v>
      </c>
      <c r="O39" s="8">
        <v>0.2</v>
      </c>
      <c r="P39" s="8">
        <v>0.1</v>
      </c>
      <c r="Q39" s="8">
        <v>0.2</v>
      </c>
      <c r="R39" s="8">
        <v>0.1</v>
      </c>
      <c r="S39" s="8">
        <v>0.1</v>
      </c>
      <c r="T39" s="8">
        <v>0.2</v>
      </c>
      <c r="U39" s="8">
        <v>0.1</v>
      </c>
      <c r="V39" s="8">
        <v>0.1</v>
      </c>
      <c r="W39" s="8">
        <v>0.1</v>
      </c>
      <c r="X39" s="8">
        <v>0.2</v>
      </c>
      <c r="Y39" s="8">
        <v>0.1</v>
      </c>
      <c r="Z39" s="8">
        <v>0.2</v>
      </c>
      <c r="AA39" s="8">
        <v>0.1</v>
      </c>
      <c r="AB39" s="8">
        <v>0.1</v>
      </c>
      <c r="AC39" s="8">
        <v>0.1</v>
      </c>
      <c r="AD39" s="8">
        <v>0.1</v>
      </c>
      <c r="AE39" s="8">
        <v>0.1</v>
      </c>
      <c r="AF39" s="8">
        <v>0.1</v>
      </c>
      <c r="AG39" s="8">
        <v>0.1</v>
      </c>
      <c r="AH39" s="8">
        <v>0.1</v>
      </c>
      <c r="AI39" s="8">
        <v>0.1</v>
      </c>
      <c r="AJ39" s="8">
        <v>0.1</v>
      </c>
      <c r="AK39" s="8">
        <v>0.1</v>
      </c>
    </row>
    <row r="40" spans="1:37" x14ac:dyDescent="0.3">
      <c r="A40" s="14" t="s">
        <v>159</v>
      </c>
      <c r="B40" s="8">
        <v>8.6</v>
      </c>
      <c r="C40" s="8">
        <v>7.8</v>
      </c>
      <c r="D40" s="8">
        <v>7.5</v>
      </c>
      <c r="E40" s="8">
        <v>6.9</v>
      </c>
      <c r="F40" s="8">
        <v>6.7</v>
      </c>
      <c r="G40" s="8">
        <v>6.6</v>
      </c>
      <c r="H40" s="8">
        <v>5.8</v>
      </c>
      <c r="I40" s="8">
        <v>5.4</v>
      </c>
      <c r="J40" s="8">
        <v>4.9000000000000004</v>
      </c>
      <c r="K40" s="8">
        <v>4.4000000000000004</v>
      </c>
      <c r="L40" s="8">
        <v>4.0999999999999996</v>
      </c>
      <c r="M40" s="8">
        <v>4</v>
      </c>
      <c r="N40" s="8">
        <v>4</v>
      </c>
      <c r="O40" s="8">
        <v>4</v>
      </c>
      <c r="P40" s="8">
        <v>3.6</v>
      </c>
      <c r="Q40" s="8">
        <v>3.6</v>
      </c>
      <c r="R40" s="8">
        <v>3.6</v>
      </c>
      <c r="S40" s="8">
        <v>3.4</v>
      </c>
      <c r="T40" s="8">
        <v>3.3</v>
      </c>
      <c r="U40" s="8">
        <v>3</v>
      </c>
      <c r="V40" s="8">
        <v>2.8</v>
      </c>
      <c r="W40" s="8">
        <v>2.4</v>
      </c>
      <c r="X40" s="8">
        <v>2.2000000000000002</v>
      </c>
      <c r="Y40" s="8">
        <v>2</v>
      </c>
      <c r="Z40" s="8">
        <v>2</v>
      </c>
      <c r="AA40" s="8">
        <v>1.7</v>
      </c>
      <c r="AB40" s="8">
        <v>1.6</v>
      </c>
      <c r="AC40" s="8">
        <v>2</v>
      </c>
      <c r="AD40" s="8">
        <v>2.2000000000000002</v>
      </c>
      <c r="AE40" s="8">
        <v>2.2000000000000002</v>
      </c>
      <c r="AF40" s="8">
        <v>2.5</v>
      </c>
      <c r="AG40" s="8">
        <v>2.8</v>
      </c>
      <c r="AH40" s="8">
        <v>2.9</v>
      </c>
      <c r="AI40" s="8">
        <v>3.1</v>
      </c>
      <c r="AJ40" s="8">
        <v>3.3</v>
      </c>
      <c r="AK40" s="8">
        <v>3.5</v>
      </c>
    </row>
    <row r="41" spans="1:37" x14ac:dyDescent="0.3">
      <c r="A41" s="11" t="s">
        <v>160</v>
      </c>
      <c r="B41" s="19">
        <v>-4</v>
      </c>
      <c r="C41" s="19">
        <v>-2.2000000000000002</v>
      </c>
      <c r="D41" s="19">
        <v>-1</v>
      </c>
      <c r="E41" s="19">
        <v>-0.6</v>
      </c>
      <c r="F41" s="19">
        <v>-0.1</v>
      </c>
      <c r="G41" s="19">
        <v>0.2</v>
      </c>
      <c r="H41" s="19">
        <v>0</v>
      </c>
      <c r="I41" s="19">
        <v>-1.9</v>
      </c>
      <c r="J41" s="19">
        <v>-0.2</v>
      </c>
      <c r="K41" s="19">
        <v>-2.7</v>
      </c>
      <c r="L41" s="19">
        <v>0.2</v>
      </c>
      <c r="M41" s="19">
        <v>0.1</v>
      </c>
      <c r="N41" s="19">
        <v>-1.1000000000000001</v>
      </c>
      <c r="O41" s="19">
        <v>-5.4</v>
      </c>
      <c r="P41" s="19">
        <v>-4.0999999999999996</v>
      </c>
      <c r="Q41" s="19">
        <v>-4.4000000000000004</v>
      </c>
      <c r="R41" s="19">
        <v>-4.3</v>
      </c>
      <c r="S41" s="19">
        <v>-3.2</v>
      </c>
      <c r="T41" s="19">
        <v>-3.2</v>
      </c>
      <c r="U41" s="19">
        <v>-2.5</v>
      </c>
      <c r="V41" s="19">
        <v>-2.4</v>
      </c>
      <c r="W41" s="19">
        <v>-0.8</v>
      </c>
      <c r="X41" s="19">
        <v>-1</v>
      </c>
      <c r="Y41" s="19">
        <v>-2</v>
      </c>
      <c r="Z41" s="19">
        <v>-9</v>
      </c>
      <c r="AA41" s="19">
        <v>-5.4</v>
      </c>
      <c r="AB41" s="19">
        <v>-3.6</v>
      </c>
      <c r="AC41" s="19">
        <v>-4</v>
      </c>
      <c r="AD41" s="19">
        <v>-4.4000000000000004</v>
      </c>
      <c r="AE41" s="19">
        <v>-5.0999999999999996</v>
      </c>
      <c r="AF41" s="19">
        <v>-5.0999999999999996</v>
      </c>
      <c r="AG41" s="19">
        <v>-5.2</v>
      </c>
      <c r="AH41" s="19">
        <v>-5.4</v>
      </c>
      <c r="AI41" s="19">
        <v>-6</v>
      </c>
      <c r="AJ41" s="19">
        <v>-6.2</v>
      </c>
      <c r="AK41" s="19">
        <v>-6.4</v>
      </c>
    </row>
    <row r="42" spans="1:37" x14ac:dyDescent="0.3">
      <c r="A42" s="7" t="s">
        <v>161</v>
      </c>
      <c r="B42" s="8">
        <v>-1</v>
      </c>
      <c r="C42" s="8">
        <v>1</v>
      </c>
      <c r="D42" s="8">
        <v>2.1</v>
      </c>
      <c r="E42" s="8">
        <v>2.5</v>
      </c>
      <c r="F42" s="8">
        <v>3.2</v>
      </c>
      <c r="G42" s="8">
        <v>3.1</v>
      </c>
      <c r="H42" s="8">
        <v>2.6</v>
      </c>
      <c r="I42" s="8">
        <v>1.5</v>
      </c>
      <c r="J42" s="8">
        <v>2.2000000000000002</v>
      </c>
      <c r="K42" s="8">
        <v>2.2999999999999998</v>
      </c>
      <c r="L42" s="8">
        <v>2.6</v>
      </c>
      <c r="M42" s="8">
        <v>2.8</v>
      </c>
      <c r="N42" s="8">
        <v>1.8</v>
      </c>
      <c r="O42" s="8">
        <v>-2</v>
      </c>
      <c r="P42" s="8">
        <v>-0.9</v>
      </c>
      <c r="Q42" s="8">
        <v>-0.4</v>
      </c>
      <c r="R42" s="8">
        <v>-0.1</v>
      </c>
      <c r="S42" s="8">
        <v>0.2</v>
      </c>
      <c r="T42" s="8">
        <v>0.1</v>
      </c>
      <c r="U42" s="8">
        <v>0.3</v>
      </c>
      <c r="V42" s="8">
        <v>0.1</v>
      </c>
      <c r="W42" s="8">
        <v>1.7</v>
      </c>
      <c r="X42" s="8">
        <v>1.7</v>
      </c>
      <c r="Y42" s="8">
        <v>0.7</v>
      </c>
      <c r="Z42" s="8">
        <v>-6</v>
      </c>
      <c r="AA42" s="8">
        <v>-2.4</v>
      </c>
      <c r="AB42" s="8">
        <v>-0.8</v>
      </c>
      <c r="AC42" s="8">
        <v>-0.9</v>
      </c>
      <c r="AD42" s="8">
        <v>-1</v>
      </c>
      <c r="AE42" s="8">
        <v>-1.7</v>
      </c>
      <c r="AF42" s="8">
        <v>-1.9</v>
      </c>
      <c r="AG42" s="8">
        <v>-2.2000000000000002</v>
      </c>
      <c r="AH42" s="8">
        <v>-2.2999999999999998</v>
      </c>
      <c r="AI42" s="8">
        <v>-2.8</v>
      </c>
      <c r="AJ42" s="8">
        <v>-2.8</v>
      </c>
      <c r="AK42" s="8">
        <v>-3.2</v>
      </c>
    </row>
    <row r="43" spans="1:37" x14ac:dyDescent="0.3">
      <c r="A43" s="11" t="s">
        <v>162</v>
      </c>
      <c r="B43" s="19">
        <v>4.5999999999999996</v>
      </c>
      <c r="C43" s="19">
        <v>5.7</v>
      </c>
      <c r="D43" s="19">
        <v>6.4</v>
      </c>
      <c r="E43" s="19">
        <v>6.3</v>
      </c>
      <c r="F43" s="19">
        <v>6.6</v>
      </c>
      <c r="G43" s="19">
        <v>6.8</v>
      </c>
      <c r="H43" s="19">
        <v>5.8</v>
      </c>
      <c r="I43" s="19">
        <v>3.6</v>
      </c>
      <c r="J43" s="19">
        <v>4.5999999999999996</v>
      </c>
      <c r="K43" s="19">
        <v>1.7</v>
      </c>
      <c r="L43" s="19">
        <v>4.4000000000000004</v>
      </c>
      <c r="M43" s="19">
        <v>4.0999999999999996</v>
      </c>
      <c r="N43" s="19">
        <v>2.9</v>
      </c>
      <c r="O43" s="19">
        <v>-1.5</v>
      </c>
      <c r="P43" s="19">
        <v>-0.5</v>
      </c>
      <c r="Q43" s="19">
        <v>-0.9</v>
      </c>
      <c r="R43" s="19">
        <v>-0.8</v>
      </c>
      <c r="S43" s="19">
        <v>0.2</v>
      </c>
      <c r="T43" s="19">
        <v>0.1</v>
      </c>
      <c r="U43" s="19">
        <v>0.5</v>
      </c>
      <c r="V43" s="19">
        <v>0.3</v>
      </c>
      <c r="W43" s="19">
        <v>1.6</v>
      </c>
      <c r="X43" s="19">
        <v>1.1000000000000001</v>
      </c>
      <c r="Y43" s="19">
        <v>0</v>
      </c>
      <c r="Z43" s="19">
        <v>-7.1</v>
      </c>
      <c r="AA43" s="19">
        <v>-3.7</v>
      </c>
      <c r="AB43" s="19">
        <v>-2</v>
      </c>
      <c r="AC43" s="19">
        <v>-2.1</v>
      </c>
      <c r="AD43" s="19">
        <v>-2.1</v>
      </c>
      <c r="AE43" s="19">
        <v>-2.9</v>
      </c>
      <c r="AF43" s="19">
        <v>-2.6</v>
      </c>
      <c r="AG43" s="19">
        <v>-2.4</v>
      </c>
      <c r="AH43" s="19">
        <v>-2.5</v>
      </c>
      <c r="AI43" s="19">
        <v>-2.9</v>
      </c>
      <c r="AJ43" s="19">
        <v>-2.9</v>
      </c>
      <c r="AK43" s="19">
        <v>-2.9</v>
      </c>
    </row>
    <row r="44" spans="1:37" x14ac:dyDescent="0.3">
      <c r="A44" s="3" t="s">
        <v>163</v>
      </c>
      <c r="B44" s="8">
        <v>21.7</v>
      </c>
      <c r="C44" s="8">
        <v>21.2</v>
      </c>
      <c r="D44" s="8">
        <v>21.1</v>
      </c>
      <c r="E44" s="8">
        <v>21.3</v>
      </c>
      <c r="F44" s="8">
        <v>21</v>
      </c>
      <c r="G44" s="8">
        <v>21.3</v>
      </c>
      <c r="H44" s="8">
        <v>22.1</v>
      </c>
      <c r="I44" s="8">
        <v>22.5</v>
      </c>
      <c r="J44" s="8">
        <v>22.2</v>
      </c>
      <c r="K44" s="8">
        <v>22.1</v>
      </c>
      <c r="L44" s="8">
        <v>21.9</v>
      </c>
      <c r="M44" s="8">
        <v>21.6</v>
      </c>
      <c r="N44" s="8">
        <v>22.7</v>
      </c>
      <c r="O44" s="8">
        <v>24.1</v>
      </c>
      <c r="P44" s="8">
        <v>23.7</v>
      </c>
      <c r="Q44" s="8">
        <v>23.9</v>
      </c>
      <c r="R44" s="8">
        <v>24.2</v>
      </c>
      <c r="S44" s="8">
        <v>24.2</v>
      </c>
      <c r="T44" s="8">
        <v>24.1</v>
      </c>
      <c r="U44" s="8">
        <v>23.7</v>
      </c>
      <c r="V44" s="8">
        <v>23.3</v>
      </c>
      <c r="W44" s="8">
        <v>23.1</v>
      </c>
      <c r="X44" s="8">
        <v>23.2</v>
      </c>
      <c r="Y44" s="8">
        <v>23</v>
      </c>
      <c r="Z44" s="8">
        <v>24.2</v>
      </c>
      <c r="AA44" s="8">
        <v>23.8</v>
      </c>
      <c r="AB44" s="8">
        <v>23.4</v>
      </c>
      <c r="AC44" s="8">
        <v>23.4</v>
      </c>
      <c r="AD44" s="8">
        <v>23.8</v>
      </c>
      <c r="AE44" s="8">
        <v>24</v>
      </c>
      <c r="AF44" s="8">
        <v>24.1</v>
      </c>
      <c r="AG44" s="8">
        <v>24.1</v>
      </c>
      <c r="AH44" s="8">
        <v>24</v>
      </c>
      <c r="AI44" s="8">
        <v>24</v>
      </c>
      <c r="AJ44" s="8">
        <v>23.7</v>
      </c>
      <c r="AK44" s="8">
        <v>23.7</v>
      </c>
    </row>
    <row r="45" spans="1:37" x14ac:dyDescent="0.3">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row>
  </sheetData>
  <mergeCells count="1">
    <mergeCell ref="A1:AK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1DB73-2F8D-45E6-BAD1-23C7600A186F}">
  <dimension ref="A1:AK52"/>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13" width="6" style="1" bestFit="1" customWidth="1"/>
    <col min="14" max="37" width="7" style="1" bestFit="1" customWidth="1"/>
    <col min="38" max="16384" width="9.109375" style="1"/>
  </cols>
  <sheetData>
    <row r="1" spans="1:37" ht="15" customHeight="1" x14ac:dyDescent="0.3">
      <c r="A1" s="28" t="s">
        <v>188</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 t="s">
        <v>78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121</v>
      </c>
      <c r="B4" s="12">
        <v>60141</v>
      </c>
      <c r="C4" s="12">
        <v>63704</v>
      </c>
      <c r="D4" s="12">
        <v>66976</v>
      </c>
      <c r="E4" s="12">
        <v>68947</v>
      </c>
      <c r="F4" s="12">
        <v>74016</v>
      </c>
      <c r="G4" s="12">
        <v>75950</v>
      </c>
      <c r="H4" s="12">
        <v>74877</v>
      </c>
      <c r="I4" s="12">
        <v>75163</v>
      </c>
      <c r="J4" s="12">
        <v>79934</v>
      </c>
      <c r="K4" s="12">
        <v>84069</v>
      </c>
      <c r="L4" s="12">
        <v>87464</v>
      </c>
      <c r="M4" s="12">
        <v>90697</v>
      </c>
      <c r="N4" s="12">
        <v>94941</v>
      </c>
      <c r="O4" s="12">
        <v>88644</v>
      </c>
      <c r="P4" s="12">
        <v>96072</v>
      </c>
      <c r="Q4" s="12">
        <v>101763</v>
      </c>
      <c r="R4" s="12">
        <v>108044</v>
      </c>
      <c r="S4" s="12">
        <v>111543</v>
      </c>
      <c r="T4" s="12">
        <v>114536</v>
      </c>
      <c r="U4" s="12">
        <v>109664</v>
      </c>
      <c r="V4" s="12">
        <v>107075</v>
      </c>
      <c r="W4" s="12">
        <v>113320</v>
      </c>
      <c r="X4" s="12">
        <v>121184</v>
      </c>
      <c r="Y4" s="12">
        <v>117530</v>
      </c>
      <c r="Z4" s="12">
        <v>109505</v>
      </c>
      <c r="AA4" s="12">
        <v>126269</v>
      </c>
      <c r="AB4" s="12">
        <v>138716</v>
      </c>
      <c r="AC4" s="12">
        <v>147674</v>
      </c>
      <c r="AD4" s="12">
        <v>155320</v>
      </c>
      <c r="AE4" s="12">
        <v>157702</v>
      </c>
      <c r="AF4" s="12">
        <v>165219</v>
      </c>
      <c r="AG4" s="12">
        <v>169734</v>
      </c>
      <c r="AH4" s="12">
        <v>173647</v>
      </c>
      <c r="AI4" s="12">
        <v>175651</v>
      </c>
      <c r="AJ4" s="12">
        <v>179573</v>
      </c>
      <c r="AK4" s="12">
        <v>183704</v>
      </c>
    </row>
    <row r="5" spans="1:37" x14ac:dyDescent="0.3">
      <c r="A5" s="14" t="s">
        <v>122</v>
      </c>
      <c r="B5" s="3">
        <v>56110</v>
      </c>
      <c r="C5" s="3">
        <v>59356</v>
      </c>
      <c r="D5" s="3">
        <v>62904</v>
      </c>
      <c r="E5" s="3">
        <v>65170</v>
      </c>
      <c r="F5" s="3">
        <v>69630</v>
      </c>
      <c r="G5" s="3">
        <v>70432</v>
      </c>
      <c r="H5" s="3">
        <v>69783</v>
      </c>
      <c r="I5" s="3">
        <v>70351</v>
      </c>
      <c r="J5" s="3">
        <v>75346</v>
      </c>
      <c r="K5" s="3">
        <v>78579</v>
      </c>
      <c r="L5" s="3">
        <v>81794</v>
      </c>
      <c r="M5" s="3">
        <v>85006</v>
      </c>
      <c r="N5" s="3">
        <v>88557</v>
      </c>
      <c r="O5" s="3">
        <v>82200</v>
      </c>
      <c r="P5" s="3">
        <v>88662</v>
      </c>
      <c r="Q5" s="3">
        <v>93456</v>
      </c>
      <c r="R5" s="3">
        <v>99252</v>
      </c>
      <c r="S5" s="3">
        <v>102285</v>
      </c>
      <c r="T5" s="3">
        <v>104706</v>
      </c>
      <c r="U5" s="3">
        <v>100819</v>
      </c>
      <c r="V5" s="3">
        <v>95156</v>
      </c>
      <c r="W5" s="3">
        <v>101188</v>
      </c>
      <c r="X5" s="3">
        <v>107040</v>
      </c>
      <c r="Y5" s="3">
        <v>104495</v>
      </c>
      <c r="Z5" s="3">
        <v>97580</v>
      </c>
      <c r="AA5" s="3">
        <v>113313</v>
      </c>
      <c r="AB5" s="3">
        <v>123973</v>
      </c>
      <c r="AC5" s="3">
        <v>131792</v>
      </c>
      <c r="AD5" s="3">
        <v>138349</v>
      </c>
      <c r="AE5" s="3">
        <v>139391</v>
      </c>
      <c r="AF5" s="3">
        <v>146501</v>
      </c>
      <c r="AG5" s="3">
        <v>151150</v>
      </c>
      <c r="AH5" s="3">
        <v>154735</v>
      </c>
      <c r="AI5" s="3">
        <v>156626</v>
      </c>
      <c r="AJ5" s="3">
        <v>160354</v>
      </c>
      <c r="AK5" s="3">
        <v>164231</v>
      </c>
    </row>
    <row r="6" spans="1:37" x14ac:dyDescent="0.3">
      <c r="A6" s="7" t="s">
        <v>123</v>
      </c>
      <c r="B6" s="3">
        <v>54928</v>
      </c>
      <c r="C6" s="3">
        <v>58100</v>
      </c>
      <c r="D6" s="3">
        <v>61649</v>
      </c>
      <c r="E6" s="3">
        <v>63897</v>
      </c>
      <c r="F6" s="3">
        <v>68309</v>
      </c>
      <c r="G6" s="3">
        <v>69108</v>
      </c>
      <c r="H6" s="3">
        <v>68394</v>
      </c>
      <c r="I6" s="3">
        <v>68582</v>
      </c>
      <c r="J6" s="3">
        <v>73521</v>
      </c>
      <c r="K6" s="3">
        <v>76675</v>
      </c>
      <c r="L6" s="3">
        <v>79822</v>
      </c>
      <c r="M6" s="3">
        <v>82751</v>
      </c>
      <c r="N6" s="3">
        <v>86263</v>
      </c>
      <c r="O6" s="3">
        <v>79798</v>
      </c>
      <c r="P6" s="3">
        <v>86193</v>
      </c>
      <c r="Q6" s="3">
        <v>90989</v>
      </c>
      <c r="R6" s="3">
        <v>96899</v>
      </c>
      <c r="S6" s="3">
        <v>99949</v>
      </c>
      <c r="T6" s="3">
        <v>102379</v>
      </c>
      <c r="U6" s="3">
        <v>98483</v>
      </c>
      <c r="V6" s="3">
        <v>95083</v>
      </c>
      <c r="W6" s="3">
        <v>101118</v>
      </c>
      <c r="X6" s="3">
        <v>106972</v>
      </c>
      <c r="Y6" s="3">
        <v>104431</v>
      </c>
      <c r="Z6" s="3">
        <v>97519</v>
      </c>
      <c r="AA6" s="3">
        <v>113252</v>
      </c>
      <c r="AB6" s="3">
        <v>123915</v>
      </c>
      <c r="AC6" s="3">
        <v>131731</v>
      </c>
      <c r="AD6" s="3">
        <v>138285</v>
      </c>
      <c r="AE6" s="3">
        <v>139328</v>
      </c>
      <c r="AF6" s="3">
        <v>146437</v>
      </c>
      <c r="AG6" s="3">
        <v>151083</v>
      </c>
      <c r="AH6" s="3">
        <v>154667</v>
      </c>
      <c r="AI6" s="3">
        <v>156555</v>
      </c>
      <c r="AJ6" s="3">
        <v>160281</v>
      </c>
      <c r="AK6" s="3">
        <v>164157</v>
      </c>
    </row>
    <row r="7" spans="1:37" x14ac:dyDescent="0.3">
      <c r="A7" s="16" t="s">
        <v>124</v>
      </c>
      <c r="B7" s="3">
        <v>32134</v>
      </c>
      <c r="C7" s="3">
        <v>34366</v>
      </c>
      <c r="D7" s="3">
        <v>37013</v>
      </c>
      <c r="E7" s="3">
        <v>37380</v>
      </c>
      <c r="F7" s="3">
        <v>40454</v>
      </c>
      <c r="G7" s="3">
        <v>41623</v>
      </c>
      <c r="H7" s="3">
        <v>41756</v>
      </c>
      <c r="I7" s="3">
        <v>41358</v>
      </c>
      <c r="J7" s="3">
        <v>43830</v>
      </c>
      <c r="K7" s="3">
        <v>46067</v>
      </c>
      <c r="L7" s="3">
        <v>47755</v>
      </c>
      <c r="M7" s="3">
        <v>49120</v>
      </c>
      <c r="N7" s="3">
        <v>52222</v>
      </c>
      <c r="O7" s="3">
        <v>46145</v>
      </c>
      <c r="P7" s="3">
        <v>49967</v>
      </c>
      <c r="Q7" s="3">
        <v>53715</v>
      </c>
      <c r="R7" s="3">
        <v>56852</v>
      </c>
      <c r="S7" s="3">
        <v>59842</v>
      </c>
      <c r="T7" s="3">
        <v>61648</v>
      </c>
      <c r="U7" s="3">
        <v>57524</v>
      </c>
      <c r="V7" s="3">
        <v>52451</v>
      </c>
      <c r="W7" s="3">
        <v>57224</v>
      </c>
      <c r="X7" s="3">
        <v>61039</v>
      </c>
      <c r="Y7" s="3">
        <v>57817</v>
      </c>
      <c r="Z7" s="3">
        <v>54376</v>
      </c>
      <c r="AA7" s="3">
        <v>63693</v>
      </c>
      <c r="AB7" s="3">
        <v>72784</v>
      </c>
      <c r="AC7" s="3">
        <v>76501</v>
      </c>
      <c r="AD7" s="3">
        <v>83719</v>
      </c>
      <c r="AE7" s="3">
        <v>83312</v>
      </c>
      <c r="AF7" s="3">
        <v>88286</v>
      </c>
      <c r="AG7" s="3">
        <v>91142</v>
      </c>
      <c r="AH7" s="3">
        <v>93320</v>
      </c>
      <c r="AI7" s="3">
        <v>93558</v>
      </c>
      <c r="AJ7" s="3">
        <v>95592</v>
      </c>
      <c r="AK7" s="3">
        <v>98186</v>
      </c>
    </row>
    <row r="8" spans="1:37" x14ac:dyDescent="0.3">
      <c r="A8" s="13" t="s">
        <v>125</v>
      </c>
      <c r="B8" s="3">
        <v>26113</v>
      </c>
      <c r="C8" s="3">
        <v>27699</v>
      </c>
      <c r="D8" s="3">
        <v>28820</v>
      </c>
      <c r="E8" s="3">
        <v>29156</v>
      </c>
      <c r="F8" s="3">
        <v>31709</v>
      </c>
      <c r="G8" s="3">
        <v>32814</v>
      </c>
      <c r="H8" s="3">
        <v>32842</v>
      </c>
      <c r="I8" s="3">
        <v>32630</v>
      </c>
      <c r="J8" s="3">
        <v>34072</v>
      </c>
      <c r="K8" s="3">
        <v>35490</v>
      </c>
      <c r="L8" s="3">
        <v>35558</v>
      </c>
      <c r="M8" s="3">
        <v>36497</v>
      </c>
      <c r="N8" s="3">
        <v>39842</v>
      </c>
      <c r="O8" s="3">
        <v>37198</v>
      </c>
      <c r="P8" s="3">
        <v>39855</v>
      </c>
      <c r="Q8" s="3">
        <v>42199</v>
      </c>
      <c r="R8" s="3">
        <v>44339</v>
      </c>
      <c r="S8" s="3">
        <v>46733</v>
      </c>
      <c r="T8" s="3">
        <v>48014</v>
      </c>
      <c r="U8" s="3">
        <v>42869</v>
      </c>
      <c r="V8" s="3">
        <v>36597</v>
      </c>
      <c r="W8" s="3">
        <v>38061</v>
      </c>
      <c r="X8" s="3">
        <v>40075</v>
      </c>
      <c r="Y8" s="3">
        <v>38855</v>
      </c>
      <c r="Z8" s="3">
        <v>38051</v>
      </c>
      <c r="AA8" s="3">
        <v>43194</v>
      </c>
      <c r="AB8" s="3">
        <v>49628</v>
      </c>
      <c r="AC8" s="3">
        <v>51811</v>
      </c>
      <c r="AD8" s="3">
        <v>55213</v>
      </c>
      <c r="AE8" s="3">
        <v>55517</v>
      </c>
      <c r="AF8" s="3">
        <v>58564</v>
      </c>
      <c r="AG8" s="3">
        <v>60527</v>
      </c>
      <c r="AH8" s="3">
        <v>62080</v>
      </c>
      <c r="AI8" s="3">
        <v>61628</v>
      </c>
      <c r="AJ8" s="3">
        <v>63216</v>
      </c>
      <c r="AK8" s="3">
        <v>65408</v>
      </c>
    </row>
    <row r="9" spans="1:37" x14ac:dyDescent="0.3">
      <c r="A9" s="13" t="s">
        <v>126</v>
      </c>
      <c r="B9" s="3">
        <v>5626</v>
      </c>
      <c r="C9" s="3">
        <v>6238</v>
      </c>
      <c r="D9" s="3">
        <v>7733</v>
      </c>
      <c r="E9" s="3">
        <v>7670</v>
      </c>
      <c r="F9" s="3">
        <v>8065</v>
      </c>
      <c r="G9" s="3">
        <v>8124</v>
      </c>
      <c r="H9" s="3">
        <v>8140</v>
      </c>
      <c r="I9" s="3">
        <v>7909</v>
      </c>
      <c r="J9" s="3">
        <v>8986</v>
      </c>
      <c r="K9" s="3">
        <v>9811</v>
      </c>
      <c r="L9" s="3">
        <v>11431</v>
      </c>
      <c r="M9" s="3">
        <v>11732</v>
      </c>
      <c r="N9" s="3">
        <v>11593</v>
      </c>
      <c r="O9" s="3">
        <v>8108</v>
      </c>
      <c r="P9" s="3">
        <v>9249</v>
      </c>
      <c r="Q9" s="3">
        <v>10676</v>
      </c>
      <c r="R9" s="3">
        <v>11624</v>
      </c>
      <c r="S9" s="3">
        <v>12192</v>
      </c>
      <c r="T9" s="3">
        <v>12582</v>
      </c>
      <c r="U9" s="3">
        <v>13644</v>
      </c>
      <c r="V9" s="3">
        <v>14757</v>
      </c>
      <c r="W9" s="3">
        <v>18095</v>
      </c>
      <c r="X9" s="3">
        <v>19788</v>
      </c>
      <c r="Y9" s="3">
        <v>17728</v>
      </c>
      <c r="Z9" s="3">
        <v>15001</v>
      </c>
      <c r="AA9" s="3">
        <v>19145</v>
      </c>
      <c r="AB9" s="3">
        <v>21818</v>
      </c>
      <c r="AC9" s="3">
        <v>23393</v>
      </c>
      <c r="AD9" s="3">
        <v>27181</v>
      </c>
      <c r="AE9" s="3">
        <v>26466</v>
      </c>
      <c r="AF9" s="3">
        <v>28354</v>
      </c>
      <c r="AG9" s="3">
        <v>29197</v>
      </c>
      <c r="AH9" s="3">
        <v>29775</v>
      </c>
      <c r="AI9" s="3">
        <v>30416</v>
      </c>
      <c r="AJ9" s="3">
        <v>30816</v>
      </c>
      <c r="AK9" s="3">
        <v>31171</v>
      </c>
    </row>
    <row r="10" spans="1:37" x14ac:dyDescent="0.3">
      <c r="A10" s="13" t="s">
        <v>189</v>
      </c>
      <c r="B10" s="3">
        <v>396</v>
      </c>
      <c r="C10" s="3">
        <v>428</v>
      </c>
      <c r="D10" s="3">
        <v>460</v>
      </c>
      <c r="E10" s="3">
        <v>554</v>
      </c>
      <c r="F10" s="3">
        <v>680</v>
      </c>
      <c r="G10" s="3">
        <v>685</v>
      </c>
      <c r="H10" s="3">
        <v>774</v>
      </c>
      <c r="I10" s="3">
        <v>820</v>
      </c>
      <c r="J10" s="3">
        <v>772</v>
      </c>
      <c r="K10" s="3">
        <v>766</v>
      </c>
      <c r="L10" s="3">
        <v>766</v>
      </c>
      <c r="M10" s="3">
        <v>891</v>
      </c>
      <c r="N10" s="3">
        <v>787</v>
      </c>
      <c r="O10" s="3">
        <v>839</v>
      </c>
      <c r="P10" s="3">
        <v>863</v>
      </c>
      <c r="Q10" s="3">
        <v>840</v>
      </c>
      <c r="R10" s="3">
        <v>889</v>
      </c>
      <c r="S10" s="3">
        <v>917</v>
      </c>
      <c r="T10" s="3">
        <v>1052</v>
      </c>
      <c r="U10" s="3">
        <v>1012</v>
      </c>
      <c r="V10" s="3">
        <v>1097</v>
      </c>
      <c r="W10" s="3">
        <v>1069</v>
      </c>
      <c r="X10" s="3">
        <v>1176</v>
      </c>
      <c r="Y10" s="3">
        <v>1235</v>
      </c>
      <c r="Z10" s="3">
        <v>1323</v>
      </c>
      <c r="AA10" s="3">
        <v>1353</v>
      </c>
      <c r="AB10" s="3">
        <v>1338</v>
      </c>
      <c r="AC10" s="3">
        <v>1297</v>
      </c>
      <c r="AD10" s="3">
        <v>1325</v>
      </c>
      <c r="AE10" s="3">
        <v>1329</v>
      </c>
      <c r="AF10" s="3">
        <v>1368</v>
      </c>
      <c r="AG10" s="3">
        <v>1418</v>
      </c>
      <c r="AH10" s="3">
        <v>1466</v>
      </c>
      <c r="AI10" s="3">
        <v>1513</v>
      </c>
      <c r="AJ10" s="3">
        <v>1560</v>
      </c>
      <c r="AK10" s="3">
        <v>1606</v>
      </c>
    </row>
    <row r="11" spans="1:37" x14ac:dyDescent="0.3">
      <c r="A11" s="16" t="s">
        <v>127</v>
      </c>
      <c r="B11" s="3">
        <v>22700</v>
      </c>
      <c r="C11" s="3">
        <v>23631</v>
      </c>
      <c r="D11" s="3">
        <v>24524</v>
      </c>
      <c r="E11" s="3">
        <v>26388</v>
      </c>
      <c r="F11" s="3">
        <v>27722</v>
      </c>
      <c r="G11" s="3">
        <v>27352</v>
      </c>
      <c r="H11" s="3">
        <v>26554</v>
      </c>
      <c r="I11" s="3">
        <v>27126</v>
      </c>
      <c r="J11" s="3">
        <v>29077</v>
      </c>
      <c r="K11" s="3">
        <v>30484</v>
      </c>
      <c r="L11" s="3">
        <v>31863</v>
      </c>
      <c r="M11" s="3">
        <v>33467</v>
      </c>
      <c r="N11" s="3">
        <v>33870</v>
      </c>
      <c r="O11" s="3">
        <v>33469</v>
      </c>
      <c r="P11" s="3">
        <v>35926</v>
      </c>
      <c r="Q11" s="3">
        <v>36965</v>
      </c>
      <c r="R11" s="3">
        <v>39468</v>
      </c>
      <c r="S11" s="3">
        <v>39469</v>
      </c>
      <c r="T11" s="3">
        <v>39926</v>
      </c>
      <c r="U11" s="3">
        <v>40395</v>
      </c>
      <c r="V11" s="3">
        <v>42217</v>
      </c>
      <c r="W11" s="3">
        <v>43408</v>
      </c>
      <c r="X11" s="3">
        <v>45411</v>
      </c>
      <c r="Y11" s="3">
        <v>46178</v>
      </c>
      <c r="Z11" s="3">
        <v>42842</v>
      </c>
      <c r="AA11" s="3">
        <v>49171</v>
      </c>
      <c r="AB11" s="3">
        <v>50811</v>
      </c>
      <c r="AC11" s="3">
        <v>54880</v>
      </c>
      <c r="AD11" s="3">
        <v>54109</v>
      </c>
      <c r="AE11" s="3">
        <v>55766</v>
      </c>
      <c r="AF11" s="3">
        <v>57244</v>
      </c>
      <c r="AG11" s="3">
        <v>59442</v>
      </c>
      <c r="AH11" s="3">
        <v>60830</v>
      </c>
      <c r="AI11" s="3">
        <v>62464</v>
      </c>
      <c r="AJ11" s="3">
        <v>64139</v>
      </c>
      <c r="AK11" s="3">
        <v>65405</v>
      </c>
    </row>
    <row r="12" spans="1:37" x14ac:dyDescent="0.3">
      <c r="A12" s="16" t="s">
        <v>184</v>
      </c>
      <c r="B12" s="3">
        <v>93</v>
      </c>
      <c r="C12" s="3">
        <v>103</v>
      </c>
      <c r="D12" s="3">
        <v>112</v>
      </c>
      <c r="E12" s="3">
        <v>129</v>
      </c>
      <c r="F12" s="3">
        <v>133</v>
      </c>
      <c r="G12" s="3">
        <v>134</v>
      </c>
      <c r="H12" s="3">
        <v>84</v>
      </c>
      <c r="I12" s="3">
        <v>98</v>
      </c>
      <c r="J12" s="3">
        <v>614</v>
      </c>
      <c r="K12" s="3">
        <v>123</v>
      </c>
      <c r="L12" s="3">
        <v>204</v>
      </c>
      <c r="M12" s="3">
        <v>163</v>
      </c>
      <c r="N12" s="3">
        <v>172</v>
      </c>
      <c r="O12" s="3">
        <v>185</v>
      </c>
      <c r="P12" s="3">
        <v>300</v>
      </c>
      <c r="Q12" s="3">
        <v>308</v>
      </c>
      <c r="R12" s="3">
        <v>579</v>
      </c>
      <c r="S12" s="3">
        <v>638</v>
      </c>
      <c r="T12" s="3">
        <v>804</v>
      </c>
      <c r="U12" s="3">
        <v>563</v>
      </c>
      <c r="V12" s="3">
        <v>415</v>
      </c>
      <c r="W12" s="3">
        <v>486</v>
      </c>
      <c r="X12" s="3">
        <v>522</v>
      </c>
      <c r="Y12" s="3">
        <v>435</v>
      </c>
      <c r="Z12" s="3">
        <v>301</v>
      </c>
      <c r="AA12" s="3">
        <v>389</v>
      </c>
      <c r="AB12" s="3">
        <v>320</v>
      </c>
      <c r="AC12" s="3">
        <v>350</v>
      </c>
      <c r="AD12" s="3">
        <v>458</v>
      </c>
      <c r="AE12" s="3">
        <v>249</v>
      </c>
      <c r="AF12" s="3">
        <v>906</v>
      </c>
      <c r="AG12" s="3">
        <v>499</v>
      </c>
      <c r="AH12" s="3">
        <v>516</v>
      </c>
      <c r="AI12" s="3">
        <v>533</v>
      </c>
      <c r="AJ12" s="3">
        <v>550</v>
      </c>
      <c r="AK12" s="3">
        <v>566</v>
      </c>
    </row>
    <row r="13" spans="1:37" x14ac:dyDescent="0.3">
      <c r="A13" s="7" t="s">
        <v>128</v>
      </c>
      <c r="B13" s="3">
        <v>1183</v>
      </c>
      <c r="C13" s="3">
        <v>1256</v>
      </c>
      <c r="D13" s="3">
        <v>1254</v>
      </c>
      <c r="E13" s="3">
        <v>1272</v>
      </c>
      <c r="F13" s="3">
        <v>1321</v>
      </c>
      <c r="G13" s="3">
        <v>1324</v>
      </c>
      <c r="H13" s="3">
        <v>1389</v>
      </c>
      <c r="I13" s="3">
        <v>1769</v>
      </c>
      <c r="J13" s="3">
        <v>1826</v>
      </c>
      <c r="K13" s="3">
        <v>1904</v>
      </c>
      <c r="L13" s="3">
        <v>1972</v>
      </c>
      <c r="M13" s="3">
        <v>2256</v>
      </c>
      <c r="N13" s="3">
        <v>2294</v>
      </c>
      <c r="O13" s="3">
        <v>2402</v>
      </c>
      <c r="P13" s="3">
        <v>2468</v>
      </c>
      <c r="Q13" s="3">
        <v>2467</v>
      </c>
      <c r="R13" s="3">
        <v>2353</v>
      </c>
      <c r="S13" s="3">
        <v>2336</v>
      </c>
      <c r="T13" s="3">
        <v>2327</v>
      </c>
      <c r="U13" s="3">
        <v>2336</v>
      </c>
      <c r="V13" s="3">
        <v>72</v>
      </c>
      <c r="W13" s="3">
        <v>69</v>
      </c>
      <c r="X13" s="3">
        <v>68</v>
      </c>
      <c r="Y13" s="3">
        <v>65</v>
      </c>
      <c r="Z13" s="3">
        <v>62</v>
      </c>
      <c r="AA13" s="3">
        <v>60</v>
      </c>
      <c r="AB13" s="3">
        <v>58</v>
      </c>
      <c r="AC13" s="3">
        <v>62</v>
      </c>
      <c r="AD13" s="3">
        <v>63</v>
      </c>
      <c r="AE13" s="3">
        <v>63</v>
      </c>
      <c r="AF13" s="3">
        <v>64</v>
      </c>
      <c r="AG13" s="3">
        <v>67</v>
      </c>
      <c r="AH13" s="3">
        <v>69</v>
      </c>
      <c r="AI13" s="3">
        <v>71</v>
      </c>
      <c r="AJ13" s="3">
        <v>73</v>
      </c>
      <c r="AK13" s="3">
        <v>75</v>
      </c>
    </row>
    <row r="14" spans="1:37" x14ac:dyDescent="0.3">
      <c r="A14" s="14" t="s">
        <v>129</v>
      </c>
      <c r="B14" s="3">
        <v>2151</v>
      </c>
      <c r="C14" s="3">
        <v>2423</v>
      </c>
      <c r="D14" s="3">
        <v>2089</v>
      </c>
      <c r="E14" s="3">
        <v>1766</v>
      </c>
      <c r="F14" s="3">
        <v>2326</v>
      </c>
      <c r="G14" s="3">
        <v>3302</v>
      </c>
      <c r="H14" s="3">
        <v>2948</v>
      </c>
      <c r="I14" s="3">
        <v>2720</v>
      </c>
      <c r="J14" s="3">
        <v>2666</v>
      </c>
      <c r="K14" s="3">
        <v>3604</v>
      </c>
      <c r="L14" s="3">
        <v>3643</v>
      </c>
      <c r="M14" s="3">
        <v>3684</v>
      </c>
      <c r="N14" s="3">
        <v>4281</v>
      </c>
      <c r="O14" s="3">
        <v>4234</v>
      </c>
      <c r="P14" s="3">
        <v>5148</v>
      </c>
      <c r="Q14" s="3">
        <v>5923</v>
      </c>
      <c r="R14" s="3">
        <v>6324</v>
      </c>
      <c r="S14" s="3">
        <v>6625</v>
      </c>
      <c r="T14" s="3">
        <v>7124</v>
      </c>
      <c r="U14" s="3">
        <v>6219</v>
      </c>
      <c r="V14" s="3">
        <v>6877</v>
      </c>
      <c r="W14" s="3">
        <v>6893</v>
      </c>
      <c r="X14" s="3">
        <v>6978</v>
      </c>
      <c r="Y14" s="3">
        <v>7276</v>
      </c>
      <c r="Z14" s="3">
        <v>6114</v>
      </c>
      <c r="AA14" s="3">
        <v>6796</v>
      </c>
      <c r="AB14" s="3">
        <v>8063</v>
      </c>
      <c r="AC14" s="3">
        <v>8846</v>
      </c>
      <c r="AD14" s="3">
        <v>9706</v>
      </c>
      <c r="AE14" s="3">
        <v>9893</v>
      </c>
      <c r="AF14" s="3">
        <v>10549</v>
      </c>
      <c r="AG14" s="3">
        <v>10221</v>
      </c>
      <c r="AH14" s="3">
        <v>10504</v>
      </c>
      <c r="AI14" s="3">
        <v>10657</v>
      </c>
      <c r="AJ14" s="3">
        <v>10843</v>
      </c>
      <c r="AK14" s="3">
        <v>11101</v>
      </c>
    </row>
    <row r="15" spans="1:37" x14ac:dyDescent="0.3">
      <c r="A15" s="7" t="s">
        <v>130</v>
      </c>
      <c r="B15" s="3">
        <v>1244</v>
      </c>
      <c r="C15" s="3">
        <v>1107</v>
      </c>
      <c r="D15" s="3">
        <v>1024</v>
      </c>
      <c r="E15" s="3">
        <v>644</v>
      </c>
      <c r="F15" s="3">
        <v>1198</v>
      </c>
      <c r="G15" s="3">
        <v>1670</v>
      </c>
      <c r="H15" s="3">
        <v>1323</v>
      </c>
      <c r="I15" s="3">
        <v>1170</v>
      </c>
      <c r="J15" s="3">
        <v>815</v>
      </c>
      <c r="K15" s="3">
        <v>1081</v>
      </c>
      <c r="L15" s="3">
        <v>1118</v>
      </c>
      <c r="M15" s="3">
        <v>1287</v>
      </c>
      <c r="N15" s="3">
        <v>1647</v>
      </c>
      <c r="O15" s="3">
        <v>1380</v>
      </c>
      <c r="P15" s="3">
        <v>1951</v>
      </c>
      <c r="Q15" s="3">
        <v>2458</v>
      </c>
      <c r="R15" s="3">
        <v>2400</v>
      </c>
      <c r="S15" s="3">
        <v>2785</v>
      </c>
      <c r="T15" s="3">
        <v>2074</v>
      </c>
      <c r="U15" s="3">
        <v>1512</v>
      </c>
      <c r="V15" s="3">
        <v>1719</v>
      </c>
      <c r="W15" s="3">
        <v>1852</v>
      </c>
      <c r="X15" s="3">
        <v>1966</v>
      </c>
      <c r="Y15" s="3">
        <v>1883</v>
      </c>
      <c r="Z15" s="3">
        <v>1143</v>
      </c>
      <c r="AA15" s="3">
        <v>1537</v>
      </c>
      <c r="AB15" s="3">
        <v>1802</v>
      </c>
      <c r="AC15" s="3">
        <v>2436</v>
      </c>
      <c r="AD15" s="3">
        <v>2849</v>
      </c>
      <c r="AE15" s="3">
        <v>2777</v>
      </c>
      <c r="AF15" s="3">
        <v>2832</v>
      </c>
      <c r="AG15" s="3">
        <v>2747</v>
      </c>
      <c r="AH15" s="3">
        <v>2817</v>
      </c>
      <c r="AI15" s="3">
        <v>2884</v>
      </c>
      <c r="AJ15" s="3">
        <v>2952</v>
      </c>
      <c r="AK15" s="3">
        <v>3018</v>
      </c>
    </row>
    <row r="16" spans="1:37" x14ac:dyDescent="0.3">
      <c r="A16" s="7" t="s">
        <v>131</v>
      </c>
      <c r="B16" s="3">
        <v>330</v>
      </c>
      <c r="C16" s="3">
        <v>320</v>
      </c>
      <c r="D16" s="3">
        <v>411</v>
      </c>
      <c r="E16" s="3">
        <v>458</v>
      </c>
      <c r="F16" s="3">
        <v>400</v>
      </c>
      <c r="G16" s="3">
        <v>503</v>
      </c>
      <c r="H16" s="3">
        <v>518</v>
      </c>
      <c r="I16" s="3">
        <v>406</v>
      </c>
      <c r="J16" s="3">
        <v>662</v>
      </c>
      <c r="K16" s="3">
        <v>777</v>
      </c>
      <c r="L16" s="3">
        <v>812</v>
      </c>
      <c r="M16" s="3">
        <v>753</v>
      </c>
      <c r="N16" s="3">
        <v>831</v>
      </c>
      <c r="O16" s="3">
        <v>1330</v>
      </c>
      <c r="P16" s="3">
        <v>1551</v>
      </c>
      <c r="Q16" s="3">
        <v>1656</v>
      </c>
      <c r="R16" s="3">
        <v>1778</v>
      </c>
      <c r="S16" s="3">
        <v>1692</v>
      </c>
      <c r="T16" s="3">
        <v>1584</v>
      </c>
      <c r="U16" s="3">
        <v>1275</v>
      </c>
      <c r="V16" s="3">
        <v>1086</v>
      </c>
      <c r="W16" s="3">
        <v>1127</v>
      </c>
      <c r="X16" s="3">
        <v>1198</v>
      </c>
      <c r="Y16" s="3">
        <v>1441</v>
      </c>
      <c r="Z16" s="3">
        <v>1131</v>
      </c>
      <c r="AA16" s="3">
        <v>1296</v>
      </c>
      <c r="AB16" s="3">
        <v>1459</v>
      </c>
      <c r="AC16" s="3">
        <v>1569</v>
      </c>
      <c r="AD16" s="3">
        <v>1726</v>
      </c>
      <c r="AE16" s="3">
        <v>1673</v>
      </c>
      <c r="AF16" s="3">
        <v>1629</v>
      </c>
      <c r="AG16" s="3">
        <v>1470</v>
      </c>
      <c r="AH16" s="3">
        <v>1488</v>
      </c>
      <c r="AI16" s="3">
        <v>1439</v>
      </c>
      <c r="AJ16" s="3">
        <v>1428</v>
      </c>
      <c r="AK16" s="3">
        <v>1438</v>
      </c>
    </row>
    <row r="17" spans="1:37" x14ac:dyDescent="0.3">
      <c r="A17" s="7" t="s">
        <v>132</v>
      </c>
      <c r="B17" s="3">
        <v>39</v>
      </c>
      <c r="C17" s="3">
        <v>425</v>
      </c>
      <c r="D17" s="3">
        <v>34</v>
      </c>
      <c r="E17" s="3">
        <v>42</v>
      </c>
      <c r="F17" s="3">
        <v>46</v>
      </c>
      <c r="G17" s="3">
        <v>173</v>
      </c>
      <c r="H17" s="3">
        <v>81</v>
      </c>
      <c r="I17" s="3">
        <v>31</v>
      </c>
      <c r="J17" s="3">
        <v>33</v>
      </c>
      <c r="K17" s="3">
        <v>273</v>
      </c>
      <c r="L17" s="3">
        <v>141</v>
      </c>
      <c r="M17" s="3">
        <v>43</v>
      </c>
      <c r="N17" s="3">
        <v>45</v>
      </c>
      <c r="O17" s="3">
        <v>38</v>
      </c>
      <c r="P17" s="3">
        <v>78</v>
      </c>
      <c r="Q17" s="3">
        <v>72</v>
      </c>
      <c r="R17" s="3">
        <v>352</v>
      </c>
      <c r="S17" s="3">
        <v>293</v>
      </c>
      <c r="T17" s="3">
        <v>90</v>
      </c>
      <c r="U17" s="3">
        <v>44</v>
      </c>
      <c r="V17" s="3">
        <v>450</v>
      </c>
      <c r="W17" s="3">
        <v>294</v>
      </c>
      <c r="X17" s="3">
        <v>84</v>
      </c>
      <c r="Y17" s="3">
        <v>90</v>
      </c>
      <c r="Z17" s="3">
        <v>78</v>
      </c>
      <c r="AA17" s="3">
        <v>259</v>
      </c>
      <c r="AB17" s="3">
        <v>424</v>
      </c>
      <c r="AC17" s="3">
        <v>237</v>
      </c>
      <c r="AD17" s="3">
        <v>217</v>
      </c>
      <c r="AE17" s="3">
        <v>234</v>
      </c>
      <c r="AF17" s="3">
        <v>580</v>
      </c>
      <c r="AG17" s="3">
        <v>351</v>
      </c>
      <c r="AH17" s="3">
        <v>327</v>
      </c>
      <c r="AI17" s="3">
        <v>334</v>
      </c>
      <c r="AJ17" s="3">
        <v>342</v>
      </c>
      <c r="AK17" s="3">
        <v>350</v>
      </c>
    </row>
    <row r="18" spans="1:37" x14ac:dyDescent="0.3">
      <c r="A18" s="7" t="s">
        <v>133</v>
      </c>
      <c r="B18" s="3">
        <v>537</v>
      </c>
      <c r="C18" s="3">
        <v>572</v>
      </c>
      <c r="D18" s="3">
        <v>620</v>
      </c>
      <c r="E18" s="3">
        <v>624</v>
      </c>
      <c r="F18" s="3">
        <v>681</v>
      </c>
      <c r="G18" s="3">
        <v>956</v>
      </c>
      <c r="H18" s="3">
        <v>1025</v>
      </c>
      <c r="I18" s="3">
        <v>1114</v>
      </c>
      <c r="J18" s="3">
        <v>1155</v>
      </c>
      <c r="K18" s="3">
        <v>1473</v>
      </c>
      <c r="L18" s="3">
        <v>1572</v>
      </c>
      <c r="M18" s="3">
        <v>1602</v>
      </c>
      <c r="N18" s="3">
        <v>1759</v>
      </c>
      <c r="O18" s="3">
        <v>1486</v>
      </c>
      <c r="P18" s="3">
        <v>1568</v>
      </c>
      <c r="Q18" s="3">
        <v>1738</v>
      </c>
      <c r="R18" s="3">
        <v>1793</v>
      </c>
      <c r="S18" s="3">
        <v>1855</v>
      </c>
      <c r="T18" s="3">
        <v>3376</v>
      </c>
      <c r="U18" s="3">
        <v>3388</v>
      </c>
      <c r="V18" s="3">
        <v>3621</v>
      </c>
      <c r="W18" s="3">
        <v>3620</v>
      </c>
      <c r="X18" s="3">
        <v>3730</v>
      </c>
      <c r="Y18" s="3">
        <v>3862</v>
      </c>
      <c r="Z18" s="3">
        <v>3762</v>
      </c>
      <c r="AA18" s="3">
        <v>3704</v>
      </c>
      <c r="AB18" s="3">
        <v>4378</v>
      </c>
      <c r="AC18" s="3">
        <v>4603</v>
      </c>
      <c r="AD18" s="3">
        <v>4914</v>
      </c>
      <c r="AE18" s="3">
        <v>5208</v>
      </c>
      <c r="AF18" s="3">
        <v>5508</v>
      </c>
      <c r="AG18" s="3">
        <v>5653</v>
      </c>
      <c r="AH18" s="3">
        <v>5871</v>
      </c>
      <c r="AI18" s="3">
        <v>6001</v>
      </c>
      <c r="AJ18" s="3">
        <v>6121</v>
      </c>
      <c r="AK18" s="3">
        <v>6294</v>
      </c>
    </row>
    <row r="19" spans="1:37" x14ac:dyDescent="0.3">
      <c r="A19" s="14" t="s">
        <v>134</v>
      </c>
      <c r="B19" s="3">
        <v>1653</v>
      </c>
      <c r="C19" s="3">
        <v>1719</v>
      </c>
      <c r="D19" s="3">
        <v>1748</v>
      </c>
      <c r="E19" s="3">
        <v>1758</v>
      </c>
      <c r="F19" s="3">
        <v>1804</v>
      </c>
      <c r="G19" s="3">
        <v>1804</v>
      </c>
      <c r="H19" s="3">
        <v>1862</v>
      </c>
      <c r="I19" s="3">
        <v>1761</v>
      </c>
      <c r="J19" s="3">
        <v>1727</v>
      </c>
      <c r="K19" s="3">
        <v>1723</v>
      </c>
      <c r="L19" s="3">
        <v>1808</v>
      </c>
      <c r="M19" s="3">
        <v>1867</v>
      </c>
      <c r="N19" s="3">
        <v>1958</v>
      </c>
      <c r="O19" s="3">
        <v>2049</v>
      </c>
      <c r="P19" s="3">
        <v>2085</v>
      </c>
      <c r="Q19" s="3">
        <v>2225</v>
      </c>
      <c r="R19" s="3">
        <v>2314</v>
      </c>
      <c r="S19" s="3">
        <v>2464</v>
      </c>
      <c r="T19" s="3">
        <v>2503</v>
      </c>
      <c r="U19" s="3">
        <v>2358</v>
      </c>
      <c r="V19" s="3">
        <v>2428</v>
      </c>
      <c r="W19" s="3">
        <v>2498</v>
      </c>
      <c r="X19" s="3">
        <v>2623</v>
      </c>
      <c r="Y19" s="3">
        <v>2696</v>
      </c>
      <c r="Z19" s="3">
        <v>2808</v>
      </c>
      <c r="AA19" s="3">
        <v>2902</v>
      </c>
      <c r="AB19" s="3">
        <v>3174</v>
      </c>
      <c r="AC19" s="3">
        <v>3416</v>
      </c>
      <c r="AD19" s="3">
        <v>3509</v>
      </c>
      <c r="AE19" s="3">
        <v>3852</v>
      </c>
      <c r="AF19" s="3">
        <v>3968</v>
      </c>
      <c r="AG19" s="3">
        <v>4035</v>
      </c>
      <c r="AH19" s="3">
        <v>4006</v>
      </c>
      <c r="AI19" s="3">
        <v>3912</v>
      </c>
      <c r="AJ19" s="3">
        <v>3863</v>
      </c>
      <c r="AK19" s="3">
        <v>3805</v>
      </c>
    </row>
    <row r="20" spans="1:37" x14ac:dyDescent="0.3">
      <c r="A20" s="14" t="s">
        <v>135</v>
      </c>
      <c r="B20" s="3">
        <v>226</v>
      </c>
      <c r="C20" s="3">
        <v>207</v>
      </c>
      <c r="D20" s="3">
        <v>234</v>
      </c>
      <c r="E20" s="3">
        <v>253</v>
      </c>
      <c r="F20" s="3">
        <v>256</v>
      </c>
      <c r="G20" s="3">
        <v>412</v>
      </c>
      <c r="H20" s="3">
        <v>284</v>
      </c>
      <c r="I20" s="3">
        <v>331</v>
      </c>
      <c r="J20" s="3">
        <v>195</v>
      </c>
      <c r="K20" s="3">
        <v>163</v>
      </c>
      <c r="L20" s="3">
        <v>220</v>
      </c>
      <c r="M20" s="3">
        <v>141</v>
      </c>
      <c r="N20" s="3">
        <v>145</v>
      </c>
      <c r="O20" s="3">
        <v>161</v>
      </c>
      <c r="P20" s="3">
        <v>176</v>
      </c>
      <c r="Q20" s="3">
        <v>159</v>
      </c>
      <c r="R20" s="3">
        <v>153</v>
      </c>
      <c r="S20" s="3">
        <v>169</v>
      </c>
      <c r="T20" s="3">
        <v>203</v>
      </c>
      <c r="U20" s="3">
        <v>268</v>
      </c>
      <c r="V20" s="3">
        <v>2615</v>
      </c>
      <c r="W20" s="3">
        <v>2742</v>
      </c>
      <c r="X20" s="3">
        <v>4543</v>
      </c>
      <c r="Y20" s="3">
        <v>3062</v>
      </c>
      <c r="Z20" s="3">
        <v>3002</v>
      </c>
      <c r="AA20" s="3">
        <v>3258</v>
      </c>
      <c r="AB20" s="3">
        <v>3505</v>
      </c>
      <c r="AC20" s="3">
        <v>3620</v>
      </c>
      <c r="AD20" s="3">
        <v>3757</v>
      </c>
      <c r="AE20" s="3">
        <v>4567</v>
      </c>
      <c r="AF20" s="3">
        <v>4202</v>
      </c>
      <c r="AG20" s="3">
        <v>4328</v>
      </c>
      <c r="AH20" s="3">
        <v>4402</v>
      </c>
      <c r="AI20" s="3">
        <v>4457</v>
      </c>
      <c r="AJ20" s="3">
        <v>4514</v>
      </c>
      <c r="AK20" s="3">
        <v>4568</v>
      </c>
    </row>
    <row r="21" spans="1:37" x14ac:dyDescent="0.3">
      <c r="A21" s="7" t="s">
        <v>190</v>
      </c>
      <c r="B21" s="3">
        <v>34</v>
      </c>
      <c r="C21" s="3">
        <v>35</v>
      </c>
      <c r="D21" s="3">
        <v>66</v>
      </c>
      <c r="E21" s="3">
        <v>111</v>
      </c>
      <c r="F21" s="3">
        <v>132</v>
      </c>
      <c r="G21" s="3">
        <v>296</v>
      </c>
      <c r="H21" s="3">
        <v>141</v>
      </c>
      <c r="I21" s="3">
        <v>117</v>
      </c>
      <c r="J21" s="3">
        <v>137</v>
      </c>
      <c r="K21" s="3">
        <v>149</v>
      </c>
      <c r="L21" s="3">
        <v>188</v>
      </c>
      <c r="M21" s="3">
        <v>107</v>
      </c>
      <c r="N21" s="3">
        <v>112</v>
      </c>
      <c r="O21" s="3">
        <v>127</v>
      </c>
      <c r="P21" s="3">
        <v>139</v>
      </c>
      <c r="Q21" s="3">
        <v>133</v>
      </c>
      <c r="R21" s="3">
        <v>123</v>
      </c>
      <c r="S21" s="3">
        <v>142</v>
      </c>
      <c r="T21" s="3">
        <v>158</v>
      </c>
      <c r="U21" s="3">
        <v>196</v>
      </c>
      <c r="V21" s="3">
        <v>2604</v>
      </c>
      <c r="W21" s="3">
        <v>2723</v>
      </c>
      <c r="X21" s="3">
        <v>2897</v>
      </c>
      <c r="Y21" s="3">
        <v>3025</v>
      </c>
      <c r="Z21" s="3">
        <v>2980</v>
      </c>
      <c r="AA21" s="3">
        <v>3223</v>
      </c>
      <c r="AB21" s="3">
        <v>3448</v>
      </c>
      <c r="AC21" s="3">
        <v>3594</v>
      </c>
      <c r="AD21" s="3">
        <v>3729</v>
      </c>
      <c r="AE21" s="3">
        <v>4541</v>
      </c>
      <c r="AF21" s="3">
        <v>4189</v>
      </c>
      <c r="AG21" s="3">
        <v>4316</v>
      </c>
      <c r="AH21" s="3">
        <v>4389</v>
      </c>
      <c r="AI21" s="3">
        <v>4443</v>
      </c>
      <c r="AJ21" s="3">
        <v>4500</v>
      </c>
      <c r="AK21" s="3">
        <v>4553</v>
      </c>
    </row>
    <row r="22" spans="1:37" x14ac:dyDescent="0.3">
      <c r="A22" s="7" t="s">
        <v>191</v>
      </c>
      <c r="B22" s="3">
        <v>188</v>
      </c>
      <c r="C22" s="3">
        <v>169</v>
      </c>
      <c r="D22" s="3">
        <v>166</v>
      </c>
      <c r="E22" s="3">
        <v>138</v>
      </c>
      <c r="F22" s="3">
        <v>120</v>
      </c>
      <c r="G22" s="3">
        <v>113</v>
      </c>
      <c r="H22" s="3">
        <v>141</v>
      </c>
      <c r="I22" s="3">
        <v>212</v>
      </c>
      <c r="J22" s="3">
        <v>54</v>
      </c>
      <c r="K22" s="3">
        <v>8</v>
      </c>
      <c r="L22" s="3">
        <v>19</v>
      </c>
      <c r="M22" s="3">
        <v>17</v>
      </c>
      <c r="N22" s="3">
        <v>17</v>
      </c>
      <c r="O22" s="3">
        <v>16</v>
      </c>
      <c r="P22" s="3">
        <v>19</v>
      </c>
      <c r="Q22" s="3">
        <v>18</v>
      </c>
      <c r="R22" s="3">
        <v>22</v>
      </c>
      <c r="S22" s="3">
        <v>18</v>
      </c>
      <c r="T22" s="3">
        <v>35</v>
      </c>
      <c r="U22" s="3">
        <v>61</v>
      </c>
      <c r="V22" s="3">
        <v>10</v>
      </c>
      <c r="W22" s="3">
        <v>16</v>
      </c>
      <c r="X22" s="3">
        <v>1641</v>
      </c>
      <c r="Y22" s="3">
        <v>33</v>
      </c>
      <c r="Z22" s="3">
        <v>19</v>
      </c>
      <c r="AA22" s="3">
        <v>33</v>
      </c>
      <c r="AB22" s="3">
        <v>49</v>
      </c>
      <c r="AC22" s="3">
        <v>24</v>
      </c>
      <c r="AD22" s="3">
        <v>25</v>
      </c>
      <c r="AE22" s="3">
        <v>25</v>
      </c>
      <c r="AF22" s="3">
        <v>12</v>
      </c>
      <c r="AG22" s="3">
        <v>12</v>
      </c>
      <c r="AH22" s="3">
        <v>12</v>
      </c>
      <c r="AI22" s="3">
        <v>14</v>
      </c>
      <c r="AJ22" s="3">
        <v>14</v>
      </c>
      <c r="AK22" s="3">
        <v>14</v>
      </c>
    </row>
    <row r="23" spans="1:37" x14ac:dyDescent="0.3">
      <c r="A23" s="7" t="s">
        <v>192</v>
      </c>
      <c r="B23" s="3">
        <v>4</v>
      </c>
      <c r="C23" s="3">
        <v>3</v>
      </c>
      <c r="D23" s="3">
        <v>2</v>
      </c>
      <c r="E23" s="3">
        <v>4</v>
      </c>
      <c r="F23" s="3">
        <v>4</v>
      </c>
      <c r="G23" s="3">
        <v>3</v>
      </c>
      <c r="H23" s="3">
        <v>3</v>
      </c>
      <c r="I23" s="3">
        <v>2</v>
      </c>
      <c r="J23" s="3">
        <v>4</v>
      </c>
      <c r="K23" s="3">
        <v>6</v>
      </c>
      <c r="L23" s="3">
        <v>14</v>
      </c>
      <c r="M23" s="3">
        <v>16</v>
      </c>
      <c r="N23" s="3">
        <v>16</v>
      </c>
      <c r="O23" s="3">
        <v>18</v>
      </c>
      <c r="P23" s="3">
        <v>18</v>
      </c>
      <c r="Q23" s="3">
        <v>8</v>
      </c>
      <c r="R23" s="3">
        <v>8</v>
      </c>
      <c r="S23" s="3">
        <v>9</v>
      </c>
      <c r="T23" s="3">
        <v>10</v>
      </c>
      <c r="U23" s="3">
        <v>11</v>
      </c>
      <c r="V23" s="3">
        <v>1</v>
      </c>
      <c r="W23" s="3">
        <v>3</v>
      </c>
      <c r="X23" s="3">
        <v>5</v>
      </c>
      <c r="Y23" s="3">
        <v>4</v>
      </c>
      <c r="Z23" s="3">
        <v>3</v>
      </c>
      <c r="AA23" s="3">
        <v>2</v>
      </c>
      <c r="AB23" s="3">
        <v>8</v>
      </c>
      <c r="AC23" s="3">
        <v>2</v>
      </c>
      <c r="AD23" s="3">
        <v>2</v>
      </c>
      <c r="AE23" s="3">
        <v>1</v>
      </c>
      <c r="AF23" s="3">
        <v>0</v>
      </c>
      <c r="AG23" s="3">
        <v>0</v>
      </c>
      <c r="AH23" s="3">
        <v>0</v>
      </c>
      <c r="AI23" s="3">
        <v>0</v>
      </c>
      <c r="AJ23" s="3">
        <v>0</v>
      </c>
      <c r="AK23" s="3">
        <v>0</v>
      </c>
    </row>
    <row r="24" spans="1:37" x14ac:dyDescent="0.3">
      <c r="A24" s="14" t="s">
        <v>140</v>
      </c>
      <c r="B24" s="3">
        <v>6</v>
      </c>
      <c r="C24" s="3">
        <v>4</v>
      </c>
      <c r="D24" s="3">
        <v>4</v>
      </c>
      <c r="E24" s="3">
        <v>6</v>
      </c>
      <c r="F24" s="3">
        <v>6</v>
      </c>
      <c r="G24" s="3">
        <v>176</v>
      </c>
      <c r="H24" s="3">
        <v>4</v>
      </c>
      <c r="I24" s="3">
        <v>3</v>
      </c>
      <c r="J24" s="3">
        <v>3</v>
      </c>
      <c r="K24" s="3">
        <v>4</v>
      </c>
      <c r="L24" s="3">
        <v>98</v>
      </c>
      <c r="M24" s="3">
        <v>3</v>
      </c>
      <c r="N24" s="3">
        <v>5</v>
      </c>
      <c r="O24" s="3">
        <v>7</v>
      </c>
      <c r="P24" s="3">
        <v>6</v>
      </c>
      <c r="Q24" s="3">
        <v>0</v>
      </c>
      <c r="R24" s="3">
        <v>0</v>
      </c>
      <c r="S24" s="3">
        <v>0</v>
      </c>
      <c r="T24" s="3">
        <v>0</v>
      </c>
      <c r="U24" s="3">
        <v>0</v>
      </c>
      <c r="V24" s="3">
        <v>0</v>
      </c>
      <c r="W24" s="3">
        <v>0</v>
      </c>
      <c r="X24" s="3">
        <v>1626</v>
      </c>
      <c r="Y24" s="3">
        <v>3</v>
      </c>
      <c r="Z24" s="3">
        <v>1</v>
      </c>
      <c r="AA24" s="3">
        <v>3</v>
      </c>
      <c r="AB24" s="3">
        <v>14</v>
      </c>
      <c r="AC24" s="3">
        <v>2</v>
      </c>
      <c r="AD24" s="3">
        <v>1</v>
      </c>
      <c r="AE24" s="3">
        <v>3</v>
      </c>
      <c r="AF24" s="3">
        <v>2</v>
      </c>
      <c r="AG24" s="3">
        <v>2</v>
      </c>
      <c r="AH24" s="3">
        <v>2</v>
      </c>
      <c r="AI24" s="3">
        <v>2</v>
      </c>
      <c r="AJ24" s="3">
        <v>2</v>
      </c>
      <c r="AK24" s="3">
        <v>2</v>
      </c>
    </row>
    <row r="25" spans="1:37" x14ac:dyDescent="0.3">
      <c r="A25" s="11" t="s">
        <v>141</v>
      </c>
      <c r="B25" s="11">
        <v>67482</v>
      </c>
      <c r="C25" s="11">
        <v>69010</v>
      </c>
      <c r="D25" s="11">
        <v>70855</v>
      </c>
      <c r="E25" s="11">
        <v>72718</v>
      </c>
      <c r="F25" s="11">
        <v>75060</v>
      </c>
      <c r="G25" s="11">
        <v>78808</v>
      </c>
      <c r="H25" s="11">
        <v>75501</v>
      </c>
      <c r="I25" s="11">
        <v>79252</v>
      </c>
      <c r="J25" s="11">
        <v>80462</v>
      </c>
      <c r="K25" s="11">
        <v>92618</v>
      </c>
      <c r="L25" s="11">
        <v>87832</v>
      </c>
      <c r="M25" s="11">
        <v>93684</v>
      </c>
      <c r="N25" s="11">
        <v>100440</v>
      </c>
      <c r="O25" s="11">
        <v>102292</v>
      </c>
      <c r="P25" s="11">
        <v>107209</v>
      </c>
      <c r="Q25" s="11">
        <v>116244</v>
      </c>
      <c r="R25" s="11">
        <v>121947</v>
      </c>
      <c r="S25" s="11">
        <v>121808</v>
      </c>
      <c r="T25" s="11">
        <v>125229</v>
      </c>
      <c r="U25" s="11">
        <v>115237</v>
      </c>
      <c r="V25" s="11">
        <v>118260</v>
      </c>
      <c r="W25" s="11">
        <v>119200</v>
      </c>
      <c r="X25" s="11">
        <v>122879</v>
      </c>
      <c r="Y25" s="11">
        <v>126942</v>
      </c>
      <c r="Z25" s="11">
        <v>142764</v>
      </c>
      <c r="AA25" s="11">
        <v>146365</v>
      </c>
      <c r="AB25" s="11">
        <v>152425</v>
      </c>
      <c r="AC25" s="11">
        <v>167058</v>
      </c>
      <c r="AD25" s="11">
        <v>172202</v>
      </c>
      <c r="AE25" s="11">
        <v>181476</v>
      </c>
      <c r="AF25" s="11">
        <v>188905</v>
      </c>
      <c r="AG25" s="11">
        <v>201041</v>
      </c>
      <c r="AH25" s="11">
        <v>207361</v>
      </c>
      <c r="AI25" s="11">
        <v>215789</v>
      </c>
      <c r="AJ25" s="11">
        <v>221400</v>
      </c>
      <c r="AK25" s="11">
        <v>228664</v>
      </c>
    </row>
    <row r="26" spans="1:37" x14ac:dyDescent="0.3">
      <c r="A26" s="14" t="s">
        <v>142</v>
      </c>
      <c r="B26" s="3">
        <v>50944</v>
      </c>
      <c r="C26" s="3">
        <v>53205</v>
      </c>
      <c r="D26" s="3">
        <v>55036</v>
      </c>
      <c r="E26" s="3">
        <v>57408</v>
      </c>
      <c r="F26" s="3">
        <v>59351</v>
      </c>
      <c r="G26" s="3">
        <v>62948</v>
      </c>
      <c r="H26" s="3">
        <v>60809</v>
      </c>
      <c r="I26" s="3">
        <v>65524</v>
      </c>
      <c r="J26" s="3">
        <v>67421</v>
      </c>
      <c r="K26" s="3">
        <v>80147</v>
      </c>
      <c r="L26" s="3">
        <v>75431</v>
      </c>
      <c r="M26" s="3">
        <v>81199</v>
      </c>
      <c r="N26" s="3">
        <v>87855</v>
      </c>
      <c r="O26" s="3">
        <v>90058</v>
      </c>
      <c r="P26" s="3">
        <v>95286</v>
      </c>
      <c r="Q26" s="3">
        <v>103924</v>
      </c>
      <c r="R26" s="3">
        <v>109167</v>
      </c>
      <c r="S26" s="3">
        <v>109706</v>
      </c>
      <c r="T26" s="3">
        <v>113135</v>
      </c>
      <c r="U26" s="3">
        <v>104044</v>
      </c>
      <c r="V26" s="3">
        <v>107402</v>
      </c>
      <c r="W26" s="3">
        <v>109375</v>
      </c>
      <c r="X26" s="3">
        <v>113773</v>
      </c>
      <c r="Y26" s="3">
        <v>118159</v>
      </c>
      <c r="Z26" s="3">
        <v>134458</v>
      </c>
      <c r="AA26" s="3">
        <v>138678</v>
      </c>
      <c r="AB26" s="3">
        <v>145108</v>
      </c>
      <c r="AC26" s="3">
        <v>157825</v>
      </c>
      <c r="AD26" s="3">
        <v>161252</v>
      </c>
      <c r="AE26" s="3">
        <v>169648</v>
      </c>
      <c r="AF26" s="3">
        <v>175444</v>
      </c>
      <c r="AG26" s="3">
        <v>185758</v>
      </c>
      <c r="AH26" s="3">
        <v>190758</v>
      </c>
      <c r="AI26" s="3">
        <v>197404</v>
      </c>
      <c r="AJ26" s="3">
        <v>201318</v>
      </c>
      <c r="AK26" s="3">
        <v>206701</v>
      </c>
    </row>
    <row r="27" spans="1:37" x14ac:dyDescent="0.3">
      <c r="A27" s="14" t="s">
        <v>143</v>
      </c>
      <c r="B27" s="3">
        <v>17713</v>
      </c>
      <c r="C27" s="3">
        <v>17916</v>
      </c>
      <c r="D27" s="3">
        <v>18398</v>
      </c>
      <c r="E27" s="3">
        <v>19096</v>
      </c>
      <c r="F27" s="3">
        <v>19729</v>
      </c>
      <c r="G27" s="3">
        <v>20328</v>
      </c>
      <c r="H27" s="3">
        <v>20637</v>
      </c>
      <c r="I27" s="3">
        <v>21852</v>
      </c>
      <c r="J27" s="3">
        <v>20867</v>
      </c>
      <c r="K27" s="3">
        <v>22693</v>
      </c>
      <c r="L27" s="3">
        <v>23413</v>
      </c>
      <c r="M27" s="3">
        <v>24904</v>
      </c>
      <c r="N27" s="3">
        <v>27020</v>
      </c>
      <c r="O27" s="3">
        <v>28774</v>
      </c>
      <c r="P27" s="3">
        <v>30043</v>
      </c>
      <c r="Q27" s="3">
        <v>31539</v>
      </c>
      <c r="R27" s="3">
        <v>31808</v>
      </c>
      <c r="S27" s="3">
        <v>32808</v>
      </c>
      <c r="T27" s="3">
        <v>34072</v>
      </c>
      <c r="U27" s="3">
        <v>33607</v>
      </c>
      <c r="V27" s="3">
        <v>30304</v>
      </c>
      <c r="W27" s="3">
        <v>29197</v>
      </c>
      <c r="X27" s="3">
        <v>31188</v>
      </c>
      <c r="Y27" s="3">
        <v>32544</v>
      </c>
      <c r="Z27" s="3">
        <v>36229</v>
      </c>
      <c r="AA27" s="3">
        <v>37650</v>
      </c>
      <c r="AB27" s="3">
        <v>42589</v>
      </c>
      <c r="AC27" s="3">
        <v>43400</v>
      </c>
      <c r="AD27" s="3">
        <v>43388</v>
      </c>
      <c r="AE27" s="3">
        <v>45412</v>
      </c>
      <c r="AF27" s="3">
        <v>49232</v>
      </c>
      <c r="AG27" s="3">
        <v>51683</v>
      </c>
      <c r="AH27" s="3">
        <v>52768</v>
      </c>
      <c r="AI27" s="3">
        <v>54493</v>
      </c>
      <c r="AJ27" s="3">
        <v>53009</v>
      </c>
      <c r="AK27" s="3">
        <v>54068</v>
      </c>
    </row>
    <row r="28" spans="1:37" x14ac:dyDescent="0.3">
      <c r="A28" s="7" t="s">
        <v>144</v>
      </c>
      <c r="B28" s="3">
        <v>5905</v>
      </c>
      <c r="C28" s="3">
        <v>6106</v>
      </c>
      <c r="D28" s="3">
        <v>6253</v>
      </c>
      <c r="E28" s="3">
        <v>6538</v>
      </c>
      <c r="F28" s="3">
        <v>6684</v>
      </c>
      <c r="G28" s="3">
        <v>6942</v>
      </c>
      <c r="H28" s="3">
        <v>7063</v>
      </c>
      <c r="I28" s="3">
        <v>7233</v>
      </c>
      <c r="J28" s="3">
        <v>7185</v>
      </c>
      <c r="K28" s="3">
        <v>7578</v>
      </c>
      <c r="L28" s="3">
        <v>7836</v>
      </c>
      <c r="M28" s="3">
        <v>8096</v>
      </c>
      <c r="N28" s="3">
        <v>8562</v>
      </c>
      <c r="O28" s="3">
        <v>8748</v>
      </c>
      <c r="P28" s="3">
        <v>8788</v>
      </c>
      <c r="Q28" s="3">
        <v>9065</v>
      </c>
      <c r="R28" s="3">
        <v>9287</v>
      </c>
      <c r="S28" s="3">
        <v>9445</v>
      </c>
      <c r="T28" s="3">
        <v>10261</v>
      </c>
      <c r="U28" s="3">
        <v>9958</v>
      </c>
      <c r="V28" s="3">
        <v>10053</v>
      </c>
      <c r="W28" s="3">
        <v>10172</v>
      </c>
      <c r="X28" s="3">
        <v>10252</v>
      </c>
      <c r="Y28" s="3">
        <v>10501</v>
      </c>
      <c r="Z28" s="3">
        <v>10654</v>
      </c>
      <c r="AA28" s="3">
        <v>10982</v>
      </c>
      <c r="AB28" s="3">
        <v>11994</v>
      </c>
      <c r="AC28" s="3">
        <v>13072</v>
      </c>
      <c r="AD28" s="3">
        <v>13810</v>
      </c>
      <c r="AE28" s="3">
        <v>14541</v>
      </c>
      <c r="AF28" s="3">
        <v>15001</v>
      </c>
      <c r="AG28" s="3">
        <v>15605</v>
      </c>
      <c r="AH28" s="3">
        <v>15931</v>
      </c>
      <c r="AI28" s="3">
        <v>15941</v>
      </c>
      <c r="AJ28" s="3">
        <v>16352</v>
      </c>
      <c r="AK28" s="3">
        <v>16743</v>
      </c>
    </row>
    <row r="29" spans="1:37" x14ac:dyDescent="0.3">
      <c r="A29" s="7" t="s">
        <v>145</v>
      </c>
      <c r="B29" s="3">
        <v>1821</v>
      </c>
      <c r="C29" s="3">
        <v>1667</v>
      </c>
      <c r="D29" s="3">
        <v>1739</v>
      </c>
      <c r="E29" s="3">
        <v>1869</v>
      </c>
      <c r="F29" s="3">
        <v>2061</v>
      </c>
      <c r="G29" s="3">
        <v>2165</v>
      </c>
      <c r="H29" s="3">
        <v>2255</v>
      </c>
      <c r="I29" s="3">
        <v>2315</v>
      </c>
      <c r="J29" s="3">
        <v>2327</v>
      </c>
      <c r="K29" s="3">
        <v>2422</v>
      </c>
      <c r="L29" s="3">
        <v>2430</v>
      </c>
      <c r="M29" s="3">
        <v>2552</v>
      </c>
      <c r="N29" s="3">
        <v>2971</v>
      </c>
      <c r="O29" s="3">
        <v>2942</v>
      </c>
      <c r="P29" s="3">
        <v>3094</v>
      </c>
      <c r="Q29" s="3">
        <v>3224</v>
      </c>
      <c r="R29" s="3">
        <v>3157</v>
      </c>
      <c r="S29" s="3">
        <v>3167</v>
      </c>
      <c r="T29" s="3">
        <v>3931</v>
      </c>
      <c r="U29" s="3">
        <v>3878</v>
      </c>
      <c r="V29" s="3">
        <v>3947</v>
      </c>
      <c r="W29" s="3">
        <v>3788</v>
      </c>
      <c r="X29" s="3">
        <v>4039</v>
      </c>
      <c r="Y29" s="3">
        <v>4192</v>
      </c>
      <c r="Z29" s="3">
        <v>4385</v>
      </c>
      <c r="AA29" s="3">
        <v>4590</v>
      </c>
      <c r="AB29" s="3">
        <v>5683</v>
      </c>
      <c r="AC29" s="3">
        <v>6110</v>
      </c>
      <c r="AD29" s="3">
        <v>6197</v>
      </c>
      <c r="AE29" s="3">
        <v>6452</v>
      </c>
      <c r="AF29" s="3">
        <v>7343</v>
      </c>
      <c r="AG29" s="3">
        <v>8067</v>
      </c>
      <c r="AH29" s="3">
        <v>8029</v>
      </c>
      <c r="AI29" s="3">
        <v>8671</v>
      </c>
      <c r="AJ29" s="3">
        <v>7571</v>
      </c>
      <c r="AK29" s="3">
        <v>7538</v>
      </c>
    </row>
    <row r="30" spans="1:37" x14ac:dyDescent="0.3">
      <c r="A30" s="7" t="s">
        <v>146</v>
      </c>
      <c r="B30" s="3">
        <v>1449</v>
      </c>
      <c r="C30" s="3">
        <v>1294</v>
      </c>
      <c r="D30" s="3">
        <v>1352</v>
      </c>
      <c r="E30" s="3">
        <v>1396</v>
      </c>
      <c r="F30" s="3">
        <v>1396</v>
      </c>
      <c r="G30" s="3">
        <v>1392</v>
      </c>
      <c r="H30" s="3">
        <v>1304</v>
      </c>
      <c r="I30" s="3">
        <v>1609</v>
      </c>
      <c r="J30" s="3">
        <v>1187</v>
      </c>
      <c r="K30" s="3">
        <v>2025</v>
      </c>
      <c r="L30" s="3">
        <v>2325</v>
      </c>
      <c r="M30" s="3">
        <v>2938</v>
      </c>
      <c r="N30" s="3">
        <v>3369</v>
      </c>
      <c r="O30" s="3">
        <v>3707</v>
      </c>
      <c r="P30" s="3">
        <v>4628</v>
      </c>
      <c r="Q30" s="3">
        <v>5071</v>
      </c>
      <c r="R30" s="3">
        <v>4842</v>
      </c>
      <c r="S30" s="3">
        <v>5035</v>
      </c>
      <c r="T30" s="3">
        <v>5021</v>
      </c>
      <c r="U30" s="3">
        <v>5116</v>
      </c>
      <c r="V30" s="3">
        <v>4948</v>
      </c>
      <c r="W30" s="3">
        <v>4933</v>
      </c>
      <c r="X30" s="3">
        <v>5501</v>
      </c>
      <c r="Y30" s="3">
        <v>5935</v>
      </c>
      <c r="Z30" s="3">
        <v>7652</v>
      </c>
      <c r="AA30" s="3">
        <v>6895</v>
      </c>
      <c r="AB30" s="3">
        <v>6515</v>
      </c>
      <c r="AC30" s="3">
        <v>6762</v>
      </c>
      <c r="AD30" s="3">
        <v>6746</v>
      </c>
      <c r="AE30" s="3">
        <v>6867</v>
      </c>
      <c r="AF30" s="3">
        <v>7738</v>
      </c>
      <c r="AG30" s="3">
        <v>7973</v>
      </c>
      <c r="AH30" s="3">
        <v>7944</v>
      </c>
      <c r="AI30" s="3">
        <v>8370</v>
      </c>
      <c r="AJ30" s="3">
        <v>9053</v>
      </c>
      <c r="AK30" s="3">
        <v>9243</v>
      </c>
    </row>
    <row r="31" spans="1:37" x14ac:dyDescent="0.3">
      <c r="A31" s="7" t="s">
        <v>147</v>
      </c>
      <c r="B31" s="3">
        <v>5276</v>
      </c>
      <c r="C31" s="3">
        <v>5610</v>
      </c>
      <c r="D31" s="3">
        <v>5659</v>
      </c>
      <c r="E31" s="3">
        <v>5752</v>
      </c>
      <c r="F31" s="3">
        <v>5905</v>
      </c>
      <c r="G31" s="3">
        <v>5989</v>
      </c>
      <c r="H31" s="3">
        <v>6155</v>
      </c>
      <c r="I31" s="3">
        <v>6565</v>
      </c>
      <c r="J31" s="3">
        <v>5856</v>
      </c>
      <c r="K31" s="3">
        <v>6065</v>
      </c>
      <c r="L31" s="3">
        <v>6257</v>
      </c>
      <c r="M31" s="3">
        <v>7342</v>
      </c>
      <c r="N31" s="3">
        <v>7874</v>
      </c>
      <c r="O31" s="3">
        <v>8450</v>
      </c>
      <c r="P31" s="3">
        <v>8609</v>
      </c>
      <c r="Q31" s="3">
        <v>9085</v>
      </c>
      <c r="R31" s="3">
        <v>9184</v>
      </c>
      <c r="S31" s="3">
        <v>9399</v>
      </c>
      <c r="T31" s="3">
        <v>9567</v>
      </c>
      <c r="U31" s="3">
        <v>9062</v>
      </c>
      <c r="V31" s="3">
        <v>5407</v>
      </c>
      <c r="W31" s="3">
        <v>5667</v>
      </c>
      <c r="X31" s="3">
        <v>5912</v>
      </c>
      <c r="Y31" s="3">
        <v>6267</v>
      </c>
      <c r="Z31" s="3">
        <v>6808</v>
      </c>
      <c r="AA31" s="3">
        <v>7851</v>
      </c>
      <c r="AB31" s="3">
        <v>9901</v>
      </c>
      <c r="AC31" s="3">
        <v>9132</v>
      </c>
      <c r="AD31" s="3">
        <v>9149</v>
      </c>
      <c r="AE31" s="3">
        <v>9796</v>
      </c>
      <c r="AF31" s="3">
        <v>10161</v>
      </c>
      <c r="AG31" s="3">
        <v>10510</v>
      </c>
      <c r="AH31" s="3">
        <v>10842</v>
      </c>
      <c r="AI31" s="3">
        <v>11251</v>
      </c>
      <c r="AJ31" s="3">
        <v>11620</v>
      </c>
      <c r="AK31" s="3">
        <v>11869</v>
      </c>
    </row>
    <row r="32" spans="1:37" x14ac:dyDescent="0.3">
      <c r="A32" s="9" t="s">
        <v>80</v>
      </c>
      <c r="B32" s="3">
        <v>4172</v>
      </c>
      <c r="C32" s="3">
        <v>4533</v>
      </c>
      <c r="D32" s="3">
        <v>4606</v>
      </c>
      <c r="E32" s="3">
        <v>4661</v>
      </c>
      <c r="F32" s="3">
        <v>4799</v>
      </c>
      <c r="G32" s="3">
        <v>4844</v>
      </c>
      <c r="H32" s="3">
        <v>5016</v>
      </c>
      <c r="I32" s="3">
        <v>5305</v>
      </c>
      <c r="J32" s="3">
        <v>5791</v>
      </c>
      <c r="K32" s="3">
        <v>6005</v>
      </c>
      <c r="L32" s="3">
        <v>6177</v>
      </c>
      <c r="M32" s="3">
        <v>7246</v>
      </c>
      <c r="N32" s="3">
        <v>7720</v>
      </c>
      <c r="O32" s="3">
        <v>8252</v>
      </c>
      <c r="P32" s="3">
        <v>8301</v>
      </c>
      <c r="Q32" s="3">
        <v>8656</v>
      </c>
      <c r="R32" s="3">
        <v>8696</v>
      </c>
      <c r="S32" s="3">
        <v>9079</v>
      </c>
      <c r="T32" s="3">
        <v>9264</v>
      </c>
      <c r="U32" s="3">
        <v>8765</v>
      </c>
      <c r="V32" s="3">
        <v>5014</v>
      </c>
      <c r="W32" s="3">
        <v>5310</v>
      </c>
      <c r="X32" s="3">
        <v>5540</v>
      </c>
      <c r="Y32" s="3">
        <v>5869</v>
      </c>
      <c r="Z32" s="3">
        <v>6334</v>
      </c>
      <c r="AA32" s="3">
        <v>6602</v>
      </c>
      <c r="AB32" s="3">
        <v>7280</v>
      </c>
      <c r="AC32" s="3">
        <v>8115</v>
      </c>
      <c r="AD32" s="3">
        <v>8514</v>
      </c>
      <c r="AE32" s="3">
        <v>9138</v>
      </c>
      <c r="AF32" s="3">
        <v>9438</v>
      </c>
      <c r="AG32" s="3">
        <v>9856</v>
      </c>
      <c r="AH32" s="3">
        <v>10194</v>
      </c>
      <c r="AI32" s="3">
        <v>10630</v>
      </c>
      <c r="AJ32" s="3">
        <v>10983</v>
      </c>
      <c r="AK32" s="3">
        <v>11216</v>
      </c>
    </row>
    <row r="33" spans="1:37" x14ac:dyDescent="0.3">
      <c r="A33" s="9" t="s">
        <v>148</v>
      </c>
      <c r="B33" s="3">
        <v>1104</v>
      </c>
      <c r="C33" s="3">
        <v>1077</v>
      </c>
      <c r="D33" s="3">
        <v>1053</v>
      </c>
      <c r="E33" s="3">
        <v>1091</v>
      </c>
      <c r="F33" s="3">
        <v>1106</v>
      </c>
      <c r="G33" s="3">
        <v>1145</v>
      </c>
      <c r="H33" s="3">
        <v>1140</v>
      </c>
      <c r="I33" s="3">
        <v>1260</v>
      </c>
      <c r="J33" s="3">
        <v>65</v>
      </c>
      <c r="K33" s="3">
        <v>60</v>
      </c>
      <c r="L33" s="3">
        <v>80</v>
      </c>
      <c r="M33" s="3">
        <v>96</v>
      </c>
      <c r="N33" s="3">
        <v>153</v>
      </c>
      <c r="O33" s="3">
        <v>197</v>
      </c>
      <c r="P33" s="3">
        <v>308</v>
      </c>
      <c r="Q33" s="3">
        <v>429</v>
      </c>
      <c r="R33" s="3">
        <v>488</v>
      </c>
      <c r="S33" s="3">
        <v>319</v>
      </c>
      <c r="T33" s="3">
        <v>304</v>
      </c>
      <c r="U33" s="3">
        <v>297</v>
      </c>
      <c r="V33" s="3">
        <v>393</v>
      </c>
      <c r="W33" s="3">
        <v>357</v>
      </c>
      <c r="X33" s="3">
        <v>372</v>
      </c>
      <c r="Y33" s="3">
        <v>398</v>
      </c>
      <c r="Z33" s="3">
        <v>474</v>
      </c>
      <c r="AA33" s="3">
        <v>1250</v>
      </c>
      <c r="AB33" s="3">
        <v>2621</v>
      </c>
      <c r="AC33" s="3">
        <v>1016</v>
      </c>
      <c r="AD33" s="3">
        <v>635</v>
      </c>
      <c r="AE33" s="3">
        <v>658</v>
      </c>
      <c r="AF33" s="3">
        <v>723</v>
      </c>
      <c r="AG33" s="3">
        <v>654</v>
      </c>
      <c r="AH33" s="3">
        <v>647</v>
      </c>
      <c r="AI33" s="3">
        <v>621</v>
      </c>
      <c r="AJ33" s="3">
        <v>637</v>
      </c>
      <c r="AK33" s="3">
        <v>653</v>
      </c>
    </row>
    <row r="34" spans="1:37" x14ac:dyDescent="0.3">
      <c r="A34" s="7" t="s">
        <v>149</v>
      </c>
      <c r="B34" s="3">
        <v>255</v>
      </c>
      <c r="C34" s="3">
        <v>244</v>
      </c>
      <c r="D34" s="3">
        <v>238</v>
      </c>
      <c r="E34" s="3">
        <v>265</v>
      </c>
      <c r="F34" s="3">
        <v>284</v>
      </c>
      <c r="G34" s="3">
        <v>351</v>
      </c>
      <c r="H34" s="3">
        <v>383</v>
      </c>
      <c r="I34" s="3">
        <v>451</v>
      </c>
      <c r="J34" s="3">
        <v>426</v>
      </c>
      <c r="K34" s="3">
        <v>574</v>
      </c>
      <c r="L34" s="3">
        <v>534</v>
      </c>
      <c r="M34" s="3">
        <v>469</v>
      </c>
      <c r="N34" s="3">
        <v>463</v>
      </c>
      <c r="O34" s="3">
        <v>598</v>
      </c>
      <c r="P34" s="3">
        <v>572</v>
      </c>
      <c r="Q34" s="3">
        <v>694</v>
      </c>
      <c r="R34" s="3">
        <v>726</v>
      </c>
      <c r="S34" s="3">
        <v>717</v>
      </c>
      <c r="T34" s="3">
        <v>681</v>
      </c>
      <c r="U34" s="3">
        <v>560</v>
      </c>
      <c r="V34" s="3">
        <v>505</v>
      </c>
      <c r="W34" s="3">
        <v>457</v>
      </c>
      <c r="X34" s="3">
        <v>454</v>
      </c>
      <c r="Y34" s="3">
        <v>487</v>
      </c>
      <c r="Z34" s="3">
        <v>640</v>
      </c>
      <c r="AA34" s="3">
        <v>505</v>
      </c>
      <c r="AB34" s="3">
        <v>2119</v>
      </c>
      <c r="AC34" s="3">
        <v>2181</v>
      </c>
      <c r="AD34" s="3">
        <v>741</v>
      </c>
      <c r="AE34" s="3">
        <v>789</v>
      </c>
      <c r="AF34" s="3">
        <v>703</v>
      </c>
      <c r="AG34" s="3">
        <v>527</v>
      </c>
      <c r="AH34" s="3">
        <v>471</v>
      </c>
      <c r="AI34" s="3">
        <v>404</v>
      </c>
      <c r="AJ34" s="3">
        <v>408</v>
      </c>
      <c r="AK34" s="3">
        <v>411</v>
      </c>
    </row>
    <row r="35" spans="1:37" x14ac:dyDescent="0.3">
      <c r="A35" s="7" t="s">
        <v>150</v>
      </c>
      <c r="B35" s="3">
        <v>698</v>
      </c>
      <c r="C35" s="3">
        <v>517</v>
      </c>
      <c r="D35" s="3">
        <v>540</v>
      </c>
      <c r="E35" s="3">
        <v>572</v>
      </c>
      <c r="F35" s="3">
        <v>557</v>
      </c>
      <c r="G35" s="3">
        <v>557</v>
      </c>
      <c r="H35" s="3">
        <v>555</v>
      </c>
      <c r="I35" s="3">
        <v>557</v>
      </c>
      <c r="J35" s="3">
        <v>553</v>
      </c>
      <c r="K35" s="3">
        <v>569</v>
      </c>
      <c r="L35" s="3">
        <v>591</v>
      </c>
      <c r="M35" s="3">
        <v>48</v>
      </c>
      <c r="N35" s="3">
        <v>51</v>
      </c>
      <c r="O35" s="3">
        <v>53</v>
      </c>
      <c r="P35" s="3">
        <v>0</v>
      </c>
      <c r="Q35" s="3">
        <v>0</v>
      </c>
      <c r="R35" s="3">
        <v>0</v>
      </c>
      <c r="S35" s="3">
        <v>0</v>
      </c>
      <c r="T35" s="3">
        <v>2</v>
      </c>
      <c r="U35" s="3">
        <v>42</v>
      </c>
      <c r="V35" s="3">
        <v>13</v>
      </c>
      <c r="W35" s="3">
        <v>8</v>
      </c>
      <c r="X35" s="3">
        <v>3</v>
      </c>
      <c r="Y35" s="3">
        <v>19</v>
      </c>
      <c r="Z35" s="3">
        <v>9</v>
      </c>
      <c r="AA35" s="3">
        <v>10</v>
      </c>
      <c r="AB35" s="3">
        <v>7</v>
      </c>
      <c r="AC35" s="3">
        <v>8</v>
      </c>
      <c r="AD35" s="3">
        <v>6</v>
      </c>
      <c r="AE35" s="3">
        <v>2</v>
      </c>
      <c r="AF35" s="3">
        <v>2</v>
      </c>
      <c r="AG35" s="3">
        <v>2</v>
      </c>
      <c r="AH35" s="3">
        <v>2</v>
      </c>
      <c r="AI35" s="3">
        <v>2</v>
      </c>
      <c r="AJ35" s="3">
        <v>2</v>
      </c>
      <c r="AK35" s="3">
        <v>2</v>
      </c>
    </row>
    <row r="36" spans="1:37" x14ac:dyDescent="0.3">
      <c r="A36" s="7" t="s">
        <v>193</v>
      </c>
      <c r="B36" s="3">
        <v>1753</v>
      </c>
      <c r="C36" s="3">
        <v>1903</v>
      </c>
      <c r="D36" s="3">
        <v>1998</v>
      </c>
      <c r="E36" s="3">
        <v>2065</v>
      </c>
      <c r="F36" s="3">
        <v>2133</v>
      </c>
      <c r="G36" s="3">
        <v>2236</v>
      </c>
      <c r="H36" s="3">
        <v>2192</v>
      </c>
      <c r="I36" s="3">
        <v>2316</v>
      </c>
      <c r="J36" s="3">
        <v>2558</v>
      </c>
      <c r="K36" s="3">
        <v>2663</v>
      </c>
      <c r="L36" s="3">
        <v>2628</v>
      </c>
      <c r="M36" s="3">
        <v>2677</v>
      </c>
      <c r="N36" s="3">
        <v>2806</v>
      </c>
      <c r="O36" s="3">
        <v>3313</v>
      </c>
      <c r="P36" s="3">
        <v>3288</v>
      </c>
      <c r="Q36" s="3">
        <v>3276</v>
      </c>
      <c r="R36" s="3">
        <v>3676</v>
      </c>
      <c r="S36" s="3">
        <v>3949</v>
      </c>
      <c r="T36" s="3">
        <v>3500</v>
      </c>
      <c r="U36" s="3">
        <v>3852</v>
      </c>
      <c r="V36" s="3">
        <v>4086</v>
      </c>
      <c r="W36" s="3">
        <v>2988</v>
      </c>
      <c r="X36" s="3">
        <v>3846</v>
      </c>
      <c r="Y36" s="3">
        <v>3866</v>
      </c>
      <c r="Z36" s="3">
        <v>4658</v>
      </c>
      <c r="AA36" s="3">
        <v>5291</v>
      </c>
      <c r="AB36" s="3">
        <v>4741</v>
      </c>
      <c r="AC36" s="3">
        <v>4401</v>
      </c>
      <c r="AD36" s="3">
        <v>4407</v>
      </c>
      <c r="AE36" s="3">
        <v>4647</v>
      </c>
      <c r="AF36" s="3">
        <v>5912</v>
      </c>
      <c r="AG36" s="3">
        <v>6853</v>
      </c>
      <c r="AH36" s="3">
        <v>7345</v>
      </c>
      <c r="AI36" s="3">
        <v>7593</v>
      </c>
      <c r="AJ36" s="3">
        <v>5867</v>
      </c>
      <c r="AK36" s="3">
        <v>6089</v>
      </c>
    </row>
    <row r="37" spans="1:37" x14ac:dyDescent="0.3">
      <c r="A37" s="7" t="s">
        <v>194</v>
      </c>
      <c r="B37" s="3">
        <v>555</v>
      </c>
      <c r="C37" s="3">
        <v>576</v>
      </c>
      <c r="D37" s="3">
        <v>617</v>
      </c>
      <c r="E37" s="3">
        <v>640</v>
      </c>
      <c r="F37" s="3">
        <v>710</v>
      </c>
      <c r="G37" s="3">
        <v>696</v>
      </c>
      <c r="H37" s="3">
        <v>730</v>
      </c>
      <c r="I37" s="3">
        <v>805</v>
      </c>
      <c r="J37" s="3">
        <v>776</v>
      </c>
      <c r="K37" s="3">
        <v>797</v>
      </c>
      <c r="L37" s="3">
        <v>813</v>
      </c>
      <c r="M37" s="3">
        <v>782</v>
      </c>
      <c r="N37" s="3">
        <v>925</v>
      </c>
      <c r="O37" s="3">
        <v>962</v>
      </c>
      <c r="P37" s="3">
        <v>1064</v>
      </c>
      <c r="Q37" s="3">
        <v>1124</v>
      </c>
      <c r="R37" s="3">
        <v>937</v>
      </c>
      <c r="S37" s="3">
        <v>1097</v>
      </c>
      <c r="T37" s="3">
        <v>1108</v>
      </c>
      <c r="U37" s="3">
        <v>1139</v>
      </c>
      <c r="V37" s="3">
        <v>1344</v>
      </c>
      <c r="W37" s="3">
        <v>1185</v>
      </c>
      <c r="X37" s="3">
        <v>1182</v>
      </c>
      <c r="Y37" s="3">
        <v>1278</v>
      </c>
      <c r="Z37" s="3">
        <v>1425</v>
      </c>
      <c r="AA37" s="3">
        <v>1524</v>
      </c>
      <c r="AB37" s="3">
        <v>1628</v>
      </c>
      <c r="AC37" s="3">
        <v>1735</v>
      </c>
      <c r="AD37" s="3">
        <v>2333</v>
      </c>
      <c r="AE37" s="3">
        <v>2319</v>
      </c>
      <c r="AF37" s="3">
        <v>2372</v>
      </c>
      <c r="AG37" s="3">
        <v>2146</v>
      </c>
      <c r="AH37" s="3">
        <v>2203</v>
      </c>
      <c r="AI37" s="3">
        <v>2262</v>
      </c>
      <c r="AJ37" s="3">
        <v>2136</v>
      </c>
      <c r="AK37" s="3">
        <v>2173</v>
      </c>
    </row>
    <row r="38" spans="1:37" x14ac:dyDescent="0.3">
      <c r="A38" s="14" t="s">
        <v>152</v>
      </c>
      <c r="B38" s="3">
        <v>1828</v>
      </c>
      <c r="C38" s="3">
        <v>2325</v>
      </c>
      <c r="D38" s="3">
        <v>2337</v>
      </c>
      <c r="E38" s="3">
        <v>2229</v>
      </c>
      <c r="F38" s="3">
        <v>2234</v>
      </c>
      <c r="G38" s="3">
        <v>1664</v>
      </c>
      <c r="H38" s="3">
        <v>1669</v>
      </c>
      <c r="I38" s="3">
        <v>2820</v>
      </c>
      <c r="J38" s="3">
        <v>1161</v>
      </c>
      <c r="K38" s="3">
        <v>9354</v>
      </c>
      <c r="L38" s="3">
        <v>1488</v>
      </c>
      <c r="M38" s="3">
        <v>3039</v>
      </c>
      <c r="N38" s="3">
        <v>3162</v>
      </c>
      <c r="O38" s="3">
        <v>3696</v>
      </c>
      <c r="P38" s="3">
        <v>3551</v>
      </c>
      <c r="Q38" s="3">
        <v>5907</v>
      </c>
      <c r="R38" s="3">
        <v>7944</v>
      </c>
      <c r="S38" s="3">
        <v>4850</v>
      </c>
      <c r="T38" s="3">
        <v>4817</v>
      </c>
      <c r="U38" s="3">
        <v>3242</v>
      </c>
      <c r="V38" s="3">
        <v>3400</v>
      </c>
      <c r="W38" s="3">
        <v>3185</v>
      </c>
      <c r="X38" s="3">
        <v>3449</v>
      </c>
      <c r="Y38" s="3">
        <v>3051</v>
      </c>
      <c r="Z38" s="3">
        <v>4042</v>
      </c>
      <c r="AA38" s="3">
        <v>4506</v>
      </c>
      <c r="AB38" s="3">
        <v>5008</v>
      </c>
      <c r="AC38" s="3">
        <v>4946</v>
      </c>
      <c r="AD38" s="3">
        <v>6298</v>
      </c>
      <c r="AE38" s="3">
        <v>6910</v>
      </c>
      <c r="AF38" s="3">
        <v>7956</v>
      </c>
      <c r="AG38" s="3">
        <v>7854</v>
      </c>
      <c r="AH38" s="3">
        <v>8538</v>
      </c>
      <c r="AI38" s="3">
        <v>9205</v>
      </c>
      <c r="AJ38" s="3">
        <v>10228</v>
      </c>
      <c r="AK38" s="3">
        <v>10298</v>
      </c>
    </row>
    <row r="39" spans="1:37" x14ac:dyDescent="0.3">
      <c r="A39" s="7" t="s">
        <v>153</v>
      </c>
      <c r="B39" s="3">
        <v>800</v>
      </c>
      <c r="C39" s="3">
        <v>820</v>
      </c>
      <c r="D39" s="3">
        <v>778</v>
      </c>
      <c r="E39" s="3">
        <v>811</v>
      </c>
      <c r="F39" s="3">
        <v>848</v>
      </c>
      <c r="G39" s="3">
        <v>601</v>
      </c>
      <c r="H39" s="3">
        <v>828</v>
      </c>
      <c r="I39" s="3">
        <v>646</v>
      </c>
      <c r="J39" s="3">
        <v>676</v>
      </c>
      <c r="K39" s="3">
        <v>714</v>
      </c>
      <c r="L39" s="3">
        <v>176</v>
      </c>
      <c r="M39" s="3">
        <v>912</v>
      </c>
      <c r="N39" s="3">
        <v>1051</v>
      </c>
      <c r="O39" s="3">
        <v>1072</v>
      </c>
      <c r="P39" s="3">
        <v>942</v>
      </c>
      <c r="Q39" s="3">
        <v>878</v>
      </c>
      <c r="R39" s="3">
        <v>976</v>
      </c>
      <c r="S39" s="3">
        <v>1002</v>
      </c>
      <c r="T39" s="3">
        <v>2136</v>
      </c>
      <c r="U39" s="3">
        <v>1941</v>
      </c>
      <c r="V39" s="3">
        <v>1930</v>
      </c>
      <c r="W39" s="3">
        <v>1901</v>
      </c>
      <c r="X39" s="3">
        <v>2023</v>
      </c>
      <c r="Y39" s="3">
        <v>2181</v>
      </c>
      <c r="Z39" s="3">
        <v>2618</v>
      </c>
      <c r="AA39" s="3">
        <v>3307</v>
      </c>
      <c r="AB39" s="3">
        <v>3103</v>
      </c>
      <c r="AC39" s="3">
        <v>3186</v>
      </c>
      <c r="AD39" s="3">
        <v>4544</v>
      </c>
      <c r="AE39" s="3">
        <v>4793</v>
      </c>
      <c r="AF39" s="3">
        <v>5983</v>
      </c>
      <c r="AG39" s="3">
        <v>6393</v>
      </c>
      <c r="AH39" s="3">
        <v>6959</v>
      </c>
      <c r="AI39" s="3">
        <v>7725</v>
      </c>
      <c r="AJ39" s="3">
        <v>8583</v>
      </c>
      <c r="AK39" s="3">
        <v>8362</v>
      </c>
    </row>
    <row r="40" spans="1:37" x14ac:dyDescent="0.3">
      <c r="A40" s="7" t="s">
        <v>172</v>
      </c>
      <c r="B40" s="3">
        <v>16</v>
      </c>
      <c r="C40" s="3">
        <v>10</v>
      </c>
      <c r="D40" s="3">
        <v>8</v>
      </c>
      <c r="E40" s="3">
        <v>19</v>
      </c>
      <c r="F40" s="3">
        <v>7</v>
      </c>
      <c r="G40" s="3">
        <v>51</v>
      </c>
      <c r="H40" s="3">
        <v>-177</v>
      </c>
      <c r="I40" s="3">
        <v>5</v>
      </c>
      <c r="J40" s="3">
        <v>14</v>
      </c>
      <c r="K40" s="3">
        <v>-75</v>
      </c>
      <c r="L40" s="3">
        <v>-425</v>
      </c>
      <c r="M40" s="3">
        <v>11</v>
      </c>
      <c r="N40" s="3">
        <v>285</v>
      </c>
      <c r="O40" s="3">
        <v>361</v>
      </c>
      <c r="P40" s="3">
        <v>314</v>
      </c>
      <c r="Q40" s="3">
        <v>604</v>
      </c>
      <c r="R40" s="3">
        <v>615</v>
      </c>
      <c r="S40" s="3">
        <v>347</v>
      </c>
      <c r="T40" s="3">
        <v>-76</v>
      </c>
      <c r="U40" s="3">
        <v>-48</v>
      </c>
      <c r="V40" s="3">
        <v>37</v>
      </c>
      <c r="W40" s="3">
        <v>0</v>
      </c>
      <c r="X40" s="3">
        <v>20</v>
      </c>
      <c r="Y40" s="3">
        <v>-23</v>
      </c>
      <c r="Z40" s="3">
        <v>33</v>
      </c>
      <c r="AA40" s="3">
        <v>-2</v>
      </c>
      <c r="AB40" s="3">
        <v>346</v>
      </c>
      <c r="AC40" s="3">
        <v>116</v>
      </c>
      <c r="AD40" s="3">
        <v>-6</v>
      </c>
      <c r="AE40" s="3">
        <v>134</v>
      </c>
      <c r="AF40" s="3">
        <v>72</v>
      </c>
      <c r="AG40" s="3">
        <v>37</v>
      </c>
      <c r="AH40" s="3">
        <v>32</v>
      </c>
      <c r="AI40" s="3">
        <v>28</v>
      </c>
      <c r="AJ40" s="3">
        <v>28</v>
      </c>
      <c r="AK40" s="3">
        <v>28</v>
      </c>
    </row>
    <row r="41" spans="1:37" x14ac:dyDescent="0.3">
      <c r="A41" s="7" t="s">
        <v>173</v>
      </c>
      <c r="B41" s="3">
        <v>27</v>
      </c>
      <c r="C41" s="3">
        <v>24</v>
      </c>
      <c r="D41" s="3">
        <v>12</v>
      </c>
      <c r="E41" s="3">
        <v>213</v>
      </c>
      <c r="F41" s="3">
        <v>31</v>
      </c>
      <c r="G41" s="3">
        <v>42</v>
      </c>
      <c r="H41" s="3">
        <v>20</v>
      </c>
      <c r="I41" s="3">
        <v>17</v>
      </c>
      <c r="J41" s="3">
        <v>142</v>
      </c>
      <c r="K41" s="3">
        <v>8</v>
      </c>
      <c r="L41" s="3">
        <v>34</v>
      </c>
      <c r="M41" s="3">
        <v>37</v>
      </c>
      <c r="N41" s="3">
        <v>38</v>
      </c>
      <c r="O41" s="3">
        <v>350</v>
      </c>
      <c r="P41" s="3">
        <v>437</v>
      </c>
      <c r="Q41" s="3">
        <v>916</v>
      </c>
      <c r="R41" s="3">
        <v>1302</v>
      </c>
      <c r="S41" s="3">
        <v>938</v>
      </c>
      <c r="T41" s="3">
        <v>471</v>
      </c>
      <c r="U41" s="3">
        <v>164</v>
      </c>
      <c r="V41" s="3">
        <v>97</v>
      </c>
      <c r="W41" s="3">
        <v>35</v>
      </c>
      <c r="X41" s="3">
        <v>28</v>
      </c>
      <c r="Y41" s="3">
        <v>30</v>
      </c>
      <c r="Z41" s="3">
        <v>-10</v>
      </c>
      <c r="AA41" s="3">
        <v>32</v>
      </c>
      <c r="AB41" s="3">
        <v>35</v>
      </c>
      <c r="AC41" s="3">
        <v>36</v>
      </c>
      <c r="AD41" s="3">
        <v>36</v>
      </c>
      <c r="AE41" s="3">
        <v>38</v>
      </c>
      <c r="AF41" s="3">
        <v>40</v>
      </c>
      <c r="AG41" s="3">
        <v>43</v>
      </c>
      <c r="AH41" s="3">
        <v>50</v>
      </c>
      <c r="AI41" s="3">
        <v>54</v>
      </c>
      <c r="AJ41" s="3">
        <v>58</v>
      </c>
      <c r="AK41" s="3">
        <v>62</v>
      </c>
    </row>
    <row r="42" spans="1:37" x14ac:dyDescent="0.3">
      <c r="A42" s="7" t="s">
        <v>174</v>
      </c>
      <c r="B42" s="3">
        <v>716</v>
      </c>
      <c r="C42" s="3">
        <v>1274</v>
      </c>
      <c r="D42" s="3">
        <v>1281</v>
      </c>
      <c r="E42" s="3">
        <v>962</v>
      </c>
      <c r="F42" s="3">
        <v>966</v>
      </c>
      <c r="G42" s="3">
        <v>681</v>
      </c>
      <c r="H42" s="3">
        <v>726</v>
      </c>
      <c r="I42" s="3">
        <v>1938</v>
      </c>
      <c r="J42" s="3">
        <v>108</v>
      </c>
      <c r="K42" s="3">
        <v>8330</v>
      </c>
      <c r="L42" s="3">
        <v>1268</v>
      </c>
      <c r="M42" s="3">
        <v>1671</v>
      </c>
      <c r="N42" s="3">
        <v>1276</v>
      </c>
      <c r="O42" s="3">
        <v>1382</v>
      </c>
      <c r="P42" s="3">
        <v>1510</v>
      </c>
      <c r="Q42" s="3">
        <v>2603</v>
      </c>
      <c r="R42" s="3">
        <v>4688</v>
      </c>
      <c r="S42" s="3">
        <v>2220</v>
      </c>
      <c r="T42" s="3">
        <v>1486</v>
      </c>
      <c r="U42" s="3">
        <v>908</v>
      </c>
      <c r="V42" s="3">
        <v>848</v>
      </c>
      <c r="W42" s="3">
        <v>972</v>
      </c>
      <c r="X42" s="3">
        <v>693</v>
      </c>
      <c r="Y42" s="3">
        <v>708</v>
      </c>
      <c r="Z42" s="3">
        <v>711</v>
      </c>
      <c r="AA42" s="3">
        <v>929</v>
      </c>
      <c r="AB42" s="3">
        <v>915</v>
      </c>
      <c r="AC42" s="3">
        <v>1218</v>
      </c>
      <c r="AD42" s="3">
        <v>1135</v>
      </c>
      <c r="AE42" s="3">
        <v>1427</v>
      </c>
      <c r="AF42" s="3">
        <v>1180</v>
      </c>
      <c r="AG42" s="3">
        <v>808</v>
      </c>
      <c r="AH42" s="3">
        <v>741</v>
      </c>
      <c r="AI42" s="3">
        <v>769</v>
      </c>
      <c r="AJ42" s="3">
        <v>916</v>
      </c>
      <c r="AK42" s="3">
        <v>986</v>
      </c>
    </row>
    <row r="43" spans="1:37" x14ac:dyDescent="0.3">
      <c r="A43" s="7" t="s">
        <v>187</v>
      </c>
      <c r="B43" s="3">
        <v>270</v>
      </c>
      <c r="C43" s="3">
        <v>198</v>
      </c>
      <c r="D43" s="3">
        <v>259</v>
      </c>
      <c r="E43" s="3">
        <v>223</v>
      </c>
      <c r="F43" s="3">
        <v>381</v>
      </c>
      <c r="G43" s="3">
        <v>288</v>
      </c>
      <c r="H43" s="3">
        <v>272</v>
      </c>
      <c r="I43" s="3">
        <v>215</v>
      </c>
      <c r="J43" s="3">
        <v>221</v>
      </c>
      <c r="K43" s="3">
        <v>377</v>
      </c>
      <c r="L43" s="3">
        <v>435</v>
      </c>
      <c r="M43" s="3">
        <v>409</v>
      </c>
      <c r="N43" s="3">
        <v>511</v>
      </c>
      <c r="O43" s="3">
        <v>531</v>
      </c>
      <c r="P43" s="3">
        <v>347</v>
      </c>
      <c r="Q43" s="3">
        <v>906</v>
      </c>
      <c r="R43" s="3">
        <v>363</v>
      </c>
      <c r="S43" s="3">
        <v>343</v>
      </c>
      <c r="T43" s="3">
        <v>801</v>
      </c>
      <c r="U43" s="3">
        <v>276</v>
      </c>
      <c r="V43" s="3">
        <v>487</v>
      </c>
      <c r="W43" s="3">
        <v>277</v>
      </c>
      <c r="X43" s="3">
        <v>685</v>
      </c>
      <c r="Y43" s="3">
        <v>154</v>
      </c>
      <c r="Z43" s="3">
        <v>691</v>
      </c>
      <c r="AA43" s="3">
        <v>239</v>
      </c>
      <c r="AB43" s="3">
        <v>609</v>
      </c>
      <c r="AC43" s="3">
        <v>392</v>
      </c>
      <c r="AD43" s="3">
        <v>589</v>
      </c>
      <c r="AE43" s="3">
        <v>517</v>
      </c>
      <c r="AF43" s="3">
        <v>681</v>
      </c>
      <c r="AG43" s="3">
        <v>573</v>
      </c>
      <c r="AH43" s="3">
        <v>757</v>
      </c>
      <c r="AI43" s="3">
        <v>630</v>
      </c>
      <c r="AJ43" s="3">
        <v>643</v>
      </c>
      <c r="AK43" s="3">
        <v>860</v>
      </c>
    </row>
    <row r="44" spans="1:37" x14ac:dyDescent="0.3">
      <c r="A44" s="14" t="s">
        <v>156</v>
      </c>
      <c r="B44" s="3">
        <v>31403</v>
      </c>
      <c r="C44" s="3">
        <v>32963</v>
      </c>
      <c r="D44" s="3">
        <v>34301</v>
      </c>
      <c r="E44" s="3">
        <v>36083</v>
      </c>
      <c r="F44" s="3">
        <v>37388</v>
      </c>
      <c r="G44" s="3">
        <v>40956</v>
      </c>
      <c r="H44" s="3">
        <v>38504</v>
      </c>
      <c r="I44" s="3">
        <v>40851</v>
      </c>
      <c r="J44" s="3">
        <v>45393</v>
      </c>
      <c r="K44" s="3">
        <v>48100</v>
      </c>
      <c r="L44" s="3">
        <v>50530</v>
      </c>
      <c r="M44" s="3">
        <v>53256</v>
      </c>
      <c r="N44" s="3">
        <v>57673</v>
      </c>
      <c r="O44" s="3">
        <v>57589</v>
      </c>
      <c r="P44" s="3">
        <v>61692</v>
      </c>
      <c r="Q44" s="3">
        <v>66479</v>
      </c>
      <c r="R44" s="3">
        <v>69415</v>
      </c>
      <c r="S44" s="3">
        <v>72048</v>
      </c>
      <c r="T44" s="3">
        <v>74246</v>
      </c>
      <c r="U44" s="3">
        <v>67196</v>
      </c>
      <c r="V44" s="3">
        <v>73699</v>
      </c>
      <c r="W44" s="3">
        <v>76992</v>
      </c>
      <c r="X44" s="3">
        <v>79136</v>
      </c>
      <c r="Y44" s="3">
        <v>82564</v>
      </c>
      <c r="Z44" s="3">
        <v>94186</v>
      </c>
      <c r="AA44" s="3">
        <v>96523</v>
      </c>
      <c r="AB44" s="3">
        <v>97511</v>
      </c>
      <c r="AC44" s="3">
        <v>109478</v>
      </c>
      <c r="AD44" s="3">
        <v>111567</v>
      </c>
      <c r="AE44" s="3">
        <v>117326</v>
      </c>
      <c r="AF44" s="3">
        <v>118257</v>
      </c>
      <c r="AG44" s="3">
        <v>126220</v>
      </c>
      <c r="AH44" s="3">
        <v>129452</v>
      </c>
      <c r="AI44" s="3">
        <v>133706</v>
      </c>
      <c r="AJ44" s="3">
        <v>138080</v>
      </c>
      <c r="AK44" s="3">
        <v>142335</v>
      </c>
    </row>
    <row r="45" spans="1:37" x14ac:dyDescent="0.3">
      <c r="A45" s="7" t="s">
        <v>136</v>
      </c>
      <c r="B45" s="3">
        <v>22114</v>
      </c>
      <c r="C45" s="3">
        <v>23754</v>
      </c>
      <c r="D45" s="3">
        <v>24798</v>
      </c>
      <c r="E45" s="3">
        <v>26246</v>
      </c>
      <c r="F45" s="3">
        <v>26885</v>
      </c>
      <c r="G45" s="3">
        <v>28873</v>
      </c>
      <c r="H45" s="3">
        <v>27116</v>
      </c>
      <c r="I45" s="3">
        <v>28437</v>
      </c>
      <c r="J45" s="3">
        <v>32253</v>
      </c>
      <c r="K45" s="3">
        <v>35084</v>
      </c>
      <c r="L45" s="3">
        <v>37004</v>
      </c>
      <c r="M45" s="3">
        <v>39436</v>
      </c>
      <c r="N45" s="3">
        <v>42613</v>
      </c>
      <c r="O45" s="3">
        <v>42235</v>
      </c>
      <c r="P45" s="3">
        <v>43464</v>
      </c>
      <c r="Q45" s="3">
        <v>48923</v>
      </c>
      <c r="R45" s="3">
        <v>48377</v>
      </c>
      <c r="S45" s="3">
        <v>48904</v>
      </c>
      <c r="T45" s="3">
        <v>50089</v>
      </c>
      <c r="U45" s="3">
        <v>38930</v>
      </c>
      <c r="V45" s="3">
        <v>39557</v>
      </c>
      <c r="W45" s="3">
        <v>44015</v>
      </c>
      <c r="X45" s="3">
        <v>46268</v>
      </c>
      <c r="Y45" s="3">
        <v>48017</v>
      </c>
      <c r="Z45" s="3">
        <v>46584</v>
      </c>
      <c r="AA45" s="3">
        <v>53207</v>
      </c>
      <c r="AB45" s="3">
        <v>56060</v>
      </c>
      <c r="AC45" s="3">
        <v>63129</v>
      </c>
      <c r="AD45" s="3">
        <v>64120</v>
      </c>
      <c r="AE45" s="3">
        <v>68180</v>
      </c>
      <c r="AF45" s="3">
        <v>68804</v>
      </c>
      <c r="AG45" s="3">
        <v>73678</v>
      </c>
      <c r="AH45" s="3">
        <v>75656</v>
      </c>
      <c r="AI45" s="3">
        <v>78701</v>
      </c>
      <c r="AJ45" s="3">
        <v>81756</v>
      </c>
      <c r="AK45" s="3">
        <v>84690</v>
      </c>
    </row>
    <row r="46" spans="1:37" x14ac:dyDescent="0.3">
      <c r="A46" s="7" t="s">
        <v>195</v>
      </c>
      <c r="B46" s="3">
        <v>9195</v>
      </c>
      <c r="C46" s="3">
        <v>9115</v>
      </c>
      <c r="D46" s="3">
        <v>9394</v>
      </c>
      <c r="E46" s="3">
        <v>9656</v>
      </c>
      <c r="F46" s="3">
        <v>10076</v>
      </c>
      <c r="G46" s="3">
        <v>10633</v>
      </c>
      <c r="H46" s="3">
        <v>11341</v>
      </c>
      <c r="I46" s="3">
        <v>12268</v>
      </c>
      <c r="J46" s="3">
        <v>12464</v>
      </c>
      <c r="K46" s="3">
        <v>12854</v>
      </c>
      <c r="L46" s="3">
        <v>13470</v>
      </c>
      <c r="M46" s="3">
        <v>13762</v>
      </c>
      <c r="N46" s="3">
        <v>14978</v>
      </c>
      <c r="O46" s="3">
        <v>15230</v>
      </c>
      <c r="P46" s="3">
        <v>18069</v>
      </c>
      <c r="Q46" s="3">
        <v>17414</v>
      </c>
      <c r="R46" s="3">
        <v>20920</v>
      </c>
      <c r="S46" s="3">
        <v>22975</v>
      </c>
      <c r="T46" s="3">
        <v>24081</v>
      </c>
      <c r="U46" s="3">
        <v>28199</v>
      </c>
      <c r="V46" s="3">
        <v>34041</v>
      </c>
      <c r="W46" s="3">
        <v>32909</v>
      </c>
      <c r="X46" s="3">
        <v>32735</v>
      </c>
      <c r="Y46" s="3">
        <v>34446</v>
      </c>
      <c r="Z46" s="3">
        <v>47521</v>
      </c>
      <c r="AA46" s="3">
        <v>43236</v>
      </c>
      <c r="AB46" s="3">
        <v>41332</v>
      </c>
      <c r="AC46" s="3">
        <v>46222</v>
      </c>
      <c r="AD46" s="3">
        <v>47311</v>
      </c>
      <c r="AE46" s="3">
        <v>49061</v>
      </c>
      <c r="AF46" s="3">
        <v>49378</v>
      </c>
      <c r="AG46" s="3">
        <v>52457</v>
      </c>
      <c r="AH46" s="3">
        <v>53715</v>
      </c>
      <c r="AI46" s="3">
        <v>54945</v>
      </c>
      <c r="AJ46" s="3">
        <v>56264</v>
      </c>
      <c r="AK46" s="3">
        <v>57582</v>
      </c>
    </row>
    <row r="47" spans="1:37" x14ac:dyDescent="0.3">
      <c r="A47" s="7" t="s">
        <v>196</v>
      </c>
      <c r="B47" s="3">
        <v>94</v>
      </c>
      <c r="C47" s="3">
        <v>94</v>
      </c>
      <c r="D47" s="3">
        <v>109</v>
      </c>
      <c r="E47" s="3">
        <v>180</v>
      </c>
      <c r="F47" s="3">
        <v>426</v>
      </c>
      <c r="G47" s="3">
        <v>1450</v>
      </c>
      <c r="H47" s="3">
        <v>47</v>
      </c>
      <c r="I47" s="3">
        <v>146</v>
      </c>
      <c r="J47" s="3">
        <v>676</v>
      </c>
      <c r="K47" s="3">
        <v>162</v>
      </c>
      <c r="L47" s="3">
        <v>56</v>
      </c>
      <c r="M47" s="3">
        <v>58</v>
      </c>
      <c r="N47" s="3">
        <v>82</v>
      </c>
      <c r="O47" s="3">
        <v>125</v>
      </c>
      <c r="P47" s="3">
        <v>159</v>
      </c>
      <c r="Q47" s="3">
        <v>142</v>
      </c>
      <c r="R47" s="3">
        <v>118</v>
      </c>
      <c r="S47" s="3">
        <v>169</v>
      </c>
      <c r="T47" s="3">
        <v>76</v>
      </c>
      <c r="U47" s="3">
        <v>68</v>
      </c>
      <c r="V47" s="3">
        <v>101</v>
      </c>
      <c r="W47" s="3">
        <v>69</v>
      </c>
      <c r="X47" s="3">
        <v>133</v>
      </c>
      <c r="Y47" s="3">
        <v>101</v>
      </c>
      <c r="Z47" s="3">
        <v>81</v>
      </c>
      <c r="AA47" s="3">
        <v>80</v>
      </c>
      <c r="AB47" s="3">
        <v>120</v>
      </c>
      <c r="AC47" s="3">
        <v>128</v>
      </c>
      <c r="AD47" s="3">
        <v>135</v>
      </c>
      <c r="AE47" s="3">
        <v>85</v>
      </c>
      <c r="AF47" s="3">
        <v>75</v>
      </c>
      <c r="AG47" s="3">
        <v>85</v>
      </c>
      <c r="AH47" s="3">
        <v>81</v>
      </c>
      <c r="AI47" s="3">
        <v>60</v>
      </c>
      <c r="AJ47" s="3">
        <v>61</v>
      </c>
      <c r="AK47" s="3">
        <v>62</v>
      </c>
    </row>
    <row r="48" spans="1:37" x14ac:dyDescent="0.3">
      <c r="A48" s="14" t="s">
        <v>159</v>
      </c>
      <c r="B48" s="3">
        <v>16537</v>
      </c>
      <c r="C48" s="3">
        <v>15805</v>
      </c>
      <c r="D48" s="3">
        <v>15819</v>
      </c>
      <c r="E48" s="3">
        <v>15311</v>
      </c>
      <c r="F48" s="3">
        <v>15710</v>
      </c>
      <c r="G48" s="3">
        <v>15859</v>
      </c>
      <c r="H48" s="3">
        <v>14691</v>
      </c>
      <c r="I48" s="3">
        <v>13728</v>
      </c>
      <c r="J48" s="3">
        <v>13041</v>
      </c>
      <c r="K48" s="3">
        <v>12472</v>
      </c>
      <c r="L48" s="3">
        <v>12400</v>
      </c>
      <c r="M48" s="3">
        <v>12485</v>
      </c>
      <c r="N48" s="3">
        <v>12584</v>
      </c>
      <c r="O48" s="3">
        <v>12233</v>
      </c>
      <c r="P48" s="3">
        <v>11923</v>
      </c>
      <c r="Q48" s="3">
        <v>12320</v>
      </c>
      <c r="R48" s="3">
        <v>12780</v>
      </c>
      <c r="S48" s="3">
        <v>12102</v>
      </c>
      <c r="T48" s="3">
        <v>12094</v>
      </c>
      <c r="U48" s="3">
        <v>11192</v>
      </c>
      <c r="V48" s="3">
        <v>10858</v>
      </c>
      <c r="W48" s="3">
        <v>9825</v>
      </c>
      <c r="X48" s="3">
        <v>9106</v>
      </c>
      <c r="Y48" s="3">
        <v>8783</v>
      </c>
      <c r="Z48" s="3">
        <v>8307</v>
      </c>
      <c r="AA48" s="3">
        <v>7686</v>
      </c>
      <c r="AB48" s="3">
        <v>7317</v>
      </c>
      <c r="AC48" s="3">
        <v>9233</v>
      </c>
      <c r="AD48" s="3">
        <v>10950</v>
      </c>
      <c r="AE48" s="3">
        <v>11829</v>
      </c>
      <c r="AF48" s="3">
        <v>13460</v>
      </c>
      <c r="AG48" s="3">
        <v>15283</v>
      </c>
      <c r="AH48" s="3">
        <v>16603</v>
      </c>
      <c r="AI48" s="3">
        <v>18385</v>
      </c>
      <c r="AJ48" s="3">
        <v>20082</v>
      </c>
      <c r="AK48" s="3">
        <v>21962</v>
      </c>
    </row>
    <row r="49" spans="1:37" x14ac:dyDescent="0.3">
      <c r="A49" s="11" t="s">
        <v>160</v>
      </c>
      <c r="B49" s="11">
        <v>-7340</v>
      </c>
      <c r="C49" s="11">
        <v>-5306</v>
      </c>
      <c r="D49" s="11">
        <v>-3879</v>
      </c>
      <c r="E49" s="11">
        <v>-3772</v>
      </c>
      <c r="F49" s="11">
        <v>-1044</v>
      </c>
      <c r="G49" s="11">
        <v>-2857</v>
      </c>
      <c r="H49" s="11">
        <v>-624</v>
      </c>
      <c r="I49" s="11">
        <v>-4090</v>
      </c>
      <c r="J49" s="11">
        <v>-528</v>
      </c>
      <c r="K49" s="11">
        <v>-8550</v>
      </c>
      <c r="L49" s="11">
        <v>-368</v>
      </c>
      <c r="M49" s="11">
        <v>-2987</v>
      </c>
      <c r="N49" s="11">
        <v>-5498</v>
      </c>
      <c r="O49" s="11">
        <v>-13647</v>
      </c>
      <c r="P49" s="11">
        <v>-11137</v>
      </c>
      <c r="Q49" s="11">
        <v>-14482</v>
      </c>
      <c r="R49" s="11">
        <v>-13904</v>
      </c>
      <c r="S49" s="11">
        <v>-10265</v>
      </c>
      <c r="T49" s="11">
        <v>-10693</v>
      </c>
      <c r="U49" s="11">
        <v>-5572</v>
      </c>
      <c r="V49" s="11">
        <v>-11185</v>
      </c>
      <c r="W49" s="11">
        <v>-5880</v>
      </c>
      <c r="X49" s="11">
        <v>-1695</v>
      </c>
      <c r="Y49" s="11">
        <v>-9412</v>
      </c>
      <c r="Z49" s="11">
        <v>-33259</v>
      </c>
      <c r="AA49" s="11">
        <v>-20096</v>
      </c>
      <c r="AB49" s="11">
        <v>-13710</v>
      </c>
      <c r="AC49" s="11">
        <v>-19384</v>
      </c>
      <c r="AD49" s="11">
        <v>-16882</v>
      </c>
      <c r="AE49" s="11">
        <v>-23775</v>
      </c>
      <c r="AF49" s="11">
        <v>-23685</v>
      </c>
      <c r="AG49" s="11">
        <v>-31306</v>
      </c>
      <c r="AH49" s="11">
        <v>-33714</v>
      </c>
      <c r="AI49" s="11">
        <v>-40138</v>
      </c>
      <c r="AJ49" s="11">
        <v>-41826</v>
      </c>
      <c r="AK49" s="11">
        <v>-44959</v>
      </c>
    </row>
    <row r="50" spans="1:37" x14ac:dyDescent="0.3">
      <c r="A50" s="7" t="s">
        <v>161</v>
      </c>
      <c r="B50" s="3">
        <v>-5380</v>
      </c>
      <c r="C50" s="3">
        <v>-3348</v>
      </c>
      <c r="D50" s="3">
        <v>-1389</v>
      </c>
      <c r="E50" s="3">
        <v>-1454</v>
      </c>
      <c r="F50" s="3">
        <v>1488</v>
      </c>
      <c r="G50" s="3">
        <v>172</v>
      </c>
      <c r="H50" s="3">
        <v>1218</v>
      </c>
      <c r="I50" s="3">
        <v>-665</v>
      </c>
      <c r="J50" s="3">
        <v>1004</v>
      </c>
      <c r="K50" s="3">
        <v>811</v>
      </c>
      <c r="L50" s="3">
        <v>1092</v>
      </c>
      <c r="M50" s="3">
        <v>230</v>
      </c>
      <c r="N50" s="3">
        <v>-1766</v>
      </c>
      <c r="O50" s="3">
        <v>-9161</v>
      </c>
      <c r="P50" s="3">
        <v>-7375</v>
      </c>
      <c r="Q50" s="3">
        <v>-8241</v>
      </c>
      <c r="R50" s="3">
        <v>-6152</v>
      </c>
      <c r="S50" s="3">
        <v>-5641</v>
      </c>
      <c r="T50" s="3">
        <v>-6360</v>
      </c>
      <c r="U50" s="3">
        <v>-2464</v>
      </c>
      <c r="V50" s="3">
        <v>-8074</v>
      </c>
      <c r="W50" s="3">
        <v>-2864</v>
      </c>
      <c r="X50" s="3">
        <v>194</v>
      </c>
      <c r="Y50" s="3">
        <v>-6263</v>
      </c>
      <c r="Z50" s="3">
        <v>-28995</v>
      </c>
      <c r="AA50" s="3">
        <v>-15688</v>
      </c>
      <c r="AB50" s="3">
        <v>-8891</v>
      </c>
      <c r="AC50" s="3">
        <v>-14451</v>
      </c>
      <c r="AD50" s="3">
        <v>-10559</v>
      </c>
      <c r="AE50" s="3">
        <v>-16472</v>
      </c>
      <c r="AF50" s="3">
        <v>-16313</v>
      </c>
      <c r="AG50" s="3">
        <v>-23358</v>
      </c>
      <c r="AH50" s="3">
        <v>-25049</v>
      </c>
      <c r="AI50" s="3">
        <v>-30821</v>
      </c>
      <c r="AJ50" s="3">
        <v>-31481</v>
      </c>
      <c r="AK50" s="3">
        <v>-34544</v>
      </c>
    </row>
    <row r="51" spans="1:37" x14ac:dyDescent="0.3">
      <c r="A51" s="11" t="s">
        <v>162</v>
      </c>
      <c r="B51" s="11">
        <v>9197</v>
      </c>
      <c r="C51" s="11">
        <v>10500</v>
      </c>
      <c r="D51" s="11">
        <v>11940</v>
      </c>
      <c r="E51" s="11">
        <v>11539</v>
      </c>
      <c r="F51" s="11">
        <v>14666</v>
      </c>
      <c r="G51" s="11">
        <v>13002</v>
      </c>
      <c r="H51" s="11">
        <v>14068</v>
      </c>
      <c r="I51" s="11">
        <v>9639</v>
      </c>
      <c r="J51" s="11">
        <v>12513</v>
      </c>
      <c r="K51" s="11">
        <v>3922</v>
      </c>
      <c r="L51" s="11">
        <v>12033</v>
      </c>
      <c r="M51" s="11">
        <v>9498</v>
      </c>
      <c r="N51" s="11">
        <v>7086</v>
      </c>
      <c r="O51" s="11">
        <v>-1414</v>
      </c>
      <c r="P51" s="11">
        <v>786</v>
      </c>
      <c r="Q51" s="11">
        <v>-2162</v>
      </c>
      <c r="R51" s="11">
        <v>-1123</v>
      </c>
      <c r="S51" s="11">
        <v>1837</v>
      </c>
      <c r="T51" s="11">
        <v>1401</v>
      </c>
      <c r="U51" s="11">
        <v>5620</v>
      </c>
      <c r="V51" s="11">
        <v>-327</v>
      </c>
      <c r="W51" s="11">
        <v>3945</v>
      </c>
      <c r="X51" s="11">
        <v>7411</v>
      </c>
      <c r="Y51" s="11">
        <v>-629</v>
      </c>
      <c r="Z51" s="11">
        <v>-24952</v>
      </c>
      <c r="AA51" s="11">
        <v>-12409</v>
      </c>
      <c r="AB51" s="11">
        <v>-6392</v>
      </c>
      <c r="AC51" s="11">
        <v>-10151</v>
      </c>
      <c r="AD51" s="11">
        <v>-5933</v>
      </c>
      <c r="AE51" s="11">
        <v>-11946</v>
      </c>
      <c r="AF51" s="11">
        <v>-10225</v>
      </c>
      <c r="AG51" s="11">
        <v>-16023</v>
      </c>
      <c r="AH51" s="11">
        <v>-17111</v>
      </c>
      <c r="AI51" s="11">
        <v>-21753</v>
      </c>
      <c r="AJ51" s="11">
        <v>-21744</v>
      </c>
      <c r="AK51" s="11">
        <v>-22997</v>
      </c>
    </row>
    <row r="52" spans="1:37" x14ac:dyDescent="0.3">
      <c r="A52" s="3" t="s">
        <v>163</v>
      </c>
      <c r="B52" s="3">
        <v>9253</v>
      </c>
      <c r="C52" s="3">
        <v>9191</v>
      </c>
      <c r="D52" s="3">
        <v>9298</v>
      </c>
      <c r="E52" s="3">
        <v>9706</v>
      </c>
      <c r="F52" s="3">
        <v>9986</v>
      </c>
      <c r="G52" s="3">
        <v>10079</v>
      </c>
      <c r="H52" s="3">
        <v>10202</v>
      </c>
      <c r="I52" s="3">
        <v>10410</v>
      </c>
      <c r="J52" s="3">
        <v>9205</v>
      </c>
      <c r="K52" s="3">
        <v>9658</v>
      </c>
      <c r="L52" s="3">
        <v>9876</v>
      </c>
      <c r="M52" s="3">
        <v>10244</v>
      </c>
      <c r="N52" s="3">
        <v>11112</v>
      </c>
      <c r="O52" s="3">
        <v>11427</v>
      </c>
      <c r="P52" s="3">
        <v>11666</v>
      </c>
      <c r="Q52" s="3">
        <v>12046</v>
      </c>
      <c r="R52" s="3">
        <v>12213</v>
      </c>
      <c r="S52" s="3">
        <v>12150</v>
      </c>
      <c r="T52" s="3">
        <v>12849</v>
      </c>
      <c r="U52" s="3">
        <v>12509</v>
      </c>
      <c r="V52" s="3">
        <v>12560</v>
      </c>
      <c r="W52" s="3">
        <v>12545</v>
      </c>
      <c r="X52" s="3">
        <v>12860</v>
      </c>
      <c r="Y52" s="3">
        <v>13229</v>
      </c>
      <c r="Z52" s="3">
        <v>13789</v>
      </c>
      <c r="AA52" s="3">
        <v>15325</v>
      </c>
      <c r="AB52" s="3">
        <v>18487</v>
      </c>
      <c r="AC52" s="3">
        <v>18416</v>
      </c>
      <c r="AD52" s="3">
        <v>18665</v>
      </c>
      <c r="AE52" s="3">
        <v>19561</v>
      </c>
      <c r="AF52" s="3">
        <v>20847</v>
      </c>
      <c r="AG52" s="3">
        <v>22214</v>
      </c>
      <c r="AH52" s="3">
        <v>22537</v>
      </c>
      <c r="AI52" s="3">
        <v>23314</v>
      </c>
      <c r="AJ52" s="3">
        <v>22845</v>
      </c>
      <c r="AK52" s="3">
        <v>23411</v>
      </c>
    </row>
  </sheetData>
  <mergeCells count="1">
    <mergeCell ref="A1:AK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7586-B15A-4A8C-9E51-59B85FC024C8}">
  <dimension ref="A1:AK50"/>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25" width="6" style="1" bestFit="1" customWidth="1"/>
    <col min="26" max="26" width="6.6640625" style="1" bestFit="1" customWidth="1"/>
    <col min="27" max="37" width="7" style="1" bestFit="1" customWidth="1"/>
    <col min="38" max="16384" width="9.109375" style="1"/>
  </cols>
  <sheetData>
    <row r="1" spans="1:37" ht="15" customHeight="1" x14ac:dyDescent="0.3">
      <c r="A1" s="28" t="s">
        <v>183</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 t="s">
        <v>78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121</v>
      </c>
      <c r="B4" s="12">
        <v>28278</v>
      </c>
      <c r="C4" s="12">
        <v>30155</v>
      </c>
      <c r="D4" s="12">
        <v>31990</v>
      </c>
      <c r="E4" s="12">
        <v>33779</v>
      </c>
      <c r="F4" s="12">
        <v>34442</v>
      </c>
      <c r="G4" s="12">
        <v>37492</v>
      </c>
      <c r="H4" s="12">
        <v>38367</v>
      </c>
      <c r="I4" s="12">
        <v>40585</v>
      </c>
      <c r="J4" s="12">
        <v>42568</v>
      </c>
      <c r="K4" s="12">
        <v>44918</v>
      </c>
      <c r="L4" s="12">
        <v>46886</v>
      </c>
      <c r="M4" s="12">
        <v>49646</v>
      </c>
      <c r="N4" s="12">
        <v>52610</v>
      </c>
      <c r="O4" s="12">
        <v>52525</v>
      </c>
      <c r="P4" s="12">
        <v>54296</v>
      </c>
      <c r="Q4" s="12">
        <v>59109</v>
      </c>
      <c r="R4" s="12">
        <v>61754</v>
      </c>
      <c r="S4" s="12">
        <v>64008</v>
      </c>
      <c r="T4" s="12">
        <v>64644</v>
      </c>
      <c r="U4" s="12">
        <v>75327</v>
      </c>
      <c r="V4" s="12">
        <v>84101</v>
      </c>
      <c r="W4" s="12">
        <v>87277</v>
      </c>
      <c r="X4" s="12">
        <v>89303</v>
      </c>
      <c r="Y4" s="12">
        <v>91852</v>
      </c>
      <c r="Z4" s="12">
        <v>89221</v>
      </c>
      <c r="AA4" s="12">
        <v>95273</v>
      </c>
      <c r="AB4" s="12">
        <v>104655</v>
      </c>
      <c r="AC4" s="12">
        <v>113301</v>
      </c>
      <c r="AD4" s="12">
        <v>115537</v>
      </c>
      <c r="AE4" s="12">
        <v>119430</v>
      </c>
      <c r="AF4" s="12">
        <v>122678</v>
      </c>
      <c r="AG4" s="12">
        <v>127806</v>
      </c>
      <c r="AH4" s="12">
        <v>131783</v>
      </c>
      <c r="AI4" s="12">
        <v>135919</v>
      </c>
      <c r="AJ4" s="12">
        <v>139076</v>
      </c>
      <c r="AK4" s="12">
        <v>142394</v>
      </c>
    </row>
    <row r="5" spans="1:37" x14ac:dyDescent="0.3">
      <c r="A5" s="14" t="s">
        <v>122</v>
      </c>
      <c r="B5" s="3">
        <v>2265</v>
      </c>
      <c r="C5" s="3">
        <v>2406</v>
      </c>
      <c r="D5" s="3">
        <v>2626</v>
      </c>
      <c r="E5" s="3">
        <v>2791</v>
      </c>
      <c r="F5" s="3">
        <v>2926</v>
      </c>
      <c r="G5" s="3">
        <v>3057</v>
      </c>
      <c r="H5" s="3">
        <v>5698</v>
      </c>
      <c r="I5" s="3">
        <v>6028</v>
      </c>
      <c r="J5" s="3">
        <v>6543</v>
      </c>
      <c r="K5" s="3">
        <v>7201</v>
      </c>
      <c r="L5" s="3">
        <v>7692</v>
      </c>
      <c r="M5" s="3">
        <v>8246</v>
      </c>
      <c r="N5" s="3">
        <v>8473</v>
      </c>
      <c r="O5" s="3">
        <v>8007</v>
      </c>
      <c r="P5" s="3">
        <v>8900</v>
      </c>
      <c r="Q5" s="3">
        <v>9732</v>
      </c>
      <c r="R5" s="3">
        <v>10144</v>
      </c>
      <c r="S5" s="3">
        <v>11260</v>
      </c>
      <c r="T5" s="3">
        <v>11211</v>
      </c>
      <c r="U5" s="3">
        <v>15892</v>
      </c>
      <c r="V5" s="3">
        <v>22075</v>
      </c>
      <c r="W5" s="3">
        <v>23069</v>
      </c>
      <c r="X5" s="3">
        <v>22827</v>
      </c>
      <c r="Y5" s="3">
        <v>23814</v>
      </c>
      <c r="Z5" s="3">
        <v>23841</v>
      </c>
      <c r="AA5" s="3">
        <v>23888</v>
      </c>
      <c r="AB5" s="3">
        <v>25917</v>
      </c>
      <c r="AC5" s="3">
        <v>26529</v>
      </c>
      <c r="AD5" s="3">
        <v>27657</v>
      </c>
      <c r="AE5" s="3">
        <v>28959</v>
      </c>
      <c r="AF5" s="3">
        <v>30053</v>
      </c>
      <c r="AG5" s="3">
        <v>31012</v>
      </c>
      <c r="AH5" s="3">
        <v>33317</v>
      </c>
      <c r="AI5" s="3">
        <v>34944</v>
      </c>
      <c r="AJ5" s="3">
        <v>35838</v>
      </c>
      <c r="AK5" s="3">
        <v>36669</v>
      </c>
    </row>
    <row r="6" spans="1:37" x14ac:dyDescent="0.3">
      <c r="A6" s="7" t="s">
        <v>123</v>
      </c>
      <c r="B6" s="3">
        <v>2265</v>
      </c>
      <c r="C6" s="3">
        <v>2406</v>
      </c>
      <c r="D6" s="3">
        <v>2626</v>
      </c>
      <c r="E6" s="3">
        <v>2791</v>
      </c>
      <c r="F6" s="3">
        <v>2926</v>
      </c>
      <c r="G6" s="3">
        <v>3057</v>
      </c>
      <c r="H6" s="3">
        <v>5667</v>
      </c>
      <c r="I6" s="3">
        <v>6001</v>
      </c>
      <c r="J6" s="3">
        <v>6506</v>
      </c>
      <c r="K6" s="3">
        <v>7167</v>
      </c>
      <c r="L6" s="3">
        <v>7655</v>
      </c>
      <c r="M6" s="3">
        <v>8212</v>
      </c>
      <c r="N6" s="3">
        <v>8434</v>
      </c>
      <c r="O6" s="3">
        <v>7972</v>
      </c>
      <c r="P6" s="3">
        <v>8866</v>
      </c>
      <c r="Q6" s="3">
        <v>9696</v>
      </c>
      <c r="R6" s="3">
        <v>10129</v>
      </c>
      <c r="S6" s="3">
        <v>11246</v>
      </c>
      <c r="T6" s="3">
        <v>11202</v>
      </c>
      <c r="U6" s="3">
        <v>15883</v>
      </c>
      <c r="V6" s="3">
        <v>21850</v>
      </c>
      <c r="W6" s="3">
        <v>22839</v>
      </c>
      <c r="X6" s="3">
        <v>22572</v>
      </c>
      <c r="Y6" s="3">
        <v>23558</v>
      </c>
      <c r="Z6" s="3">
        <v>23585</v>
      </c>
      <c r="AA6" s="3">
        <v>23628</v>
      </c>
      <c r="AB6" s="3">
        <v>25637</v>
      </c>
      <c r="AC6" s="3">
        <v>26235</v>
      </c>
      <c r="AD6" s="3">
        <v>27338</v>
      </c>
      <c r="AE6" s="3">
        <v>28634</v>
      </c>
      <c r="AF6" s="3">
        <v>29592</v>
      </c>
      <c r="AG6" s="3">
        <v>30549</v>
      </c>
      <c r="AH6" s="3">
        <v>32852</v>
      </c>
      <c r="AI6" s="3">
        <v>34476</v>
      </c>
      <c r="AJ6" s="3">
        <v>35371</v>
      </c>
      <c r="AK6" s="3">
        <v>36203</v>
      </c>
    </row>
    <row r="7" spans="1:37" x14ac:dyDescent="0.3">
      <c r="A7" s="9" t="s">
        <v>165</v>
      </c>
      <c r="B7" s="3">
        <v>32</v>
      </c>
      <c r="C7" s="3">
        <v>17</v>
      </c>
      <c r="D7" s="3">
        <v>24</v>
      </c>
      <c r="E7" s="3">
        <v>25</v>
      </c>
      <c r="F7" s="3">
        <v>20</v>
      </c>
      <c r="G7" s="3">
        <v>83</v>
      </c>
      <c r="H7" s="3">
        <v>1036</v>
      </c>
      <c r="I7" s="3">
        <v>1001</v>
      </c>
      <c r="J7" s="3">
        <v>1021</v>
      </c>
      <c r="K7" s="3">
        <v>1049</v>
      </c>
      <c r="L7" s="3">
        <v>1040</v>
      </c>
      <c r="M7" s="3">
        <v>1137</v>
      </c>
      <c r="N7" s="3">
        <v>1124</v>
      </c>
      <c r="O7" s="3">
        <v>1112</v>
      </c>
      <c r="P7" s="3">
        <v>1124</v>
      </c>
      <c r="Q7" s="3">
        <v>1209</v>
      </c>
      <c r="R7" s="3">
        <v>1174</v>
      </c>
      <c r="S7" s="3">
        <v>1198</v>
      </c>
      <c r="T7" s="3">
        <v>1160</v>
      </c>
      <c r="U7" s="3">
        <v>5620</v>
      </c>
      <c r="V7" s="3">
        <v>11061</v>
      </c>
      <c r="W7" s="3">
        <v>11406</v>
      </c>
      <c r="X7" s="3">
        <v>10905</v>
      </c>
      <c r="Y7" s="3">
        <v>11545</v>
      </c>
      <c r="Z7" s="3">
        <v>12205</v>
      </c>
      <c r="AA7" s="3">
        <v>10572</v>
      </c>
      <c r="AB7" s="3">
        <v>12657</v>
      </c>
      <c r="AC7" s="3">
        <v>13769</v>
      </c>
      <c r="AD7" s="3">
        <v>14363</v>
      </c>
      <c r="AE7" s="3">
        <v>15819</v>
      </c>
      <c r="AF7" s="3">
        <v>16383</v>
      </c>
      <c r="AG7" s="3">
        <v>17072</v>
      </c>
      <c r="AH7" s="3">
        <v>17804</v>
      </c>
      <c r="AI7" s="3">
        <v>18491</v>
      </c>
      <c r="AJ7" s="3">
        <v>18757</v>
      </c>
      <c r="AK7" s="3">
        <v>19189</v>
      </c>
    </row>
    <row r="8" spans="1:37" x14ac:dyDescent="0.3">
      <c r="A8" s="9" t="s">
        <v>127</v>
      </c>
      <c r="B8" s="3">
        <v>1496</v>
      </c>
      <c r="C8" s="3">
        <v>1676</v>
      </c>
      <c r="D8" s="3">
        <v>1758</v>
      </c>
      <c r="E8" s="3">
        <v>1874</v>
      </c>
      <c r="F8" s="3">
        <v>1863</v>
      </c>
      <c r="G8" s="3">
        <v>1901</v>
      </c>
      <c r="H8" s="3">
        <v>3459</v>
      </c>
      <c r="I8" s="3">
        <v>3708</v>
      </c>
      <c r="J8" s="3">
        <v>3923</v>
      </c>
      <c r="K8" s="3">
        <v>4368</v>
      </c>
      <c r="L8" s="3">
        <v>4665</v>
      </c>
      <c r="M8" s="3">
        <v>5022</v>
      </c>
      <c r="N8" s="3">
        <v>5111</v>
      </c>
      <c r="O8" s="3">
        <v>4811</v>
      </c>
      <c r="P8" s="3">
        <v>5446</v>
      </c>
      <c r="Q8" s="3">
        <v>6024</v>
      </c>
      <c r="R8" s="3">
        <v>6216</v>
      </c>
      <c r="S8" s="3">
        <v>6712</v>
      </c>
      <c r="T8" s="3">
        <v>6948</v>
      </c>
      <c r="U8" s="3">
        <v>7188</v>
      </c>
      <c r="V8" s="3">
        <v>7857</v>
      </c>
      <c r="W8" s="3">
        <v>8303</v>
      </c>
      <c r="X8" s="3">
        <v>8417</v>
      </c>
      <c r="Y8" s="3">
        <v>9058</v>
      </c>
      <c r="Z8" s="3">
        <v>8394</v>
      </c>
      <c r="AA8" s="3">
        <v>9366</v>
      </c>
      <c r="AB8" s="3">
        <v>9398</v>
      </c>
      <c r="AC8" s="3">
        <v>8857</v>
      </c>
      <c r="AD8" s="3">
        <v>9175</v>
      </c>
      <c r="AE8" s="3">
        <v>8746</v>
      </c>
      <c r="AF8" s="3">
        <v>9096</v>
      </c>
      <c r="AG8" s="3">
        <v>9214</v>
      </c>
      <c r="AH8" s="3">
        <v>11309</v>
      </c>
      <c r="AI8" s="3">
        <v>12176</v>
      </c>
      <c r="AJ8" s="3">
        <v>12686</v>
      </c>
      <c r="AK8" s="3">
        <v>12970</v>
      </c>
    </row>
    <row r="9" spans="1:37" x14ac:dyDescent="0.3">
      <c r="A9" s="9" t="s">
        <v>184</v>
      </c>
      <c r="B9" s="3">
        <v>737</v>
      </c>
      <c r="C9" s="3">
        <v>713</v>
      </c>
      <c r="D9" s="3">
        <v>844</v>
      </c>
      <c r="E9" s="3">
        <v>893</v>
      </c>
      <c r="F9" s="3">
        <v>1042</v>
      </c>
      <c r="G9" s="3">
        <v>1073</v>
      </c>
      <c r="H9" s="3">
        <v>1172</v>
      </c>
      <c r="I9" s="3">
        <v>1292</v>
      </c>
      <c r="J9" s="3">
        <v>1562</v>
      </c>
      <c r="K9" s="3">
        <v>1749</v>
      </c>
      <c r="L9" s="3">
        <v>1950</v>
      </c>
      <c r="M9" s="3">
        <v>2053</v>
      </c>
      <c r="N9" s="3">
        <v>2198</v>
      </c>
      <c r="O9" s="3">
        <v>2050</v>
      </c>
      <c r="P9" s="3">
        <v>2296</v>
      </c>
      <c r="Q9" s="3">
        <v>2463</v>
      </c>
      <c r="R9" s="3">
        <v>2739</v>
      </c>
      <c r="S9" s="3">
        <v>3335</v>
      </c>
      <c r="T9" s="3">
        <v>3094</v>
      </c>
      <c r="U9" s="3">
        <v>3075</v>
      </c>
      <c r="V9" s="3">
        <v>2932</v>
      </c>
      <c r="W9" s="3">
        <v>3130</v>
      </c>
      <c r="X9" s="3">
        <v>3250</v>
      </c>
      <c r="Y9" s="3">
        <v>2956</v>
      </c>
      <c r="Z9" s="3">
        <v>2987</v>
      </c>
      <c r="AA9" s="3">
        <v>3690</v>
      </c>
      <c r="AB9" s="3">
        <v>3582</v>
      </c>
      <c r="AC9" s="3">
        <v>3608</v>
      </c>
      <c r="AD9" s="3">
        <v>3800</v>
      </c>
      <c r="AE9" s="3">
        <v>4069</v>
      </c>
      <c r="AF9" s="3">
        <v>4113</v>
      </c>
      <c r="AG9" s="3">
        <v>4263</v>
      </c>
      <c r="AH9" s="3">
        <v>3739</v>
      </c>
      <c r="AI9" s="3">
        <v>3810</v>
      </c>
      <c r="AJ9" s="3">
        <v>3928</v>
      </c>
      <c r="AK9" s="3">
        <v>4044</v>
      </c>
    </row>
    <row r="10" spans="1:37" x14ac:dyDescent="0.3">
      <c r="A10" s="7" t="s">
        <v>128</v>
      </c>
      <c r="B10" s="3">
        <v>0</v>
      </c>
      <c r="C10" s="3">
        <v>0</v>
      </c>
      <c r="D10" s="3">
        <v>0</v>
      </c>
      <c r="E10" s="3">
        <v>0</v>
      </c>
      <c r="F10" s="3">
        <v>0</v>
      </c>
      <c r="G10" s="3">
        <v>0</v>
      </c>
      <c r="H10" s="3">
        <v>31</v>
      </c>
      <c r="I10" s="3">
        <v>27</v>
      </c>
      <c r="J10" s="3">
        <v>36</v>
      </c>
      <c r="K10" s="3">
        <v>34</v>
      </c>
      <c r="L10" s="3">
        <v>37</v>
      </c>
      <c r="M10" s="3">
        <v>34</v>
      </c>
      <c r="N10" s="3">
        <v>40</v>
      </c>
      <c r="O10" s="3">
        <v>34</v>
      </c>
      <c r="P10" s="3">
        <v>34</v>
      </c>
      <c r="Q10" s="3">
        <v>36</v>
      </c>
      <c r="R10" s="3">
        <v>15</v>
      </c>
      <c r="S10" s="3">
        <v>14</v>
      </c>
      <c r="T10" s="3">
        <v>10</v>
      </c>
      <c r="U10" s="3">
        <v>9</v>
      </c>
      <c r="V10" s="3">
        <v>225</v>
      </c>
      <c r="W10" s="3">
        <v>230</v>
      </c>
      <c r="X10" s="3">
        <v>255</v>
      </c>
      <c r="Y10" s="3">
        <v>255</v>
      </c>
      <c r="Z10" s="3">
        <v>256</v>
      </c>
      <c r="AA10" s="3">
        <v>260</v>
      </c>
      <c r="AB10" s="3">
        <v>280</v>
      </c>
      <c r="AC10" s="3">
        <v>295</v>
      </c>
      <c r="AD10" s="3">
        <v>319</v>
      </c>
      <c r="AE10" s="3">
        <v>325</v>
      </c>
      <c r="AF10" s="3">
        <v>462</v>
      </c>
      <c r="AG10" s="3">
        <v>463</v>
      </c>
      <c r="AH10" s="3">
        <v>465</v>
      </c>
      <c r="AI10" s="3">
        <v>467</v>
      </c>
      <c r="AJ10" s="3">
        <v>466</v>
      </c>
      <c r="AK10" s="3">
        <v>466</v>
      </c>
    </row>
    <row r="11" spans="1:37" x14ac:dyDescent="0.3">
      <c r="A11" s="14" t="s">
        <v>129</v>
      </c>
      <c r="B11" s="3">
        <v>2528</v>
      </c>
      <c r="C11" s="3">
        <v>2636</v>
      </c>
      <c r="D11" s="3">
        <v>2900</v>
      </c>
      <c r="E11" s="3">
        <v>3155</v>
      </c>
      <c r="F11" s="3">
        <v>3121</v>
      </c>
      <c r="G11" s="3">
        <v>3281</v>
      </c>
      <c r="H11" s="3">
        <v>3848</v>
      </c>
      <c r="I11" s="3">
        <v>4097</v>
      </c>
      <c r="J11" s="3">
        <v>4204</v>
      </c>
      <c r="K11" s="3">
        <v>4363</v>
      </c>
      <c r="L11" s="3">
        <v>4633</v>
      </c>
      <c r="M11" s="3">
        <v>4815</v>
      </c>
      <c r="N11" s="3">
        <v>5120</v>
      </c>
      <c r="O11" s="3">
        <v>5407</v>
      </c>
      <c r="P11" s="3">
        <v>5982</v>
      </c>
      <c r="Q11" s="3">
        <v>6574</v>
      </c>
      <c r="R11" s="3">
        <v>7051</v>
      </c>
      <c r="S11" s="3">
        <v>7245</v>
      </c>
      <c r="T11" s="3">
        <v>6892</v>
      </c>
      <c r="U11" s="3">
        <v>7344</v>
      </c>
      <c r="V11" s="3">
        <v>8119</v>
      </c>
      <c r="W11" s="3">
        <v>8710</v>
      </c>
      <c r="X11" s="3">
        <v>9251</v>
      </c>
      <c r="Y11" s="3">
        <v>9419</v>
      </c>
      <c r="Z11" s="3">
        <v>9270</v>
      </c>
      <c r="AA11" s="3">
        <v>10230</v>
      </c>
      <c r="AB11" s="3">
        <v>12002</v>
      </c>
      <c r="AC11" s="3">
        <v>13246</v>
      </c>
      <c r="AD11" s="3">
        <v>14152</v>
      </c>
      <c r="AE11" s="3">
        <v>14247</v>
      </c>
      <c r="AF11" s="3">
        <v>15065</v>
      </c>
      <c r="AG11" s="3">
        <v>14887</v>
      </c>
      <c r="AH11" s="3">
        <v>14986</v>
      </c>
      <c r="AI11" s="3">
        <v>15288</v>
      </c>
      <c r="AJ11" s="3">
        <v>15313</v>
      </c>
      <c r="AK11" s="3">
        <v>15618</v>
      </c>
    </row>
    <row r="12" spans="1:37" x14ac:dyDescent="0.3">
      <c r="A12" s="7" t="s">
        <v>130</v>
      </c>
      <c r="B12" s="3">
        <v>350</v>
      </c>
      <c r="C12" s="3">
        <v>354</v>
      </c>
      <c r="D12" s="3">
        <v>407</v>
      </c>
      <c r="E12" s="3">
        <v>481</v>
      </c>
      <c r="F12" s="3">
        <v>448</v>
      </c>
      <c r="G12" s="3">
        <v>473</v>
      </c>
      <c r="H12" s="3">
        <v>563</v>
      </c>
      <c r="I12" s="3">
        <v>605</v>
      </c>
      <c r="J12" s="3">
        <v>643</v>
      </c>
      <c r="K12" s="3">
        <v>655</v>
      </c>
      <c r="L12" s="3">
        <v>674</v>
      </c>
      <c r="M12" s="3">
        <v>816</v>
      </c>
      <c r="N12" s="3">
        <v>861</v>
      </c>
      <c r="O12" s="3">
        <v>840</v>
      </c>
      <c r="P12" s="3">
        <v>877</v>
      </c>
      <c r="Q12" s="3">
        <v>1193</v>
      </c>
      <c r="R12" s="3">
        <v>1166</v>
      </c>
      <c r="S12" s="3">
        <v>1151</v>
      </c>
      <c r="T12" s="3">
        <v>894</v>
      </c>
      <c r="U12" s="3">
        <v>1112</v>
      </c>
      <c r="V12" s="3">
        <v>1049</v>
      </c>
      <c r="W12" s="3">
        <v>1078</v>
      </c>
      <c r="X12" s="3">
        <v>1171</v>
      </c>
      <c r="Y12" s="3">
        <v>1113</v>
      </c>
      <c r="Z12" s="3">
        <v>964</v>
      </c>
      <c r="AA12" s="3">
        <v>1035</v>
      </c>
      <c r="AB12" s="3">
        <v>1205</v>
      </c>
      <c r="AC12" s="3">
        <v>1823</v>
      </c>
      <c r="AD12" s="3">
        <v>2133</v>
      </c>
      <c r="AE12" s="3">
        <v>1779</v>
      </c>
      <c r="AF12" s="3">
        <v>1804</v>
      </c>
      <c r="AG12" s="3">
        <v>1865</v>
      </c>
      <c r="AH12" s="3">
        <v>1923</v>
      </c>
      <c r="AI12" s="3">
        <v>1981</v>
      </c>
      <c r="AJ12" s="3">
        <v>2039</v>
      </c>
      <c r="AK12" s="3">
        <v>2095</v>
      </c>
    </row>
    <row r="13" spans="1:37" x14ac:dyDescent="0.3">
      <c r="A13" s="7" t="s">
        <v>131</v>
      </c>
      <c r="B13" s="3">
        <v>172</v>
      </c>
      <c r="C13" s="3">
        <v>141</v>
      </c>
      <c r="D13" s="3">
        <v>234</v>
      </c>
      <c r="E13" s="3">
        <v>286</v>
      </c>
      <c r="F13" s="3">
        <v>243</v>
      </c>
      <c r="G13" s="3">
        <v>260</v>
      </c>
      <c r="H13" s="3">
        <v>242</v>
      </c>
      <c r="I13" s="3">
        <v>272</v>
      </c>
      <c r="J13" s="3">
        <v>302</v>
      </c>
      <c r="K13" s="3">
        <v>380</v>
      </c>
      <c r="L13" s="3">
        <v>401</v>
      </c>
      <c r="M13" s="3">
        <v>397</v>
      </c>
      <c r="N13" s="3">
        <v>434</v>
      </c>
      <c r="O13" s="3">
        <v>345</v>
      </c>
      <c r="P13" s="3">
        <v>601</v>
      </c>
      <c r="Q13" s="3">
        <v>640</v>
      </c>
      <c r="R13" s="3">
        <v>753</v>
      </c>
      <c r="S13" s="3">
        <v>696</v>
      </c>
      <c r="T13" s="3">
        <v>716</v>
      </c>
      <c r="U13" s="3">
        <v>944</v>
      </c>
      <c r="V13" s="3">
        <v>951</v>
      </c>
      <c r="W13" s="3">
        <v>1071</v>
      </c>
      <c r="X13" s="3">
        <v>1258</v>
      </c>
      <c r="Y13" s="3">
        <v>1380</v>
      </c>
      <c r="Z13" s="3">
        <v>1524</v>
      </c>
      <c r="AA13" s="3">
        <v>1700</v>
      </c>
      <c r="AB13" s="3">
        <v>2155</v>
      </c>
      <c r="AC13" s="3">
        <v>2198</v>
      </c>
      <c r="AD13" s="3">
        <v>2453</v>
      </c>
      <c r="AE13" s="3">
        <v>2392</v>
      </c>
      <c r="AF13" s="3">
        <v>2411</v>
      </c>
      <c r="AG13" s="3">
        <v>2417</v>
      </c>
      <c r="AH13" s="3">
        <v>2099</v>
      </c>
      <c r="AI13" s="3">
        <v>1986</v>
      </c>
      <c r="AJ13" s="3">
        <v>1631</v>
      </c>
      <c r="AK13" s="3">
        <v>1559</v>
      </c>
    </row>
    <row r="14" spans="1:37" x14ac:dyDescent="0.3">
      <c r="A14" s="7" t="s">
        <v>132</v>
      </c>
      <c r="B14" s="3">
        <v>5</v>
      </c>
      <c r="C14" s="3">
        <v>9</v>
      </c>
      <c r="D14" s="3">
        <v>17</v>
      </c>
      <c r="E14" s="3">
        <v>28</v>
      </c>
      <c r="F14" s="3">
        <v>17</v>
      </c>
      <c r="G14" s="3">
        <v>29</v>
      </c>
      <c r="H14" s="3">
        <v>32</v>
      </c>
      <c r="I14" s="3">
        <v>36</v>
      </c>
      <c r="J14" s="3">
        <v>30</v>
      </c>
      <c r="K14" s="3">
        <v>36</v>
      </c>
      <c r="L14" s="3">
        <v>46</v>
      </c>
      <c r="M14" s="3">
        <v>41</v>
      </c>
      <c r="N14" s="3">
        <v>40</v>
      </c>
      <c r="O14" s="3">
        <v>49</v>
      </c>
      <c r="P14" s="3">
        <v>72</v>
      </c>
      <c r="Q14" s="3">
        <v>114</v>
      </c>
      <c r="R14" s="3">
        <v>116</v>
      </c>
      <c r="S14" s="3">
        <v>162</v>
      </c>
      <c r="T14" s="3">
        <v>99</v>
      </c>
      <c r="U14" s="3">
        <v>86</v>
      </c>
      <c r="V14" s="3">
        <v>136</v>
      </c>
      <c r="W14" s="3">
        <v>114</v>
      </c>
      <c r="X14" s="3">
        <v>165</v>
      </c>
      <c r="Y14" s="3">
        <v>179</v>
      </c>
      <c r="Z14" s="3">
        <v>151</v>
      </c>
      <c r="AA14" s="3">
        <v>279</v>
      </c>
      <c r="AB14" s="3">
        <v>630</v>
      </c>
      <c r="AC14" s="3">
        <v>617</v>
      </c>
      <c r="AD14" s="3">
        <v>371</v>
      </c>
      <c r="AE14" s="3">
        <v>580</v>
      </c>
      <c r="AF14" s="3">
        <v>902</v>
      </c>
      <c r="AG14" s="3">
        <v>145</v>
      </c>
      <c r="AH14" s="3">
        <v>148</v>
      </c>
      <c r="AI14" s="3">
        <v>151</v>
      </c>
      <c r="AJ14" s="3">
        <v>154</v>
      </c>
      <c r="AK14" s="3">
        <v>156</v>
      </c>
    </row>
    <row r="15" spans="1:37" x14ac:dyDescent="0.3">
      <c r="A15" s="7" t="s">
        <v>133</v>
      </c>
      <c r="B15" s="3">
        <v>2001</v>
      </c>
      <c r="C15" s="3">
        <v>2131</v>
      </c>
      <c r="D15" s="3">
        <v>2241</v>
      </c>
      <c r="E15" s="3">
        <v>2360</v>
      </c>
      <c r="F15" s="3">
        <v>2413</v>
      </c>
      <c r="G15" s="3">
        <v>2519</v>
      </c>
      <c r="H15" s="3">
        <v>3012</v>
      </c>
      <c r="I15" s="3">
        <v>3185</v>
      </c>
      <c r="J15" s="3">
        <v>3228</v>
      </c>
      <c r="K15" s="3">
        <v>3292</v>
      </c>
      <c r="L15" s="3">
        <v>3512</v>
      </c>
      <c r="M15" s="3">
        <v>3560</v>
      </c>
      <c r="N15" s="3">
        <v>3785</v>
      </c>
      <c r="O15" s="3">
        <v>4173</v>
      </c>
      <c r="P15" s="3">
        <v>4432</v>
      </c>
      <c r="Q15" s="3">
        <v>4628</v>
      </c>
      <c r="R15" s="3">
        <v>5016</v>
      </c>
      <c r="S15" s="3">
        <v>5236</v>
      </c>
      <c r="T15" s="3">
        <v>5184</v>
      </c>
      <c r="U15" s="3">
        <v>5202</v>
      </c>
      <c r="V15" s="3">
        <v>5982</v>
      </c>
      <c r="W15" s="3">
        <v>6448</v>
      </c>
      <c r="X15" s="3">
        <v>6657</v>
      </c>
      <c r="Y15" s="3">
        <v>6748</v>
      </c>
      <c r="Z15" s="3">
        <v>6632</v>
      </c>
      <c r="AA15" s="3">
        <v>7216</v>
      </c>
      <c r="AB15" s="3">
        <v>8012</v>
      </c>
      <c r="AC15" s="3">
        <v>8609</v>
      </c>
      <c r="AD15" s="3">
        <v>9195</v>
      </c>
      <c r="AE15" s="3">
        <v>9495</v>
      </c>
      <c r="AF15" s="3">
        <v>9947</v>
      </c>
      <c r="AG15" s="3">
        <v>10461</v>
      </c>
      <c r="AH15" s="3">
        <v>10815</v>
      </c>
      <c r="AI15" s="3">
        <v>11169</v>
      </c>
      <c r="AJ15" s="3">
        <v>11489</v>
      </c>
      <c r="AK15" s="3">
        <v>11808</v>
      </c>
    </row>
    <row r="16" spans="1:37" x14ac:dyDescent="0.3">
      <c r="A16" s="14" t="s">
        <v>166</v>
      </c>
      <c r="B16" s="3">
        <v>30</v>
      </c>
      <c r="C16" s="3">
        <v>24</v>
      </c>
      <c r="D16" s="3">
        <v>30</v>
      </c>
      <c r="E16" s="3">
        <v>28</v>
      </c>
      <c r="F16" s="3">
        <v>27</v>
      </c>
      <c r="G16" s="3">
        <v>23</v>
      </c>
      <c r="H16" s="3">
        <v>28</v>
      </c>
      <c r="I16" s="3">
        <v>35</v>
      </c>
      <c r="J16" s="3">
        <v>66</v>
      </c>
      <c r="K16" s="3">
        <v>118</v>
      </c>
      <c r="L16" s="3">
        <v>110</v>
      </c>
      <c r="M16" s="3">
        <v>142</v>
      </c>
      <c r="N16" s="3">
        <v>162</v>
      </c>
      <c r="O16" s="3">
        <v>218</v>
      </c>
      <c r="P16" s="3">
        <v>244</v>
      </c>
      <c r="Q16" s="3">
        <v>250</v>
      </c>
      <c r="R16" s="3">
        <v>270</v>
      </c>
      <c r="S16" s="3">
        <v>281</v>
      </c>
      <c r="T16" s="3">
        <v>282</v>
      </c>
      <c r="U16" s="3">
        <v>282</v>
      </c>
      <c r="V16" s="3">
        <v>281</v>
      </c>
      <c r="W16" s="3">
        <v>286</v>
      </c>
      <c r="X16" s="3">
        <v>297</v>
      </c>
      <c r="Y16" s="3">
        <v>323</v>
      </c>
      <c r="Z16" s="3">
        <v>368</v>
      </c>
      <c r="AA16" s="3">
        <v>360</v>
      </c>
      <c r="AB16" s="3">
        <v>388</v>
      </c>
      <c r="AC16" s="3">
        <v>358</v>
      </c>
      <c r="AD16" s="3">
        <v>321</v>
      </c>
      <c r="AE16" s="3">
        <v>320</v>
      </c>
      <c r="AF16" s="3">
        <v>327</v>
      </c>
      <c r="AG16" s="3">
        <v>332</v>
      </c>
      <c r="AH16" s="3">
        <v>325</v>
      </c>
      <c r="AI16" s="3">
        <v>322</v>
      </c>
      <c r="AJ16" s="3">
        <v>328</v>
      </c>
      <c r="AK16" s="3">
        <v>334</v>
      </c>
    </row>
    <row r="17" spans="1:37" x14ac:dyDescent="0.3">
      <c r="A17" s="14" t="s">
        <v>167</v>
      </c>
      <c r="B17" s="3">
        <v>1858</v>
      </c>
      <c r="C17" s="3">
        <v>1984</v>
      </c>
      <c r="D17" s="3">
        <v>2123</v>
      </c>
      <c r="E17" s="3">
        <v>2263</v>
      </c>
      <c r="F17" s="3">
        <v>2447</v>
      </c>
      <c r="G17" s="3">
        <v>2691</v>
      </c>
      <c r="H17" s="3">
        <v>2949</v>
      </c>
      <c r="I17" s="3">
        <v>3104</v>
      </c>
      <c r="J17" s="3">
        <v>3302</v>
      </c>
      <c r="K17" s="3">
        <v>3503</v>
      </c>
      <c r="L17" s="3">
        <v>3700</v>
      </c>
      <c r="M17" s="3">
        <v>3898</v>
      </c>
      <c r="N17" s="3">
        <v>4187</v>
      </c>
      <c r="O17" s="3">
        <v>4444</v>
      </c>
      <c r="P17" s="3">
        <v>4613</v>
      </c>
      <c r="Q17" s="3">
        <v>4930</v>
      </c>
      <c r="R17" s="3">
        <v>5188</v>
      </c>
      <c r="S17" s="3">
        <v>5450</v>
      </c>
      <c r="T17" s="3">
        <v>5567</v>
      </c>
      <c r="U17" s="3">
        <v>5403</v>
      </c>
      <c r="V17" s="3">
        <v>5608</v>
      </c>
      <c r="W17" s="3">
        <v>5869</v>
      </c>
      <c r="X17" s="3">
        <v>5992</v>
      </c>
      <c r="Y17" s="3">
        <v>6112</v>
      </c>
      <c r="Z17" s="3">
        <v>6259</v>
      </c>
      <c r="AA17" s="3">
        <v>6407</v>
      </c>
      <c r="AB17" s="3">
        <v>7030</v>
      </c>
      <c r="AC17" s="3">
        <v>7650</v>
      </c>
      <c r="AD17" s="3">
        <v>8048</v>
      </c>
      <c r="AE17" s="3">
        <v>8388</v>
      </c>
      <c r="AF17" s="3">
        <v>8723</v>
      </c>
      <c r="AG17" s="3">
        <v>9079</v>
      </c>
      <c r="AH17" s="3">
        <v>9356</v>
      </c>
      <c r="AI17" s="3">
        <v>9588</v>
      </c>
      <c r="AJ17" s="3">
        <v>9847</v>
      </c>
      <c r="AK17" s="3">
        <v>10090</v>
      </c>
    </row>
    <row r="18" spans="1:37" x14ac:dyDescent="0.3">
      <c r="A18" s="14" t="s">
        <v>168</v>
      </c>
      <c r="B18" s="3">
        <v>21597</v>
      </c>
      <c r="C18" s="3">
        <v>23105</v>
      </c>
      <c r="D18" s="3">
        <v>24311</v>
      </c>
      <c r="E18" s="3">
        <v>25541</v>
      </c>
      <c r="F18" s="3">
        <v>25921</v>
      </c>
      <c r="G18" s="3">
        <v>28441</v>
      </c>
      <c r="H18" s="3">
        <v>25845</v>
      </c>
      <c r="I18" s="3">
        <v>27320</v>
      </c>
      <c r="J18" s="3">
        <v>28454</v>
      </c>
      <c r="K18" s="3">
        <v>29733</v>
      </c>
      <c r="L18" s="3">
        <v>30751</v>
      </c>
      <c r="M18" s="3">
        <v>32546</v>
      </c>
      <c r="N18" s="3">
        <v>34667</v>
      </c>
      <c r="O18" s="3">
        <v>34449</v>
      </c>
      <c r="P18" s="3">
        <v>34556</v>
      </c>
      <c r="Q18" s="3">
        <v>37622</v>
      </c>
      <c r="R18" s="3">
        <v>39100</v>
      </c>
      <c r="S18" s="3">
        <v>39772</v>
      </c>
      <c r="T18" s="3">
        <v>40692</v>
      </c>
      <c r="U18" s="3">
        <v>46405</v>
      </c>
      <c r="V18" s="3">
        <v>48019</v>
      </c>
      <c r="W18" s="3">
        <v>49342</v>
      </c>
      <c r="X18" s="3">
        <v>50937</v>
      </c>
      <c r="Y18" s="3">
        <v>52185</v>
      </c>
      <c r="Z18" s="3">
        <v>49482</v>
      </c>
      <c r="AA18" s="3">
        <v>54388</v>
      </c>
      <c r="AB18" s="3">
        <v>59318</v>
      </c>
      <c r="AC18" s="3">
        <v>65518</v>
      </c>
      <c r="AD18" s="3">
        <v>65358</v>
      </c>
      <c r="AE18" s="3">
        <v>67517</v>
      </c>
      <c r="AF18" s="3">
        <v>68509</v>
      </c>
      <c r="AG18" s="3">
        <v>72496</v>
      </c>
      <c r="AH18" s="3">
        <v>73799</v>
      </c>
      <c r="AI18" s="3">
        <v>75777</v>
      </c>
      <c r="AJ18" s="3">
        <v>77751</v>
      </c>
      <c r="AK18" s="3">
        <v>79683</v>
      </c>
    </row>
    <row r="19" spans="1:37" x14ac:dyDescent="0.3">
      <c r="A19" s="7" t="s">
        <v>136</v>
      </c>
      <c r="B19" s="3">
        <v>19303</v>
      </c>
      <c r="C19" s="3">
        <v>20675</v>
      </c>
      <c r="D19" s="3">
        <v>21682</v>
      </c>
      <c r="E19" s="3">
        <v>22864</v>
      </c>
      <c r="F19" s="3">
        <v>23034</v>
      </c>
      <c r="G19" s="3">
        <v>25298</v>
      </c>
      <c r="H19" s="3">
        <v>22488</v>
      </c>
      <c r="I19" s="3">
        <v>23639</v>
      </c>
      <c r="J19" s="3">
        <v>24231</v>
      </c>
      <c r="K19" s="3">
        <v>25712</v>
      </c>
      <c r="L19" s="3">
        <v>26600</v>
      </c>
      <c r="M19" s="3">
        <v>28080</v>
      </c>
      <c r="N19" s="3">
        <v>29930</v>
      </c>
      <c r="O19" s="3">
        <v>29360</v>
      </c>
      <c r="P19" s="3">
        <v>29215</v>
      </c>
      <c r="Q19" s="3">
        <v>31912</v>
      </c>
      <c r="R19" s="3">
        <v>33052</v>
      </c>
      <c r="S19" s="3">
        <v>33310</v>
      </c>
      <c r="T19" s="3">
        <v>33986</v>
      </c>
      <c r="U19" s="3">
        <v>29384</v>
      </c>
      <c r="V19" s="3">
        <v>29478</v>
      </c>
      <c r="W19" s="3">
        <v>30180</v>
      </c>
      <c r="X19" s="3">
        <v>31268</v>
      </c>
      <c r="Y19" s="3">
        <v>32014</v>
      </c>
      <c r="Z19" s="3">
        <v>29549</v>
      </c>
      <c r="AA19" s="3">
        <v>33044</v>
      </c>
      <c r="AB19" s="3">
        <v>36366</v>
      </c>
      <c r="AC19" s="3">
        <v>40147</v>
      </c>
      <c r="AD19" s="3">
        <v>39779</v>
      </c>
      <c r="AE19" s="3">
        <v>41020</v>
      </c>
      <c r="AF19" s="3">
        <v>41311</v>
      </c>
      <c r="AG19" s="3">
        <v>43771</v>
      </c>
      <c r="AH19" s="3">
        <v>44348</v>
      </c>
      <c r="AI19" s="3">
        <v>45480</v>
      </c>
      <c r="AJ19" s="3">
        <v>46569</v>
      </c>
      <c r="AK19" s="3">
        <v>47638</v>
      </c>
    </row>
    <row r="20" spans="1:37" x14ac:dyDescent="0.3">
      <c r="A20" s="7" t="s">
        <v>137</v>
      </c>
      <c r="B20" s="3">
        <v>2294</v>
      </c>
      <c r="C20" s="3">
        <v>2430</v>
      </c>
      <c r="D20" s="3">
        <v>2628</v>
      </c>
      <c r="E20" s="3">
        <v>2677</v>
      </c>
      <c r="F20" s="3">
        <v>2888</v>
      </c>
      <c r="G20" s="3">
        <v>3143</v>
      </c>
      <c r="H20" s="3">
        <v>3357</v>
      </c>
      <c r="I20" s="3">
        <v>3681</v>
      </c>
      <c r="J20" s="3">
        <v>4223</v>
      </c>
      <c r="K20" s="3">
        <v>4021</v>
      </c>
      <c r="L20" s="3">
        <v>4151</v>
      </c>
      <c r="M20" s="3">
        <v>4466</v>
      </c>
      <c r="N20" s="3">
        <v>4738</v>
      </c>
      <c r="O20" s="3">
        <v>5089</v>
      </c>
      <c r="P20" s="3">
        <v>5342</v>
      </c>
      <c r="Q20" s="3">
        <v>5711</v>
      </c>
      <c r="R20" s="3">
        <v>6048</v>
      </c>
      <c r="S20" s="3">
        <v>6463</v>
      </c>
      <c r="T20" s="3">
        <v>6706</v>
      </c>
      <c r="U20" s="3">
        <v>17021</v>
      </c>
      <c r="V20" s="3">
        <v>18541</v>
      </c>
      <c r="W20" s="3">
        <v>19162</v>
      </c>
      <c r="X20" s="3">
        <v>19669</v>
      </c>
      <c r="Y20" s="3">
        <v>20171</v>
      </c>
      <c r="Z20" s="3">
        <v>19933</v>
      </c>
      <c r="AA20" s="3">
        <v>21344</v>
      </c>
      <c r="AB20" s="3">
        <v>22952</v>
      </c>
      <c r="AC20" s="3">
        <v>25371</v>
      </c>
      <c r="AD20" s="3">
        <v>25579</v>
      </c>
      <c r="AE20" s="3">
        <v>26496</v>
      </c>
      <c r="AF20" s="3">
        <v>27198</v>
      </c>
      <c r="AG20" s="3">
        <v>28726</v>
      </c>
      <c r="AH20" s="3">
        <v>29451</v>
      </c>
      <c r="AI20" s="3">
        <v>30297</v>
      </c>
      <c r="AJ20" s="3">
        <v>31182</v>
      </c>
      <c r="AK20" s="3">
        <v>32045</v>
      </c>
    </row>
    <row r="21" spans="1:37" x14ac:dyDescent="0.3">
      <c r="A21" s="9" t="s">
        <v>169</v>
      </c>
      <c r="B21" s="3">
        <v>2190</v>
      </c>
      <c r="C21" s="3">
        <v>2326</v>
      </c>
      <c r="D21" s="3">
        <v>2499</v>
      </c>
      <c r="E21" s="3">
        <v>2561</v>
      </c>
      <c r="F21" s="3">
        <v>2771</v>
      </c>
      <c r="G21" s="3">
        <v>3005</v>
      </c>
      <c r="H21" s="3">
        <v>3196</v>
      </c>
      <c r="I21" s="3">
        <v>3543</v>
      </c>
      <c r="J21" s="3">
        <v>3992</v>
      </c>
      <c r="K21" s="3">
        <v>3812</v>
      </c>
      <c r="L21" s="3">
        <v>3992</v>
      </c>
      <c r="M21" s="3">
        <v>4211</v>
      </c>
      <c r="N21" s="3">
        <v>4547</v>
      </c>
      <c r="O21" s="3">
        <v>4822</v>
      </c>
      <c r="P21" s="3">
        <v>5060</v>
      </c>
      <c r="Q21" s="3">
        <v>5395</v>
      </c>
      <c r="R21" s="3">
        <v>5752</v>
      </c>
      <c r="S21" s="3">
        <v>6144</v>
      </c>
      <c r="T21" s="3">
        <v>6328</v>
      </c>
      <c r="U21" s="3">
        <v>16716</v>
      </c>
      <c r="V21" s="3">
        <v>12703</v>
      </c>
      <c r="W21" s="3">
        <v>13043</v>
      </c>
      <c r="X21" s="3">
        <v>13462</v>
      </c>
      <c r="Y21" s="3">
        <v>13819</v>
      </c>
      <c r="Z21" s="3">
        <v>13359</v>
      </c>
      <c r="AA21" s="3">
        <v>14598</v>
      </c>
      <c r="AB21" s="3">
        <v>15664</v>
      </c>
      <c r="AC21" s="3">
        <v>17416</v>
      </c>
      <c r="AD21" s="3">
        <v>17210</v>
      </c>
      <c r="AE21" s="3">
        <v>17885</v>
      </c>
      <c r="AF21" s="3">
        <v>18238</v>
      </c>
      <c r="AG21" s="3">
        <v>19404</v>
      </c>
      <c r="AH21" s="3">
        <v>19846</v>
      </c>
      <c r="AI21" s="3">
        <v>20456</v>
      </c>
      <c r="AJ21" s="3">
        <v>21079</v>
      </c>
      <c r="AK21" s="3">
        <v>21695</v>
      </c>
    </row>
    <row r="22" spans="1:37" x14ac:dyDescent="0.3">
      <c r="A22" s="9" t="s">
        <v>185</v>
      </c>
      <c r="B22" s="3">
        <v>0</v>
      </c>
      <c r="C22" s="3">
        <v>0</v>
      </c>
      <c r="D22" s="3">
        <v>0</v>
      </c>
      <c r="E22" s="3">
        <v>0</v>
      </c>
      <c r="F22" s="3">
        <v>0</v>
      </c>
      <c r="G22" s="3">
        <v>0</v>
      </c>
      <c r="H22" s="3">
        <v>0</v>
      </c>
      <c r="I22" s="3">
        <v>0</v>
      </c>
      <c r="J22" s="3">
        <v>43</v>
      </c>
      <c r="K22" s="3">
        <v>37</v>
      </c>
      <c r="L22" s="3">
        <v>33</v>
      </c>
      <c r="M22" s="3">
        <v>53</v>
      </c>
      <c r="N22" s="3">
        <v>52</v>
      </c>
      <c r="O22" s="3">
        <v>65</v>
      </c>
      <c r="P22" s="3">
        <v>96</v>
      </c>
      <c r="Q22" s="3">
        <v>105</v>
      </c>
      <c r="R22" s="3">
        <v>102</v>
      </c>
      <c r="S22" s="3">
        <v>105</v>
      </c>
      <c r="T22" s="3">
        <v>132</v>
      </c>
      <c r="U22" s="3">
        <v>86</v>
      </c>
      <c r="V22" s="3">
        <v>5551</v>
      </c>
      <c r="W22" s="3">
        <v>5811</v>
      </c>
      <c r="X22" s="3">
        <v>5887</v>
      </c>
      <c r="Y22" s="3">
        <v>6068</v>
      </c>
      <c r="Z22" s="3">
        <v>6229</v>
      </c>
      <c r="AA22" s="3">
        <v>6358</v>
      </c>
      <c r="AB22" s="3">
        <v>6972</v>
      </c>
      <c r="AC22" s="3">
        <v>7605</v>
      </c>
      <c r="AD22" s="3">
        <v>8002</v>
      </c>
      <c r="AE22" s="3">
        <v>8237</v>
      </c>
      <c r="AF22" s="3">
        <v>8568</v>
      </c>
      <c r="AG22" s="3">
        <v>8918</v>
      </c>
      <c r="AH22" s="3">
        <v>9192</v>
      </c>
      <c r="AI22" s="3">
        <v>9422</v>
      </c>
      <c r="AJ22" s="3">
        <v>9677</v>
      </c>
      <c r="AK22" s="3">
        <v>9917</v>
      </c>
    </row>
    <row r="23" spans="1:37" x14ac:dyDescent="0.3">
      <c r="A23" s="9" t="s">
        <v>186</v>
      </c>
      <c r="B23" s="3">
        <v>104</v>
      </c>
      <c r="C23" s="3">
        <v>104</v>
      </c>
      <c r="D23" s="3">
        <v>130</v>
      </c>
      <c r="E23" s="3">
        <v>116</v>
      </c>
      <c r="F23" s="3">
        <v>116</v>
      </c>
      <c r="G23" s="3">
        <v>138</v>
      </c>
      <c r="H23" s="3">
        <v>161</v>
      </c>
      <c r="I23" s="3">
        <v>138</v>
      </c>
      <c r="J23" s="3">
        <v>188</v>
      </c>
      <c r="K23" s="3">
        <v>172</v>
      </c>
      <c r="L23" s="3">
        <v>125</v>
      </c>
      <c r="M23" s="3">
        <v>202</v>
      </c>
      <c r="N23" s="3">
        <v>138</v>
      </c>
      <c r="O23" s="3">
        <v>202</v>
      </c>
      <c r="P23" s="3">
        <v>186</v>
      </c>
      <c r="Q23" s="3">
        <v>210</v>
      </c>
      <c r="R23" s="3">
        <v>193</v>
      </c>
      <c r="S23" s="3">
        <v>213</v>
      </c>
      <c r="T23" s="3">
        <v>247</v>
      </c>
      <c r="U23" s="3">
        <v>219</v>
      </c>
      <c r="V23" s="3">
        <v>288</v>
      </c>
      <c r="W23" s="3">
        <v>308</v>
      </c>
      <c r="X23" s="3">
        <v>320</v>
      </c>
      <c r="Y23" s="3">
        <v>284</v>
      </c>
      <c r="Z23" s="3">
        <v>345</v>
      </c>
      <c r="AA23" s="3">
        <v>388</v>
      </c>
      <c r="AB23" s="3">
        <v>315</v>
      </c>
      <c r="AC23" s="3">
        <v>350</v>
      </c>
      <c r="AD23" s="3">
        <v>367</v>
      </c>
      <c r="AE23" s="3">
        <v>374</v>
      </c>
      <c r="AF23" s="3">
        <v>393</v>
      </c>
      <c r="AG23" s="3">
        <v>403</v>
      </c>
      <c r="AH23" s="3">
        <v>412</v>
      </c>
      <c r="AI23" s="3">
        <v>420</v>
      </c>
      <c r="AJ23" s="3">
        <v>427</v>
      </c>
      <c r="AK23" s="3">
        <v>434</v>
      </c>
    </row>
    <row r="24" spans="1:37" x14ac:dyDescent="0.3">
      <c r="A24" s="14" t="s">
        <v>140</v>
      </c>
      <c r="B24" s="3">
        <v>38</v>
      </c>
      <c r="C24" s="3">
        <v>32</v>
      </c>
      <c r="D24" s="3">
        <v>52</v>
      </c>
      <c r="E24" s="3">
        <v>39</v>
      </c>
      <c r="F24" s="3">
        <v>33</v>
      </c>
      <c r="G24" s="3">
        <v>50</v>
      </c>
      <c r="H24" s="3">
        <v>32</v>
      </c>
      <c r="I24" s="3">
        <v>134</v>
      </c>
      <c r="J24" s="3">
        <v>491</v>
      </c>
      <c r="K24" s="3">
        <v>123</v>
      </c>
      <c r="L24" s="3">
        <v>42</v>
      </c>
      <c r="M24" s="3">
        <v>48</v>
      </c>
      <c r="N24" s="3">
        <v>69</v>
      </c>
      <c r="O24" s="3">
        <v>106</v>
      </c>
      <c r="P24" s="3">
        <v>138</v>
      </c>
      <c r="Q24" s="3">
        <v>141</v>
      </c>
      <c r="R24" s="3">
        <v>96</v>
      </c>
      <c r="S24" s="3">
        <v>138</v>
      </c>
      <c r="T24" s="3">
        <v>69</v>
      </c>
      <c r="U24" s="3">
        <v>51</v>
      </c>
      <c r="V24" s="3">
        <v>88</v>
      </c>
      <c r="W24" s="3">
        <v>62</v>
      </c>
      <c r="X24" s="3">
        <v>118</v>
      </c>
      <c r="Y24" s="3">
        <v>85</v>
      </c>
      <c r="Z24" s="3">
        <v>72</v>
      </c>
      <c r="AA24" s="3">
        <v>79</v>
      </c>
      <c r="AB24" s="3">
        <v>82</v>
      </c>
      <c r="AC24" s="3">
        <v>95</v>
      </c>
      <c r="AD24" s="3">
        <v>94</v>
      </c>
      <c r="AE24" s="3">
        <v>75</v>
      </c>
      <c r="AF24" s="3">
        <v>77</v>
      </c>
      <c r="AG24" s="3">
        <v>85</v>
      </c>
      <c r="AH24" s="3">
        <v>82</v>
      </c>
      <c r="AI24" s="3">
        <v>66</v>
      </c>
      <c r="AJ24" s="3">
        <v>67</v>
      </c>
      <c r="AK24" s="3">
        <v>68</v>
      </c>
    </row>
    <row r="25" spans="1:37" x14ac:dyDescent="0.3">
      <c r="A25" s="11" t="s">
        <v>141</v>
      </c>
      <c r="B25" s="11">
        <v>29038</v>
      </c>
      <c r="C25" s="11">
        <v>30314</v>
      </c>
      <c r="D25" s="11">
        <v>31210</v>
      </c>
      <c r="E25" s="11">
        <v>32690</v>
      </c>
      <c r="F25" s="11">
        <v>33682</v>
      </c>
      <c r="G25" s="11">
        <v>35489</v>
      </c>
      <c r="H25" s="11">
        <v>38517</v>
      </c>
      <c r="I25" s="11">
        <v>40438</v>
      </c>
      <c r="J25" s="11">
        <v>42648</v>
      </c>
      <c r="K25" s="11">
        <v>44486</v>
      </c>
      <c r="L25" s="11">
        <v>46405</v>
      </c>
      <c r="M25" s="11">
        <v>48420</v>
      </c>
      <c r="N25" s="11">
        <v>53020</v>
      </c>
      <c r="O25" s="11">
        <v>55420</v>
      </c>
      <c r="P25" s="11">
        <v>57249</v>
      </c>
      <c r="Q25" s="11">
        <v>60965</v>
      </c>
      <c r="R25" s="11">
        <v>62499</v>
      </c>
      <c r="S25" s="11">
        <v>65067</v>
      </c>
      <c r="T25" s="11">
        <v>66193</v>
      </c>
      <c r="U25" s="11">
        <v>81335</v>
      </c>
      <c r="V25" s="11">
        <v>83922</v>
      </c>
      <c r="W25" s="11">
        <v>86460</v>
      </c>
      <c r="X25" s="11">
        <v>91364</v>
      </c>
      <c r="Y25" s="11">
        <v>93028</v>
      </c>
      <c r="Z25" s="11">
        <v>99340</v>
      </c>
      <c r="AA25" s="11">
        <v>103856</v>
      </c>
      <c r="AB25" s="11">
        <v>109925</v>
      </c>
      <c r="AC25" s="11">
        <v>120224</v>
      </c>
      <c r="AD25" s="11">
        <v>124997</v>
      </c>
      <c r="AE25" s="11">
        <v>128441</v>
      </c>
      <c r="AF25" s="11">
        <v>130818</v>
      </c>
      <c r="AG25" s="11">
        <v>132615</v>
      </c>
      <c r="AH25" s="11">
        <v>136297</v>
      </c>
      <c r="AI25" s="11">
        <v>139772</v>
      </c>
      <c r="AJ25" s="11">
        <v>143176</v>
      </c>
      <c r="AK25" s="11">
        <v>146175</v>
      </c>
    </row>
    <row r="26" spans="1:37" x14ac:dyDescent="0.3">
      <c r="A26" s="14" t="s">
        <v>142</v>
      </c>
      <c r="B26" s="3">
        <v>27997</v>
      </c>
      <c r="C26" s="3">
        <v>29260</v>
      </c>
      <c r="D26" s="3">
        <v>30103</v>
      </c>
      <c r="E26" s="3">
        <v>31679</v>
      </c>
      <c r="F26" s="3">
        <v>32646</v>
      </c>
      <c r="G26" s="3">
        <v>34395</v>
      </c>
      <c r="H26" s="3">
        <v>37488</v>
      </c>
      <c r="I26" s="3">
        <v>39332</v>
      </c>
      <c r="J26" s="3">
        <v>41639</v>
      </c>
      <c r="K26" s="3">
        <v>43578</v>
      </c>
      <c r="L26" s="3">
        <v>45549</v>
      </c>
      <c r="M26" s="3">
        <v>47426</v>
      </c>
      <c r="N26" s="3">
        <v>51914</v>
      </c>
      <c r="O26" s="3">
        <v>54210</v>
      </c>
      <c r="P26" s="3">
        <v>56184</v>
      </c>
      <c r="Q26" s="3">
        <v>59885</v>
      </c>
      <c r="R26" s="3">
        <v>61432</v>
      </c>
      <c r="S26" s="3">
        <v>64042</v>
      </c>
      <c r="T26" s="3">
        <v>65087</v>
      </c>
      <c r="U26" s="3">
        <v>80250</v>
      </c>
      <c r="V26" s="3">
        <v>82744</v>
      </c>
      <c r="W26" s="3">
        <v>85355</v>
      </c>
      <c r="X26" s="3">
        <v>90254</v>
      </c>
      <c r="Y26" s="3">
        <v>91914</v>
      </c>
      <c r="Z26" s="3">
        <v>98237</v>
      </c>
      <c r="AA26" s="3">
        <v>102718</v>
      </c>
      <c r="AB26" s="3">
        <v>108491</v>
      </c>
      <c r="AC26" s="3">
        <v>117868</v>
      </c>
      <c r="AD26" s="3">
        <v>122250</v>
      </c>
      <c r="AE26" s="3">
        <v>125815</v>
      </c>
      <c r="AF26" s="3">
        <v>127572</v>
      </c>
      <c r="AG26" s="3">
        <v>128889</v>
      </c>
      <c r="AH26" s="3">
        <v>132133</v>
      </c>
      <c r="AI26" s="3">
        <v>135171</v>
      </c>
      <c r="AJ26" s="3">
        <v>138167</v>
      </c>
      <c r="AK26" s="3">
        <v>140792</v>
      </c>
    </row>
    <row r="27" spans="1:37" x14ac:dyDescent="0.3">
      <c r="A27" s="14" t="s">
        <v>143</v>
      </c>
      <c r="B27" s="3">
        <v>19417</v>
      </c>
      <c r="C27" s="3">
        <v>20413</v>
      </c>
      <c r="D27" s="3">
        <v>21228</v>
      </c>
      <c r="E27" s="3">
        <v>22028</v>
      </c>
      <c r="F27" s="3">
        <v>22978</v>
      </c>
      <c r="G27" s="3">
        <v>24382</v>
      </c>
      <c r="H27" s="3">
        <v>27246</v>
      </c>
      <c r="I27" s="3">
        <v>28357</v>
      </c>
      <c r="J27" s="3">
        <v>29891</v>
      </c>
      <c r="K27" s="3">
        <v>31494</v>
      </c>
      <c r="L27" s="3">
        <v>33081</v>
      </c>
      <c r="M27" s="3">
        <v>34770</v>
      </c>
      <c r="N27" s="3">
        <v>37079</v>
      </c>
      <c r="O27" s="3">
        <v>39791</v>
      </c>
      <c r="P27" s="3">
        <v>41051</v>
      </c>
      <c r="Q27" s="3">
        <v>43224</v>
      </c>
      <c r="R27" s="3">
        <v>45457</v>
      </c>
      <c r="S27" s="3">
        <v>46586</v>
      </c>
      <c r="T27" s="3">
        <v>47422</v>
      </c>
      <c r="U27" s="3">
        <v>62221</v>
      </c>
      <c r="V27" s="3">
        <v>64369</v>
      </c>
      <c r="W27" s="3">
        <v>66732</v>
      </c>
      <c r="X27" s="3">
        <v>68899</v>
      </c>
      <c r="Y27" s="3">
        <v>71962</v>
      </c>
      <c r="Z27" s="3">
        <v>77124</v>
      </c>
      <c r="AA27" s="3">
        <v>78739</v>
      </c>
      <c r="AB27" s="3">
        <v>83407</v>
      </c>
      <c r="AC27" s="3">
        <v>89602</v>
      </c>
      <c r="AD27" s="3">
        <v>93115</v>
      </c>
      <c r="AE27" s="3">
        <v>96133</v>
      </c>
      <c r="AF27" s="3">
        <v>97716</v>
      </c>
      <c r="AG27" s="3">
        <v>100299</v>
      </c>
      <c r="AH27" s="3">
        <v>102985</v>
      </c>
      <c r="AI27" s="3">
        <v>105466</v>
      </c>
      <c r="AJ27" s="3">
        <v>107701</v>
      </c>
      <c r="AK27" s="3">
        <v>109589</v>
      </c>
    </row>
    <row r="28" spans="1:37" x14ac:dyDescent="0.3">
      <c r="A28" s="7" t="s">
        <v>144</v>
      </c>
      <c r="B28" s="3">
        <v>10622</v>
      </c>
      <c r="C28" s="3">
        <v>11038</v>
      </c>
      <c r="D28" s="3">
        <v>11462</v>
      </c>
      <c r="E28" s="3">
        <v>12007</v>
      </c>
      <c r="F28" s="3">
        <v>12483</v>
      </c>
      <c r="G28" s="3">
        <v>13135</v>
      </c>
      <c r="H28" s="3">
        <v>14071</v>
      </c>
      <c r="I28" s="3">
        <v>14715</v>
      </c>
      <c r="J28" s="3">
        <v>15449</v>
      </c>
      <c r="K28" s="3">
        <v>16128</v>
      </c>
      <c r="L28" s="3">
        <v>16786</v>
      </c>
      <c r="M28" s="3">
        <v>17586</v>
      </c>
      <c r="N28" s="3">
        <v>18641</v>
      </c>
      <c r="O28" s="3">
        <v>19611</v>
      </c>
      <c r="P28" s="3">
        <v>20243</v>
      </c>
      <c r="Q28" s="3">
        <v>21161</v>
      </c>
      <c r="R28" s="3">
        <v>22213</v>
      </c>
      <c r="S28" s="3">
        <v>23081</v>
      </c>
      <c r="T28" s="3">
        <v>23468</v>
      </c>
      <c r="U28" s="3">
        <v>24096</v>
      </c>
      <c r="V28" s="3">
        <v>24724</v>
      </c>
      <c r="W28" s="3">
        <v>25898</v>
      </c>
      <c r="X28" s="3">
        <v>26557</v>
      </c>
      <c r="Y28" s="3">
        <v>27744</v>
      </c>
      <c r="Z28" s="3">
        <v>28627</v>
      </c>
      <c r="AA28" s="3">
        <v>29792</v>
      </c>
      <c r="AB28" s="3">
        <v>32567</v>
      </c>
      <c r="AC28" s="3">
        <v>35252</v>
      </c>
      <c r="AD28" s="3">
        <v>36888</v>
      </c>
      <c r="AE28" s="3">
        <v>38182</v>
      </c>
      <c r="AF28" s="3">
        <v>39413</v>
      </c>
      <c r="AG28" s="3">
        <v>40546</v>
      </c>
      <c r="AH28" s="3">
        <v>41487</v>
      </c>
      <c r="AI28" s="3">
        <v>42146</v>
      </c>
      <c r="AJ28" s="3">
        <v>42943</v>
      </c>
      <c r="AK28" s="3">
        <v>43667</v>
      </c>
    </row>
    <row r="29" spans="1:37" x14ac:dyDescent="0.3">
      <c r="A29" s="7" t="s">
        <v>145</v>
      </c>
      <c r="B29" s="3">
        <v>3478</v>
      </c>
      <c r="C29" s="3">
        <v>3668</v>
      </c>
      <c r="D29" s="3">
        <v>3882</v>
      </c>
      <c r="E29" s="3">
        <v>4041</v>
      </c>
      <c r="F29" s="3">
        <v>4226</v>
      </c>
      <c r="G29" s="3">
        <v>4588</v>
      </c>
      <c r="H29" s="3">
        <v>5555</v>
      </c>
      <c r="I29" s="3">
        <v>5786</v>
      </c>
      <c r="J29" s="3">
        <v>5840</v>
      </c>
      <c r="K29" s="3">
        <v>5817</v>
      </c>
      <c r="L29" s="3">
        <v>6267</v>
      </c>
      <c r="M29" s="3">
        <v>6227</v>
      </c>
      <c r="N29" s="3">
        <v>6530</v>
      </c>
      <c r="O29" s="3">
        <v>7256</v>
      </c>
      <c r="P29" s="3">
        <v>7165</v>
      </c>
      <c r="Q29" s="3">
        <v>7606</v>
      </c>
      <c r="R29" s="3">
        <v>7974</v>
      </c>
      <c r="S29" s="3">
        <v>7874</v>
      </c>
      <c r="T29" s="3">
        <v>7773</v>
      </c>
      <c r="U29" s="3">
        <v>7813</v>
      </c>
      <c r="V29" s="3">
        <v>7806</v>
      </c>
      <c r="W29" s="3">
        <v>8183</v>
      </c>
      <c r="X29" s="3">
        <v>8622</v>
      </c>
      <c r="Y29" s="3">
        <v>9089</v>
      </c>
      <c r="Z29" s="3">
        <v>9063</v>
      </c>
      <c r="AA29" s="3">
        <v>9819</v>
      </c>
      <c r="AB29" s="3">
        <v>10637</v>
      </c>
      <c r="AC29" s="3">
        <v>11484</v>
      </c>
      <c r="AD29" s="3">
        <v>12158</v>
      </c>
      <c r="AE29" s="3">
        <v>12456</v>
      </c>
      <c r="AF29" s="3">
        <v>12832</v>
      </c>
      <c r="AG29" s="3">
        <v>12823</v>
      </c>
      <c r="AH29" s="3">
        <v>13116</v>
      </c>
      <c r="AI29" s="3">
        <v>13575</v>
      </c>
      <c r="AJ29" s="3">
        <v>13805</v>
      </c>
      <c r="AK29" s="3">
        <v>14036</v>
      </c>
    </row>
    <row r="30" spans="1:37" x14ac:dyDescent="0.3">
      <c r="A30" s="7" t="s">
        <v>146</v>
      </c>
      <c r="B30" s="3">
        <v>1519</v>
      </c>
      <c r="C30" s="3">
        <v>1436</v>
      </c>
      <c r="D30" s="3">
        <v>1524</v>
      </c>
      <c r="E30" s="3">
        <v>1500</v>
      </c>
      <c r="F30" s="3">
        <v>1495</v>
      </c>
      <c r="G30" s="3">
        <v>1520</v>
      </c>
      <c r="H30" s="3">
        <v>1677</v>
      </c>
      <c r="I30" s="3">
        <v>1777</v>
      </c>
      <c r="J30" s="3">
        <v>1891</v>
      </c>
      <c r="K30" s="3">
        <v>2369</v>
      </c>
      <c r="L30" s="3">
        <v>2510</v>
      </c>
      <c r="M30" s="3">
        <v>2745</v>
      </c>
      <c r="N30" s="3">
        <v>2966</v>
      </c>
      <c r="O30" s="3">
        <v>2986</v>
      </c>
      <c r="P30" s="3">
        <v>3519</v>
      </c>
      <c r="Q30" s="3">
        <v>3776</v>
      </c>
      <c r="R30" s="3">
        <v>4315</v>
      </c>
      <c r="S30" s="3">
        <v>4491</v>
      </c>
      <c r="T30" s="3">
        <v>4586</v>
      </c>
      <c r="U30" s="3">
        <v>8561</v>
      </c>
      <c r="V30" s="3">
        <v>8803</v>
      </c>
      <c r="W30" s="3">
        <v>8962</v>
      </c>
      <c r="X30" s="3">
        <v>9094</v>
      </c>
      <c r="Y30" s="3">
        <v>9576</v>
      </c>
      <c r="Z30" s="3">
        <v>10345</v>
      </c>
      <c r="AA30" s="3">
        <v>10836</v>
      </c>
      <c r="AB30" s="3">
        <v>10966</v>
      </c>
      <c r="AC30" s="3">
        <v>11644</v>
      </c>
      <c r="AD30" s="3">
        <v>11132</v>
      </c>
      <c r="AE30" s="3">
        <v>11666</v>
      </c>
      <c r="AF30" s="3">
        <v>11125</v>
      </c>
      <c r="AG30" s="3">
        <v>11237</v>
      </c>
      <c r="AH30" s="3">
        <v>11408</v>
      </c>
      <c r="AI30" s="3">
        <v>11600</v>
      </c>
      <c r="AJ30" s="3">
        <v>11802</v>
      </c>
      <c r="AK30" s="3">
        <v>12002</v>
      </c>
    </row>
    <row r="31" spans="1:37" x14ac:dyDescent="0.3">
      <c r="A31" s="7" t="s">
        <v>147</v>
      </c>
      <c r="B31" s="3">
        <v>3206</v>
      </c>
      <c r="C31" s="3">
        <v>3427</v>
      </c>
      <c r="D31" s="3">
        <v>3571</v>
      </c>
      <c r="E31" s="3">
        <v>3883</v>
      </c>
      <c r="F31" s="3">
        <v>4221</v>
      </c>
      <c r="G31" s="3">
        <v>4606</v>
      </c>
      <c r="H31" s="3">
        <v>5357</v>
      </c>
      <c r="I31" s="3">
        <v>5368</v>
      </c>
      <c r="J31" s="3">
        <v>5829</v>
      </c>
      <c r="K31" s="3">
        <v>6242</v>
      </c>
      <c r="L31" s="3">
        <v>6537</v>
      </c>
      <c r="M31" s="3">
        <v>7086</v>
      </c>
      <c r="N31" s="3">
        <v>7596</v>
      </c>
      <c r="O31" s="3">
        <v>8200</v>
      </c>
      <c r="P31" s="3">
        <v>8463</v>
      </c>
      <c r="Q31" s="3">
        <v>8941</v>
      </c>
      <c r="R31" s="3">
        <v>9373</v>
      </c>
      <c r="S31" s="3">
        <v>9557</v>
      </c>
      <c r="T31" s="3">
        <v>9885</v>
      </c>
      <c r="U31" s="3">
        <v>19962</v>
      </c>
      <c r="V31" s="3">
        <v>20967</v>
      </c>
      <c r="W31" s="3">
        <v>21713</v>
      </c>
      <c r="X31" s="3">
        <v>22501</v>
      </c>
      <c r="Y31" s="3">
        <v>23320</v>
      </c>
      <c r="Z31" s="3">
        <v>24063</v>
      </c>
      <c r="AA31" s="3">
        <v>24631</v>
      </c>
      <c r="AB31" s="3">
        <v>26624</v>
      </c>
      <c r="AC31" s="3">
        <v>28842</v>
      </c>
      <c r="AD31" s="3">
        <v>30361</v>
      </c>
      <c r="AE31" s="3">
        <v>31307</v>
      </c>
      <c r="AF31" s="3">
        <v>31974</v>
      </c>
      <c r="AG31" s="3">
        <v>33290</v>
      </c>
      <c r="AH31" s="3">
        <v>34537</v>
      </c>
      <c r="AI31" s="3">
        <v>35631</v>
      </c>
      <c r="AJ31" s="3">
        <v>36595</v>
      </c>
      <c r="AK31" s="3">
        <v>37284</v>
      </c>
    </row>
    <row r="32" spans="1:37" x14ac:dyDescent="0.3">
      <c r="A32" s="9" t="s">
        <v>80</v>
      </c>
      <c r="B32" s="3">
        <v>2226</v>
      </c>
      <c r="C32" s="3">
        <v>2366</v>
      </c>
      <c r="D32" s="3">
        <v>2518</v>
      </c>
      <c r="E32" s="3">
        <v>2650</v>
      </c>
      <c r="F32" s="3">
        <v>2895</v>
      </c>
      <c r="G32" s="3">
        <v>3138</v>
      </c>
      <c r="H32" s="3">
        <v>3620</v>
      </c>
      <c r="I32" s="3">
        <v>3590</v>
      </c>
      <c r="J32" s="3">
        <v>3827</v>
      </c>
      <c r="K32" s="3">
        <v>4061</v>
      </c>
      <c r="L32" s="3">
        <v>4278</v>
      </c>
      <c r="M32" s="3">
        <v>4648</v>
      </c>
      <c r="N32" s="3">
        <v>4932</v>
      </c>
      <c r="O32" s="3">
        <v>5313</v>
      </c>
      <c r="P32" s="3">
        <v>5390</v>
      </c>
      <c r="Q32" s="3">
        <v>5625</v>
      </c>
      <c r="R32" s="3">
        <v>5829</v>
      </c>
      <c r="S32" s="3">
        <v>6085</v>
      </c>
      <c r="T32" s="3">
        <v>6252</v>
      </c>
      <c r="U32" s="3">
        <v>13135</v>
      </c>
      <c r="V32" s="3">
        <v>13746</v>
      </c>
      <c r="W32" s="3">
        <v>14220</v>
      </c>
      <c r="X32" s="3">
        <v>14616</v>
      </c>
      <c r="Y32" s="3">
        <v>15278</v>
      </c>
      <c r="Z32" s="3">
        <v>15770</v>
      </c>
      <c r="AA32" s="3">
        <v>16062</v>
      </c>
      <c r="AB32" s="3">
        <v>17288</v>
      </c>
      <c r="AC32" s="3">
        <v>18371</v>
      </c>
      <c r="AD32" s="3">
        <v>19242</v>
      </c>
      <c r="AE32" s="3">
        <v>19693</v>
      </c>
      <c r="AF32" s="3">
        <v>20180</v>
      </c>
      <c r="AG32" s="3">
        <v>20917</v>
      </c>
      <c r="AH32" s="3">
        <v>21511</v>
      </c>
      <c r="AI32" s="3">
        <v>21982</v>
      </c>
      <c r="AJ32" s="3">
        <v>22489</v>
      </c>
      <c r="AK32" s="3">
        <v>22662</v>
      </c>
    </row>
    <row r="33" spans="1:37" x14ac:dyDescent="0.3">
      <c r="A33" s="9" t="s">
        <v>148</v>
      </c>
      <c r="B33" s="3">
        <v>980</v>
      </c>
      <c r="C33" s="3">
        <v>1061</v>
      </c>
      <c r="D33" s="3">
        <v>1053</v>
      </c>
      <c r="E33" s="3">
        <v>1233</v>
      </c>
      <c r="F33" s="3">
        <v>1326</v>
      </c>
      <c r="G33" s="3">
        <v>1467</v>
      </c>
      <c r="H33" s="3">
        <v>1738</v>
      </c>
      <c r="I33" s="3">
        <v>1779</v>
      </c>
      <c r="J33" s="3">
        <v>2002</v>
      </c>
      <c r="K33" s="3">
        <v>2181</v>
      </c>
      <c r="L33" s="3">
        <v>2259</v>
      </c>
      <c r="M33" s="3">
        <v>2437</v>
      </c>
      <c r="N33" s="3">
        <v>2664</v>
      </c>
      <c r="O33" s="3">
        <v>2887</v>
      </c>
      <c r="P33" s="3">
        <v>3073</v>
      </c>
      <c r="Q33" s="3">
        <v>3316</v>
      </c>
      <c r="R33" s="3">
        <v>3543</v>
      </c>
      <c r="S33" s="3">
        <v>3472</v>
      </c>
      <c r="T33" s="3">
        <v>3633</v>
      </c>
      <c r="U33" s="3">
        <v>6828</v>
      </c>
      <c r="V33" s="3">
        <v>7220</v>
      </c>
      <c r="W33" s="3">
        <v>7493</v>
      </c>
      <c r="X33" s="3">
        <v>7885</v>
      </c>
      <c r="Y33" s="3">
        <v>8042</v>
      </c>
      <c r="Z33" s="3">
        <v>8293</v>
      </c>
      <c r="AA33" s="3">
        <v>8570</v>
      </c>
      <c r="AB33" s="3">
        <v>9335</v>
      </c>
      <c r="AC33" s="3">
        <v>10471</v>
      </c>
      <c r="AD33" s="3">
        <v>11120</v>
      </c>
      <c r="AE33" s="3">
        <v>11615</v>
      </c>
      <c r="AF33" s="3">
        <v>11794</v>
      </c>
      <c r="AG33" s="3">
        <v>12373</v>
      </c>
      <c r="AH33" s="3">
        <v>13025</v>
      </c>
      <c r="AI33" s="3">
        <v>13650</v>
      </c>
      <c r="AJ33" s="3">
        <v>14106</v>
      </c>
      <c r="AK33" s="3">
        <v>14622</v>
      </c>
    </row>
    <row r="34" spans="1:37" x14ac:dyDescent="0.3">
      <c r="A34" s="7" t="s">
        <v>149</v>
      </c>
      <c r="B34" s="3">
        <v>524</v>
      </c>
      <c r="C34" s="3">
        <v>778</v>
      </c>
      <c r="D34" s="3">
        <v>716</v>
      </c>
      <c r="E34" s="3">
        <v>533</v>
      </c>
      <c r="F34" s="3">
        <v>494</v>
      </c>
      <c r="G34" s="3">
        <v>471</v>
      </c>
      <c r="H34" s="3">
        <v>512</v>
      </c>
      <c r="I34" s="3">
        <v>632</v>
      </c>
      <c r="J34" s="3">
        <v>803</v>
      </c>
      <c r="K34" s="3">
        <v>840</v>
      </c>
      <c r="L34" s="3">
        <v>885</v>
      </c>
      <c r="M34" s="3">
        <v>1022</v>
      </c>
      <c r="N34" s="3">
        <v>1238</v>
      </c>
      <c r="O34" s="3">
        <v>1618</v>
      </c>
      <c r="P34" s="3">
        <v>1515</v>
      </c>
      <c r="Q34" s="3">
        <v>1582</v>
      </c>
      <c r="R34" s="3">
        <v>1430</v>
      </c>
      <c r="S34" s="3">
        <v>1445</v>
      </c>
      <c r="T34" s="3">
        <v>1573</v>
      </c>
      <c r="U34" s="3">
        <v>1640</v>
      </c>
      <c r="V34" s="3">
        <v>1908</v>
      </c>
      <c r="W34" s="3">
        <v>1814</v>
      </c>
      <c r="X34" s="3">
        <v>1980</v>
      </c>
      <c r="Y34" s="3">
        <v>2077</v>
      </c>
      <c r="Z34" s="3">
        <v>3360</v>
      </c>
      <c r="AA34" s="3">
        <v>2578</v>
      </c>
      <c r="AB34" s="3">
        <v>2256</v>
      </c>
      <c r="AC34" s="3">
        <v>2221</v>
      </c>
      <c r="AD34" s="3">
        <v>2418</v>
      </c>
      <c r="AE34" s="3">
        <v>2372</v>
      </c>
      <c r="AF34" s="3">
        <v>2224</v>
      </c>
      <c r="AG34" s="3">
        <v>2253</v>
      </c>
      <c r="AH34" s="3">
        <v>2285</v>
      </c>
      <c r="AI34" s="3">
        <v>2359</v>
      </c>
      <c r="AJ34" s="3">
        <v>2401</v>
      </c>
      <c r="AK34" s="3">
        <v>2443</v>
      </c>
    </row>
    <row r="35" spans="1:37" x14ac:dyDescent="0.3">
      <c r="A35" s="7" t="s">
        <v>150</v>
      </c>
      <c r="B35" s="3">
        <v>56</v>
      </c>
      <c r="C35" s="3">
        <v>50</v>
      </c>
      <c r="D35" s="3">
        <v>51</v>
      </c>
      <c r="E35" s="3">
        <v>49</v>
      </c>
      <c r="F35" s="3">
        <v>49</v>
      </c>
      <c r="G35" s="3">
        <v>53</v>
      </c>
      <c r="H35" s="3">
        <v>58</v>
      </c>
      <c r="I35" s="3">
        <v>60</v>
      </c>
      <c r="J35" s="3">
        <v>59</v>
      </c>
      <c r="K35" s="3">
        <v>56</v>
      </c>
      <c r="L35" s="3">
        <v>56</v>
      </c>
      <c r="M35" s="3">
        <v>59</v>
      </c>
      <c r="N35" s="3">
        <v>65</v>
      </c>
      <c r="O35" s="3">
        <v>74</v>
      </c>
      <c r="P35" s="3">
        <v>79</v>
      </c>
      <c r="Q35" s="3">
        <v>88</v>
      </c>
      <c r="R35" s="3">
        <v>82</v>
      </c>
      <c r="S35" s="3">
        <v>81</v>
      </c>
      <c r="T35" s="3">
        <v>76</v>
      </c>
      <c r="U35" s="3">
        <v>77</v>
      </c>
      <c r="V35" s="3">
        <v>77</v>
      </c>
      <c r="W35" s="3">
        <v>76</v>
      </c>
      <c r="X35" s="3">
        <v>78</v>
      </c>
      <c r="Y35" s="3">
        <v>78</v>
      </c>
      <c r="Z35" s="3">
        <v>1598</v>
      </c>
      <c r="AA35" s="3">
        <v>997</v>
      </c>
      <c r="AB35" s="3">
        <v>270</v>
      </c>
      <c r="AC35" s="3">
        <v>86</v>
      </c>
      <c r="AD35" s="3">
        <v>84</v>
      </c>
      <c r="AE35" s="3">
        <v>84</v>
      </c>
      <c r="AF35" s="3">
        <v>84</v>
      </c>
      <c r="AG35" s="3">
        <v>84</v>
      </c>
      <c r="AH35" s="3">
        <v>84</v>
      </c>
      <c r="AI35" s="3">
        <v>84</v>
      </c>
      <c r="AJ35" s="3">
        <v>84</v>
      </c>
      <c r="AK35" s="3">
        <v>84</v>
      </c>
    </row>
    <row r="36" spans="1:37" x14ac:dyDescent="0.3">
      <c r="A36" s="7" t="s">
        <v>151</v>
      </c>
      <c r="B36" s="3">
        <v>11</v>
      </c>
      <c r="C36" s="3">
        <v>16</v>
      </c>
      <c r="D36" s="3">
        <v>20</v>
      </c>
      <c r="E36" s="3">
        <v>14</v>
      </c>
      <c r="F36" s="3">
        <v>10</v>
      </c>
      <c r="G36" s="3">
        <v>9</v>
      </c>
      <c r="H36" s="3">
        <v>16</v>
      </c>
      <c r="I36" s="3">
        <v>19</v>
      </c>
      <c r="J36" s="3">
        <v>20</v>
      </c>
      <c r="K36" s="3">
        <v>42</v>
      </c>
      <c r="L36" s="3">
        <v>41</v>
      </c>
      <c r="M36" s="3">
        <v>45</v>
      </c>
      <c r="N36" s="3">
        <v>44</v>
      </c>
      <c r="O36" s="3">
        <v>47</v>
      </c>
      <c r="P36" s="3">
        <v>66</v>
      </c>
      <c r="Q36" s="3">
        <v>70</v>
      </c>
      <c r="R36" s="3">
        <v>71</v>
      </c>
      <c r="S36" s="3">
        <v>56</v>
      </c>
      <c r="T36" s="3">
        <v>61</v>
      </c>
      <c r="U36" s="3">
        <v>71</v>
      </c>
      <c r="V36" s="3">
        <v>84</v>
      </c>
      <c r="W36" s="3">
        <v>85</v>
      </c>
      <c r="X36" s="3">
        <v>66</v>
      </c>
      <c r="Y36" s="3">
        <v>80</v>
      </c>
      <c r="Z36" s="3">
        <v>67</v>
      </c>
      <c r="AA36" s="3">
        <v>85</v>
      </c>
      <c r="AB36" s="3">
        <v>87</v>
      </c>
      <c r="AC36" s="3">
        <v>75</v>
      </c>
      <c r="AD36" s="3">
        <v>73</v>
      </c>
      <c r="AE36" s="3">
        <v>65</v>
      </c>
      <c r="AF36" s="3">
        <v>66</v>
      </c>
      <c r="AG36" s="3">
        <v>67</v>
      </c>
      <c r="AH36" s="3">
        <v>69</v>
      </c>
      <c r="AI36" s="3">
        <v>70</v>
      </c>
      <c r="AJ36" s="3">
        <v>72</v>
      </c>
      <c r="AK36" s="3">
        <v>73</v>
      </c>
    </row>
    <row r="37" spans="1:37" x14ac:dyDescent="0.3">
      <c r="A37" s="14" t="s">
        <v>152</v>
      </c>
      <c r="B37" s="3">
        <v>3106</v>
      </c>
      <c r="C37" s="3">
        <v>3446</v>
      </c>
      <c r="D37" s="3">
        <v>3358</v>
      </c>
      <c r="E37" s="3">
        <v>3835</v>
      </c>
      <c r="F37" s="3">
        <v>3762</v>
      </c>
      <c r="G37" s="3">
        <v>3875</v>
      </c>
      <c r="H37" s="3">
        <v>4012</v>
      </c>
      <c r="I37" s="3">
        <v>4091</v>
      </c>
      <c r="J37" s="3">
        <v>4686</v>
      </c>
      <c r="K37" s="3">
        <v>4633</v>
      </c>
      <c r="L37" s="3">
        <v>4641</v>
      </c>
      <c r="M37" s="3">
        <v>4684</v>
      </c>
      <c r="N37" s="3">
        <v>5285</v>
      </c>
      <c r="O37" s="3">
        <v>5821</v>
      </c>
      <c r="P37" s="3">
        <v>6308</v>
      </c>
      <c r="Q37" s="3">
        <v>7501</v>
      </c>
      <c r="R37" s="3">
        <v>6441</v>
      </c>
      <c r="S37" s="3">
        <v>7479</v>
      </c>
      <c r="T37" s="3">
        <v>7431</v>
      </c>
      <c r="U37" s="3">
        <v>7269</v>
      </c>
      <c r="V37" s="3">
        <v>7779</v>
      </c>
      <c r="W37" s="3">
        <v>7565</v>
      </c>
      <c r="X37" s="3">
        <v>8347</v>
      </c>
      <c r="Y37" s="3">
        <v>8553</v>
      </c>
      <c r="Z37" s="3">
        <v>8889</v>
      </c>
      <c r="AA37" s="3">
        <v>10950</v>
      </c>
      <c r="AB37" s="3">
        <v>10968</v>
      </c>
      <c r="AC37" s="3">
        <v>12838</v>
      </c>
      <c r="AD37" s="3">
        <v>13160</v>
      </c>
      <c r="AE37" s="3">
        <v>13408</v>
      </c>
      <c r="AF37" s="3">
        <v>13774</v>
      </c>
      <c r="AG37" s="3">
        <v>12307</v>
      </c>
      <c r="AH37" s="3">
        <v>12431</v>
      </c>
      <c r="AI37" s="3">
        <v>12611</v>
      </c>
      <c r="AJ37" s="3">
        <v>12958</v>
      </c>
      <c r="AK37" s="3">
        <v>13298</v>
      </c>
    </row>
    <row r="38" spans="1:37" x14ac:dyDescent="0.3">
      <c r="A38" s="7" t="s">
        <v>153</v>
      </c>
      <c r="B38" s="3">
        <v>1953</v>
      </c>
      <c r="C38" s="3">
        <v>2175</v>
      </c>
      <c r="D38" s="3">
        <v>2218</v>
      </c>
      <c r="E38" s="3">
        <v>2546</v>
      </c>
      <c r="F38" s="3">
        <v>2516</v>
      </c>
      <c r="G38" s="3">
        <v>2786</v>
      </c>
      <c r="H38" s="3">
        <v>2887</v>
      </c>
      <c r="I38" s="3">
        <v>2947</v>
      </c>
      <c r="J38" s="3">
        <v>3032</v>
      </c>
      <c r="K38" s="3">
        <v>3070</v>
      </c>
      <c r="L38" s="3">
        <v>3029</v>
      </c>
      <c r="M38" s="3">
        <v>3171</v>
      </c>
      <c r="N38" s="3">
        <v>3391</v>
      </c>
      <c r="O38" s="3">
        <v>3746</v>
      </c>
      <c r="P38" s="3">
        <v>4316</v>
      </c>
      <c r="Q38" s="3">
        <v>4877</v>
      </c>
      <c r="R38" s="3">
        <v>4742</v>
      </c>
      <c r="S38" s="3">
        <v>4777</v>
      </c>
      <c r="T38" s="3">
        <v>5198</v>
      </c>
      <c r="U38" s="3">
        <v>5446</v>
      </c>
      <c r="V38" s="3">
        <v>5728</v>
      </c>
      <c r="W38" s="3">
        <v>5619</v>
      </c>
      <c r="X38" s="3">
        <v>6201</v>
      </c>
      <c r="Y38" s="3">
        <v>6430</v>
      </c>
      <c r="Z38" s="3">
        <v>6488</v>
      </c>
      <c r="AA38" s="3">
        <v>7254</v>
      </c>
      <c r="AB38" s="3">
        <v>8074</v>
      </c>
      <c r="AC38" s="3">
        <v>9123</v>
      </c>
      <c r="AD38" s="3">
        <v>9485</v>
      </c>
      <c r="AE38" s="3">
        <v>9801</v>
      </c>
      <c r="AF38" s="3">
        <v>10124</v>
      </c>
      <c r="AG38" s="3">
        <v>9796</v>
      </c>
      <c r="AH38" s="3">
        <v>9973</v>
      </c>
      <c r="AI38" s="3">
        <v>10083</v>
      </c>
      <c r="AJ38" s="3">
        <v>10320</v>
      </c>
      <c r="AK38" s="3">
        <v>10644</v>
      </c>
    </row>
    <row r="39" spans="1:37" x14ac:dyDescent="0.3">
      <c r="A39" s="7" t="s">
        <v>172</v>
      </c>
      <c r="B39" s="3">
        <v>3</v>
      </c>
      <c r="C39" s="3">
        <v>-36</v>
      </c>
      <c r="D39" s="3">
        <v>3</v>
      </c>
      <c r="E39" s="3">
        <v>0</v>
      </c>
      <c r="F39" s="3">
        <v>9</v>
      </c>
      <c r="G39" s="3">
        <v>0</v>
      </c>
      <c r="H39" s="3">
        <v>5</v>
      </c>
      <c r="I39" s="3">
        <v>-3</v>
      </c>
      <c r="J39" s="3">
        <v>-17</v>
      </c>
      <c r="K39" s="3">
        <v>12</v>
      </c>
      <c r="L39" s="3">
        <v>26</v>
      </c>
      <c r="M39" s="3">
        <v>11</v>
      </c>
      <c r="N39" s="3">
        <v>25</v>
      </c>
      <c r="O39" s="3">
        <v>35</v>
      </c>
      <c r="P39" s="3">
        <v>-62</v>
      </c>
      <c r="Q39" s="3">
        <v>-69</v>
      </c>
      <c r="R39" s="3">
        <v>39</v>
      </c>
      <c r="S39" s="3">
        <v>158</v>
      </c>
      <c r="T39" s="3">
        <v>59</v>
      </c>
      <c r="U39" s="3">
        <v>95</v>
      </c>
      <c r="V39" s="3">
        <v>83</v>
      </c>
      <c r="W39" s="3">
        <v>130</v>
      </c>
      <c r="X39" s="3">
        <v>82</v>
      </c>
      <c r="Y39" s="3">
        <v>77</v>
      </c>
      <c r="Z39" s="3">
        <v>44</v>
      </c>
      <c r="AA39" s="3">
        <v>115</v>
      </c>
      <c r="AB39" s="3">
        <v>194</v>
      </c>
      <c r="AC39" s="3">
        <v>217</v>
      </c>
      <c r="AD39" s="3">
        <v>202</v>
      </c>
      <c r="AE39" s="3">
        <v>114</v>
      </c>
      <c r="AF39" s="3">
        <v>168</v>
      </c>
      <c r="AG39" s="3">
        <v>114</v>
      </c>
      <c r="AH39" s="3">
        <v>113</v>
      </c>
      <c r="AI39" s="3">
        <v>110</v>
      </c>
      <c r="AJ39" s="3">
        <v>112</v>
      </c>
      <c r="AK39" s="3">
        <v>114</v>
      </c>
    </row>
    <row r="40" spans="1:37" x14ac:dyDescent="0.3">
      <c r="A40" s="7" t="s">
        <v>173</v>
      </c>
      <c r="B40" s="3">
        <v>194</v>
      </c>
      <c r="C40" s="3">
        <v>174</v>
      </c>
      <c r="D40" s="3">
        <v>180</v>
      </c>
      <c r="E40" s="3">
        <v>160</v>
      </c>
      <c r="F40" s="3">
        <v>139</v>
      </c>
      <c r="G40" s="3">
        <v>138</v>
      </c>
      <c r="H40" s="3">
        <v>163</v>
      </c>
      <c r="I40" s="3">
        <v>173</v>
      </c>
      <c r="J40" s="3">
        <v>177</v>
      </c>
      <c r="K40" s="3">
        <v>166</v>
      </c>
      <c r="L40" s="3">
        <v>167</v>
      </c>
      <c r="M40" s="3">
        <v>235</v>
      </c>
      <c r="N40" s="3">
        <v>313</v>
      </c>
      <c r="O40" s="3">
        <v>405</v>
      </c>
      <c r="P40" s="3">
        <v>442</v>
      </c>
      <c r="Q40" s="3">
        <v>413</v>
      </c>
      <c r="R40" s="3">
        <v>395</v>
      </c>
      <c r="S40" s="3">
        <v>390</v>
      </c>
      <c r="T40" s="3">
        <v>333</v>
      </c>
      <c r="U40" s="3">
        <v>405</v>
      </c>
      <c r="V40" s="3">
        <v>315</v>
      </c>
      <c r="W40" s="3">
        <v>379</v>
      </c>
      <c r="X40" s="3">
        <v>440</v>
      </c>
      <c r="Y40" s="3">
        <v>590</v>
      </c>
      <c r="Z40" s="3">
        <v>638</v>
      </c>
      <c r="AA40" s="3">
        <v>1457</v>
      </c>
      <c r="AB40" s="3">
        <v>839</v>
      </c>
      <c r="AC40" s="3">
        <v>1089</v>
      </c>
      <c r="AD40" s="3">
        <v>1142</v>
      </c>
      <c r="AE40" s="3">
        <v>1196</v>
      </c>
      <c r="AF40" s="3">
        <v>969</v>
      </c>
      <c r="AG40" s="3">
        <v>730</v>
      </c>
      <c r="AH40" s="3">
        <v>723</v>
      </c>
      <c r="AI40" s="3">
        <v>773</v>
      </c>
      <c r="AJ40" s="3">
        <v>831</v>
      </c>
      <c r="AK40" s="3">
        <v>817</v>
      </c>
    </row>
    <row r="41" spans="1:37" x14ac:dyDescent="0.3">
      <c r="A41" s="7" t="s">
        <v>174</v>
      </c>
      <c r="B41" s="3">
        <v>954</v>
      </c>
      <c r="C41" s="3">
        <v>1121</v>
      </c>
      <c r="D41" s="3">
        <v>950</v>
      </c>
      <c r="E41" s="3">
        <v>1094</v>
      </c>
      <c r="F41" s="3">
        <v>1066</v>
      </c>
      <c r="G41" s="3">
        <v>948</v>
      </c>
      <c r="H41" s="3">
        <v>956</v>
      </c>
      <c r="I41" s="3">
        <v>948</v>
      </c>
      <c r="J41" s="3">
        <v>1450</v>
      </c>
      <c r="K41" s="3">
        <v>1374</v>
      </c>
      <c r="L41" s="3">
        <v>1419</v>
      </c>
      <c r="M41" s="3">
        <v>1267</v>
      </c>
      <c r="N41" s="3">
        <v>1556</v>
      </c>
      <c r="O41" s="3">
        <v>1626</v>
      </c>
      <c r="P41" s="3">
        <v>1611</v>
      </c>
      <c r="Q41" s="3">
        <v>2278</v>
      </c>
      <c r="R41" s="3">
        <v>1262</v>
      </c>
      <c r="S41" s="3">
        <v>2143</v>
      </c>
      <c r="T41" s="3">
        <v>1835</v>
      </c>
      <c r="U41" s="3">
        <v>1309</v>
      </c>
      <c r="V41" s="3">
        <v>1627</v>
      </c>
      <c r="W41" s="3">
        <v>1405</v>
      </c>
      <c r="X41" s="3">
        <v>1514</v>
      </c>
      <c r="Y41" s="3">
        <v>1333</v>
      </c>
      <c r="Z41" s="3">
        <v>1597</v>
      </c>
      <c r="AA41" s="3">
        <v>2080</v>
      </c>
      <c r="AB41" s="3">
        <v>1780</v>
      </c>
      <c r="AC41" s="3">
        <v>2285</v>
      </c>
      <c r="AD41" s="3">
        <v>2273</v>
      </c>
      <c r="AE41" s="3">
        <v>2241</v>
      </c>
      <c r="AF41" s="3">
        <v>2492</v>
      </c>
      <c r="AG41" s="3">
        <v>1645</v>
      </c>
      <c r="AH41" s="3">
        <v>1599</v>
      </c>
      <c r="AI41" s="3">
        <v>1622</v>
      </c>
      <c r="AJ41" s="3">
        <v>1672</v>
      </c>
      <c r="AK41" s="3">
        <v>1700</v>
      </c>
    </row>
    <row r="42" spans="1:37" x14ac:dyDescent="0.3">
      <c r="A42" s="7" t="s">
        <v>187</v>
      </c>
      <c r="B42" s="3">
        <v>1</v>
      </c>
      <c r="C42" s="3">
        <v>12</v>
      </c>
      <c r="D42" s="3">
        <v>6</v>
      </c>
      <c r="E42" s="3">
        <v>35</v>
      </c>
      <c r="F42" s="3">
        <v>32</v>
      </c>
      <c r="G42" s="3">
        <v>4</v>
      </c>
      <c r="H42" s="3">
        <v>2</v>
      </c>
      <c r="I42" s="3">
        <v>26</v>
      </c>
      <c r="J42" s="3">
        <v>44</v>
      </c>
      <c r="K42" s="3">
        <v>11</v>
      </c>
      <c r="L42" s="3">
        <v>1</v>
      </c>
      <c r="M42" s="3">
        <v>0</v>
      </c>
      <c r="N42" s="3">
        <v>0</v>
      </c>
      <c r="O42" s="3">
        <v>9</v>
      </c>
      <c r="P42" s="3">
        <v>2</v>
      </c>
      <c r="Q42" s="3">
        <v>1</v>
      </c>
      <c r="R42" s="3">
        <v>1</v>
      </c>
      <c r="S42" s="3">
        <v>11</v>
      </c>
      <c r="T42" s="3">
        <v>5</v>
      </c>
      <c r="U42" s="3">
        <v>14</v>
      </c>
      <c r="V42" s="3">
        <v>26</v>
      </c>
      <c r="W42" s="3">
        <v>32</v>
      </c>
      <c r="X42" s="3">
        <v>110</v>
      </c>
      <c r="Y42" s="3">
        <v>121</v>
      </c>
      <c r="Z42" s="3">
        <v>121</v>
      </c>
      <c r="AA42" s="3">
        <v>44</v>
      </c>
      <c r="AB42" s="3">
        <v>81</v>
      </c>
      <c r="AC42" s="3">
        <v>125</v>
      </c>
      <c r="AD42" s="3">
        <v>58</v>
      </c>
      <c r="AE42" s="3">
        <v>56</v>
      </c>
      <c r="AF42" s="3">
        <v>21</v>
      </c>
      <c r="AG42" s="3">
        <v>22</v>
      </c>
      <c r="AH42" s="3">
        <v>22</v>
      </c>
      <c r="AI42" s="3">
        <v>22</v>
      </c>
      <c r="AJ42" s="3">
        <v>23</v>
      </c>
      <c r="AK42" s="3">
        <v>23</v>
      </c>
    </row>
    <row r="43" spans="1:37" x14ac:dyDescent="0.3">
      <c r="A43" s="14" t="s">
        <v>156</v>
      </c>
      <c r="B43" s="3">
        <v>5474</v>
      </c>
      <c r="C43" s="3">
        <v>5402</v>
      </c>
      <c r="D43" s="3">
        <v>5518</v>
      </c>
      <c r="E43" s="3">
        <v>5816</v>
      </c>
      <c r="F43" s="3">
        <v>5907</v>
      </c>
      <c r="G43" s="3">
        <v>6138</v>
      </c>
      <c r="H43" s="3">
        <v>6230</v>
      </c>
      <c r="I43" s="3">
        <v>6885</v>
      </c>
      <c r="J43" s="3">
        <v>7063</v>
      </c>
      <c r="K43" s="3">
        <v>7450</v>
      </c>
      <c r="L43" s="3">
        <v>7826</v>
      </c>
      <c r="M43" s="3">
        <v>7972</v>
      </c>
      <c r="N43" s="3">
        <v>9550</v>
      </c>
      <c r="O43" s="3">
        <v>8598</v>
      </c>
      <c r="P43" s="3">
        <v>8825</v>
      </c>
      <c r="Q43" s="3">
        <v>9161</v>
      </c>
      <c r="R43" s="3">
        <v>9534</v>
      </c>
      <c r="S43" s="3">
        <v>9977</v>
      </c>
      <c r="T43" s="3">
        <v>10235</v>
      </c>
      <c r="U43" s="3">
        <v>10760</v>
      </c>
      <c r="V43" s="3">
        <v>10595</v>
      </c>
      <c r="W43" s="3">
        <v>11058</v>
      </c>
      <c r="X43" s="3">
        <v>13008</v>
      </c>
      <c r="Y43" s="3">
        <v>11398</v>
      </c>
      <c r="Z43" s="3">
        <v>12224</v>
      </c>
      <c r="AA43" s="3">
        <v>13030</v>
      </c>
      <c r="AB43" s="3">
        <v>14115</v>
      </c>
      <c r="AC43" s="3">
        <v>15428</v>
      </c>
      <c r="AD43" s="3">
        <v>15974</v>
      </c>
      <c r="AE43" s="3">
        <v>16274</v>
      </c>
      <c r="AF43" s="3">
        <v>16081</v>
      </c>
      <c r="AG43" s="3">
        <v>16282</v>
      </c>
      <c r="AH43" s="3">
        <v>16717</v>
      </c>
      <c r="AI43" s="3">
        <v>17094</v>
      </c>
      <c r="AJ43" s="3">
        <v>17508</v>
      </c>
      <c r="AK43" s="3">
        <v>17905</v>
      </c>
    </row>
    <row r="44" spans="1:37" x14ac:dyDescent="0.3">
      <c r="A44" s="7" t="s">
        <v>157</v>
      </c>
      <c r="B44" s="3">
        <v>5011</v>
      </c>
      <c r="C44" s="3">
        <v>4931</v>
      </c>
      <c r="D44" s="3">
        <v>5062</v>
      </c>
      <c r="E44" s="3">
        <v>5248</v>
      </c>
      <c r="F44" s="3">
        <v>5288</v>
      </c>
      <c r="G44" s="3">
        <v>5442</v>
      </c>
      <c r="H44" s="3">
        <v>5718</v>
      </c>
      <c r="I44" s="3">
        <v>6344</v>
      </c>
      <c r="J44" s="3">
        <v>6322</v>
      </c>
      <c r="K44" s="3">
        <v>6735</v>
      </c>
      <c r="L44" s="3">
        <v>7187</v>
      </c>
      <c r="M44" s="3">
        <v>7382</v>
      </c>
      <c r="N44" s="3">
        <v>7952</v>
      </c>
      <c r="O44" s="3">
        <v>8049</v>
      </c>
      <c r="P44" s="3">
        <v>8237</v>
      </c>
      <c r="Q44" s="3">
        <v>8404</v>
      </c>
      <c r="R44" s="3">
        <v>8716</v>
      </c>
      <c r="S44" s="3">
        <v>9166</v>
      </c>
      <c r="T44" s="3">
        <v>9330</v>
      </c>
      <c r="U44" s="3">
        <v>9859</v>
      </c>
      <c r="V44" s="3">
        <v>9848</v>
      </c>
      <c r="W44" s="3">
        <v>10287</v>
      </c>
      <c r="X44" s="3">
        <v>10591</v>
      </c>
      <c r="Y44" s="3">
        <v>10717</v>
      </c>
      <c r="Z44" s="3">
        <v>11566</v>
      </c>
      <c r="AA44" s="3">
        <v>12246</v>
      </c>
      <c r="AB44" s="3">
        <v>13185</v>
      </c>
      <c r="AC44" s="3">
        <v>14177</v>
      </c>
      <c r="AD44" s="3">
        <v>14514</v>
      </c>
      <c r="AE44" s="3">
        <v>14909</v>
      </c>
      <c r="AF44" s="3">
        <v>15211</v>
      </c>
      <c r="AG44" s="3">
        <v>15556</v>
      </c>
      <c r="AH44" s="3">
        <v>15972</v>
      </c>
      <c r="AI44" s="3">
        <v>16334</v>
      </c>
      <c r="AJ44" s="3">
        <v>16709</v>
      </c>
      <c r="AK44" s="3">
        <v>17077</v>
      </c>
    </row>
    <row r="45" spans="1:37" x14ac:dyDescent="0.3">
      <c r="A45" s="7" t="s">
        <v>158</v>
      </c>
      <c r="B45" s="3">
        <v>463</v>
      </c>
      <c r="C45" s="3">
        <v>471</v>
      </c>
      <c r="D45" s="3">
        <v>456</v>
      </c>
      <c r="E45" s="3">
        <v>568</v>
      </c>
      <c r="F45" s="3">
        <v>619</v>
      </c>
      <c r="G45" s="3">
        <v>696</v>
      </c>
      <c r="H45" s="3">
        <v>512</v>
      </c>
      <c r="I45" s="3">
        <v>540</v>
      </c>
      <c r="J45" s="3">
        <v>741</v>
      </c>
      <c r="K45" s="3">
        <v>715</v>
      </c>
      <c r="L45" s="3">
        <v>639</v>
      </c>
      <c r="M45" s="3">
        <v>591</v>
      </c>
      <c r="N45" s="3">
        <v>1599</v>
      </c>
      <c r="O45" s="3">
        <v>549</v>
      </c>
      <c r="P45" s="3">
        <v>588</v>
      </c>
      <c r="Q45" s="3">
        <v>757</v>
      </c>
      <c r="R45" s="3">
        <v>818</v>
      </c>
      <c r="S45" s="3">
        <v>810</v>
      </c>
      <c r="T45" s="3">
        <v>905</v>
      </c>
      <c r="U45" s="3">
        <v>900</v>
      </c>
      <c r="V45" s="3">
        <v>747</v>
      </c>
      <c r="W45" s="3">
        <v>771</v>
      </c>
      <c r="X45" s="3">
        <v>2417</v>
      </c>
      <c r="Y45" s="3">
        <v>681</v>
      </c>
      <c r="Z45" s="3">
        <v>657</v>
      </c>
      <c r="AA45" s="3">
        <v>784</v>
      </c>
      <c r="AB45" s="3">
        <v>931</v>
      </c>
      <c r="AC45" s="3">
        <v>1251</v>
      </c>
      <c r="AD45" s="3">
        <v>1461</v>
      </c>
      <c r="AE45" s="3">
        <v>1365</v>
      </c>
      <c r="AF45" s="3">
        <v>871</v>
      </c>
      <c r="AG45" s="3">
        <v>726</v>
      </c>
      <c r="AH45" s="3">
        <v>745</v>
      </c>
      <c r="AI45" s="3">
        <v>761</v>
      </c>
      <c r="AJ45" s="3">
        <v>799</v>
      </c>
      <c r="AK45" s="3">
        <v>828</v>
      </c>
    </row>
    <row r="46" spans="1:37" x14ac:dyDescent="0.3">
      <c r="A46" s="14" t="s">
        <v>159</v>
      </c>
      <c r="B46" s="3">
        <v>1041</v>
      </c>
      <c r="C46" s="3">
        <v>1054</v>
      </c>
      <c r="D46" s="3">
        <v>1107</v>
      </c>
      <c r="E46" s="3">
        <v>1011</v>
      </c>
      <c r="F46" s="3">
        <v>1035</v>
      </c>
      <c r="G46" s="3">
        <v>1094</v>
      </c>
      <c r="H46" s="3">
        <v>1029</v>
      </c>
      <c r="I46" s="3">
        <v>1105</v>
      </c>
      <c r="J46" s="3">
        <v>1008</v>
      </c>
      <c r="K46" s="3">
        <v>909</v>
      </c>
      <c r="L46" s="3">
        <v>856</v>
      </c>
      <c r="M46" s="3">
        <v>994</v>
      </c>
      <c r="N46" s="3">
        <v>1106</v>
      </c>
      <c r="O46" s="3">
        <v>1211</v>
      </c>
      <c r="P46" s="3">
        <v>1065</v>
      </c>
      <c r="Q46" s="3">
        <v>1080</v>
      </c>
      <c r="R46" s="3">
        <v>1068</v>
      </c>
      <c r="S46" s="3">
        <v>1025</v>
      </c>
      <c r="T46" s="3">
        <v>1106</v>
      </c>
      <c r="U46" s="3">
        <v>1085</v>
      </c>
      <c r="V46" s="3">
        <v>1178</v>
      </c>
      <c r="W46" s="3">
        <v>1104</v>
      </c>
      <c r="X46" s="3">
        <v>1110</v>
      </c>
      <c r="Y46" s="3">
        <v>1115</v>
      </c>
      <c r="Z46" s="3">
        <v>1103</v>
      </c>
      <c r="AA46" s="3">
        <v>1138</v>
      </c>
      <c r="AB46" s="3">
        <v>1434</v>
      </c>
      <c r="AC46" s="3">
        <v>2356</v>
      </c>
      <c r="AD46" s="3">
        <v>2747</v>
      </c>
      <c r="AE46" s="3">
        <v>2625</v>
      </c>
      <c r="AF46" s="3">
        <v>3246</v>
      </c>
      <c r="AG46" s="3">
        <v>3726</v>
      </c>
      <c r="AH46" s="3">
        <v>4164</v>
      </c>
      <c r="AI46" s="3">
        <v>4600</v>
      </c>
      <c r="AJ46" s="3">
        <v>5010</v>
      </c>
      <c r="AK46" s="3">
        <v>5383</v>
      </c>
    </row>
    <row r="47" spans="1:37" x14ac:dyDescent="0.3">
      <c r="A47" s="11" t="s">
        <v>160</v>
      </c>
      <c r="B47" s="11">
        <v>-759</v>
      </c>
      <c r="C47" s="11">
        <v>-159</v>
      </c>
      <c r="D47" s="11">
        <v>781</v>
      </c>
      <c r="E47" s="11">
        <v>1089</v>
      </c>
      <c r="F47" s="11">
        <v>760</v>
      </c>
      <c r="G47" s="11">
        <v>2004</v>
      </c>
      <c r="H47" s="11">
        <v>-150</v>
      </c>
      <c r="I47" s="11">
        <v>147</v>
      </c>
      <c r="J47" s="11">
        <v>-80</v>
      </c>
      <c r="K47" s="11">
        <v>431</v>
      </c>
      <c r="L47" s="11">
        <v>481</v>
      </c>
      <c r="M47" s="11">
        <v>1226</v>
      </c>
      <c r="N47" s="11">
        <v>-411</v>
      </c>
      <c r="O47" s="11">
        <v>-2895</v>
      </c>
      <c r="P47" s="11">
        <v>-2953</v>
      </c>
      <c r="Q47" s="11">
        <v>-1856</v>
      </c>
      <c r="R47" s="11">
        <v>-745</v>
      </c>
      <c r="S47" s="11">
        <v>-1059</v>
      </c>
      <c r="T47" s="11">
        <v>-1549</v>
      </c>
      <c r="U47" s="11">
        <v>-6008</v>
      </c>
      <c r="V47" s="11">
        <v>180</v>
      </c>
      <c r="W47" s="11">
        <v>817</v>
      </c>
      <c r="X47" s="11">
        <v>-2060</v>
      </c>
      <c r="Y47" s="11">
        <v>-1176</v>
      </c>
      <c r="Z47" s="11">
        <v>-10119</v>
      </c>
      <c r="AA47" s="11">
        <v>-8583</v>
      </c>
      <c r="AB47" s="11">
        <v>-5270</v>
      </c>
      <c r="AC47" s="11">
        <v>-6923</v>
      </c>
      <c r="AD47" s="11">
        <v>-9460</v>
      </c>
      <c r="AE47" s="11">
        <v>-9010</v>
      </c>
      <c r="AF47" s="11">
        <v>-8140</v>
      </c>
      <c r="AG47" s="11">
        <v>-4808</v>
      </c>
      <c r="AH47" s="11">
        <v>-4514</v>
      </c>
      <c r="AI47" s="11">
        <v>-3853</v>
      </c>
      <c r="AJ47" s="11">
        <v>-4100</v>
      </c>
      <c r="AK47" s="11">
        <v>-3781</v>
      </c>
    </row>
    <row r="48" spans="1:37" x14ac:dyDescent="0.3">
      <c r="A48" s="7" t="s">
        <v>161</v>
      </c>
      <c r="B48" s="3">
        <v>2030</v>
      </c>
      <c r="C48" s="3">
        <v>3003</v>
      </c>
      <c r="D48" s="3">
        <v>3681</v>
      </c>
      <c r="E48" s="3">
        <v>4532</v>
      </c>
      <c r="F48" s="3">
        <v>4050</v>
      </c>
      <c r="G48" s="3">
        <v>5424</v>
      </c>
      <c r="H48" s="3">
        <v>3138</v>
      </c>
      <c r="I48" s="3">
        <v>3316</v>
      </c>
      <c r="J48" s="3">
        <v>3263</v>
      </c>
      <c r="K48" s="3">
        <v>3871</v>
      </c>
      <c r="L48" s="3">
        <v>3724</v>
      </c>
      <c r="M48" s="3">
        <v>4358</v>
      </c>
      <c r="N48" s="3">
        <v>4165</v>
      </c>
      <c r="O48" s="3">
        <v>1270</v>
      </c>
      <c r="P48" s="3">
        <v>1438</v>
      </c>
      <c r="Q48" s="3">
        <v>3684</v>
      </c>
      <c r="R48" s="3">
        <v>3562</v>
      </c>
      <c r="S48" s="3">
        <v>3594</v>
      </c>
      <c r="T48" s="3">
        <v>3524</v>
      </c>
      <c r="U48" s="3">
        <v>-1050</v>
      </c>
      <c r="V48" s="3">
        <v>5551</v>
      </c>
      <c r="W48" s="3">
        <v>5847</v>
      </c>
      <c r="X48" s="3">
        <v>5170</v>
      </c>
      <c r="Y48" s="3">
        <v>4838</v>
      </c>
      <c r="Z48" s="3">
        <v>-3782</v>
      </c>
      <c r="AA48" s="3">
        <v>-898</v>
      </c>
      <c r="AB48" s="3">
        <v>2334</v>
      </c>
      <c r="AC48" s="3">
        <v>2845</v>
      </c>
      <c r="AD48" s="3">
        <v>896</v>
      </c>
      <c r="AE48" s="3">
        <v>1038</v>
      </c>
      <c r="AF48" s="3">
        <v>1413</v>
      </c>
      <c r="AG48" s="3">
        <v>3732</v>
      </c>
      <c r="AH48" s="3">
        <v>4693</v>
      </c>
      <c r="AI48" s="3">
        <v>5492</v>
      </c>
      <c r="AJ48" s="3">
        <v>5508</v>
      </c>
      <c r="AK48" s="3">
        <v>6076</v>
      </c>
    </row>
    <row r="49" spans="1:37" x14ac:dyDescent="0.3">
      <c r="A49" s="11" t="s">
        <v>162</v>
      </c>
      <c r="B49" s="11">
        <v>282</v>
      </c>
      <c r="C49" s="11">
        <v>895</v>
      </c>
      <c r="D49" s="11">
        <v>1888</v>
      </c>
      <c r="E49" s="11">
        <v>2100</v>
      </c>
      <c r="F49" s="11">
        <v>1795</v>
      </c>
      <c r="G49" s="11">
        <v>3097</v>
      </c>
      <c r="H49" s="11">
        <v>879</v>
      </c>
      <c r="I49" s="11">
        <v>1252</v>
      </c>
      <c r="J49" s="11">
        <v>929</v>
      </c>
      <c r="K49" s="11">
        <v>1340</v>
      </c>
      <c r="L49" s="11">
        <v>1337</v>
      </c>
      <c r="M49" s="11">
        <v>2220</v>
      </c>
      <c r="N49" s="11">
        <v>695</v>
      </c>
      <c r="O49" s="11">
        <v>-1684</v>
      </c>
      <c r="P49" s="11">
        <v>-1888</v>
      </c>
      <c r="Q49" s="11">
        <v>-776</v>
      </c>
      <c r="R49" s="11">
        <v>322</v>
      </c>
      <c r="S49" s="11">
        <v>-34</v>
      </c>
      <c r="T49" s="11">
        <v>-443</v>
      </c>
      <c r="U49" s="11">
        <v>-4923</v>
      </c>
      <c r="V49" s="11">
        <v>1358</v>
      </c>
      <c r="W49" s="11">
        <v>1922</v>
      </c>
      <c r="X49" s="11">
        <v>-951</v>
      </c>
      <c r="Y49" s="11">
        <v>-61</v>
      </c>
      <c r="Z49" s="11">
        <v>-9016</v>
      </c>
      <c r="AA49" s="11">
        <v>-7445</v>
      </c>
      <c r="AB49" s="11">
        <v>-3836</v>
      </c>
      <c r="AC49" s="11">
        <v>-4567</v>
      </c>
      <c r="AD49" s="11">
        <v>-6713</v>
      </c>
      <c r="AE49" s="11">
        <v>-6385</v>
      </c>
      <c r="AF49" s="11">
        <v>-4894</v>
      </c>
      <c r="AG49" s="11">
        <v>-1082</v>
      </c>
      <c r="AH49" s="11">
        <v>-350</v>
      </c>
      <c r="AI49" s="11">
        <v>748</v>
      </c>
      <c r="AJ49" s="11">
        <v>910</v>
      </c>
      <c r="AK49" s="11">
        <v>1602</v>
      </c>
    </row>
    <row r="50" spans="1:37" x14ac:dyDescent="0.3">
      <c r="A50" s="3" t="s">
        <v>163</v>
      </c>
      <c r="B50" s="3">
        <v>15602</v>
      </c>
      <c r="C50" s="3">
        <v>16224</v>
      </c>
      <c r="D50" s="3">
        <v>16849</v>
      </c>
      <c r="E50" s="3">
        <v>17743</v>
      </c>
      <c r="F50" s="3">
        <v>18593</v>
      </c>
      <c r="G50" s="3">
        <v>19741</v>
      </c>
      <c r="H50" s="3">
        <v>21549</v>
      </c>
      <c r="I50" s="3">
        <v>22460</v>
      </c>
      <c r="J50" s="3">
        <v>23499</v>
      </c>
      <c r="K50" s="3">
        <v>24346</v>
      </c>
      <c r="L50" s="3">
        <v>25594</v>
      </c>
      <c r="M50" s="3">
        <v>26643</v>
      </c>
      <c r="N50" s="3">
        <v>28188</v>
      </c>
      <c r="O50" s="3">
        <v>29688</v>
      </c>
      <c r="P50" s="3">
        <v>30333</v>
      </c>
      <c r="Q50" s="3">
        <v>32004</v>
      </c>
      <c r="R50" s="3">
        <v>33468</v>
      </c>
      <c r="S50" s="3">
        <v>34052</v>
      </c>
      <c r="T50" s="3">
        <v>34626</v>
      </c>
      <c r="U50" s="3">
        <v>38578</v>
      </c>
      <c r="V50" s="3">
        <v>38914</v>
      </c>
      <c r="W50" s="3">
        <v>40449</v>
      </c>
      <c r="X50" s="3">
        <v>41878</v>
      </c>
      <c r="Y50" s="3">
        <v>43703</v>
      </c>
      <c r="Z50" s="3">
        <v>44931</v>
      </c>
      <c r="AA50" s="3">
        <v>46856</v>
      </c>
      <c r="AB50" s="3">
        <v>51085</v>
      </c>
      <c r="AC50" s="3">
        <v>55722</v>
      </c>
      <c r="AD50" s="3">
        <v>58251</v>
      </c>
      <c r="AE50" s="3">
        <v>60293</v>
      </c>
      <c r="AF50" s="3">
        <v>61947</v>
      </c>
      <c r="AG50" s="3">
        <v>63466</v>
      </c>
      <c r="AH50" s="3">
        <v>65258</v>
      </c>
      <c r="AI50" s="3">
        <v>66890</v>
      </c>
      <c r="AJ50" s="3">
        <v>68288</v>
      </c>
      <c r="AK50" s="3">
        <v>69679</v>
      </c>
    </row>
  </sheetData>
  <mergeCells count="1">
    <mergeCell ref="A1:AK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867F-EC40-4A13-A275-9777B4BBC0CE}">
  <dimension ref="A1:W9"/>
  <sheetViews>
    <sheetView showGridLines="0" workbookViewId="0">
      <pane xSplit="1" ySplit="3" topLeftCell="B4" activePane="bottomRight" state="frozenSplit"/>
      <selection pane="topRight" activeCell="B1" sqref="B1"/>
      <selection pane="bottomLeft" activeCell="A4" sqref="A4"/>
      <selection pane="bottomRight" sqref="A1:W1"/>
    </sheetView>
  </sheetViews>
  <sheetFormatPr defaultColWidth="9.109375" defaultRowHeight="14.4" x14ac:dyDescent="0.3"/>
  <cols>
    <col min="1" max="1" width="70.6640625" style="1" customWidth="1"/>
    <col min="2" max="3" width="5.6640625" style="1" bestFit="1" customWidth="1"/>
    <col min="4" max="4" width="5" style="1" bestFit="1" customWidth="1"/>
    <col min="5" max="7" width="5.6640625" style="1" bestFit="1" customWidth="1"/>
    <col min="8" max="9" width="5" style="1" bestFit="1" customWidth="1"/>
    <col min="10" max="11" width="5.6640625" style="1" bestFit="1" customWidth="1"/>
    <col min="12" max="12" width="6.6640625" style="1" bestFit="1" customWidth="1"/>
    <col min="13" max="23" width="5.6640625" style="1" bestFit="1" customWidth="1"/>
    <col min="24" max="16384" width="9.109375" style="1"/>
  </cols>
  <sheetData>
    <row r="1" spans="1:23" ht="15" customHeight="1" x14ac:dyDescent="0.3">
      <c r="A1" s="28" t="s">
        <v>176</v>
      </c>
      <c r="B1" s="28"/>
      <c r="C1" s="28"/>
      <c r="D1" s="28"/>
      <c r="E1" s="28"/>
      <c r="F1" s="28"/>
      <c r="G1" s="28"/>
      <c r="H1" s="28"/>
      <c r="I1" s="28"/>
      <c r="J1" s="28"/>
      <c r="K1" s="28"/>
      <c r="L1" s="28"/>
      <c r="M1" s="28"/>
      <c r="N1" s="28"/>
      <c r="O1" s="28"/>
      <c r="P1" s="28"/>
      <c r="Q1" s="28"/>
      <c r="R1" s="28"/>
      <c r="S1" s="28"/>
      <c r="T1" s="28"/>
      <c r="U1" s="28"/>
      <c r="V1" s="28"/>
      <c r="W1" s="28"/>
    </row>
    <row r="2" spans="1:23" ht="15" thickBot="1" x14ac:dyDescent="0.35">
      <c r="A2" s="2" t="s">
        <v>78</v>
      </c>
      <c r="B2" s="3"/>
      <c r="C2" s="3"/>
      <c r="D2" s="3"/>
      <c r="E2" s="3"/>
      <c r="F2" s="3"/>
      <c r="G2" s="3"/>
      <c r="H2" s="3"/>
      <c r="I2" s="3"/>
      <c r="J2" s="3"/>
      <c r="K2" s="3"/>
      <c r="L2" s="3"/>
      <c r="M2" s="3"/>
      <c r="N2" s="3"/>
      <c r="O2" s="3"/>
      <c r="P2" s="3"/>
      <c r="Q2" s="3"/>
      <c r="R2" s="3"/>
      <c r="S2" s="3"/>
      <c r="T2" s="3"/>
      <c r="U2" s="3"/>
      <c r="V2" s="3"/>
      <c r="W2" s="3"/>
    </row>
    <row r="3" spans="1:23" ht="15" thickBot="1" x14ac:dyDescent="0.35">
      <c r="A3" s="4"/>
      <c r="B3" s="4">
        <v>2010</v>
      </c>
      <c r="C3" s="4">
        <v>2011</v>
      </c>
      <c r="D3" s="4">
        <v>2012</v>
      </c>
      <c r="E3" s="4">
        <v>2013</v>
      </c>
      <c r="F3" s="4">
        <v>2014</v>
      </c>
      <c r="G3" s="4">
        <v>2015</v>
      </c>
      <c r="H3" s="4">
        <v>2016</v>
      </c>
      <c r="I3" s="4">
        <v>2017</v>
      </c>
      <c r="J3" s="4">
        <v>2018</v>
      </c>
      <c r="K3" s="4">
        <v>2019</v>
      </c>
      <c r="L3" s="4">
        <v>2020</v>
      </c>
      <c r="M3" s="4">
        <v>2021</v>
      </c>
      <c r="N3" s="4">
        <v>2022</v>
      </c>
      <c r="O3" s="4">
        <v>2023</v>
      </c>
      <c r="P3" s="4">
        <v>2024</v>
      </c>
      <c r="Q3" s="4">
        <v>2025</v>
      </c>
      <c r="R3" s="4">
        <v>2026</v>
      </c>
      <c r="S3" s="4">
        <v>2027</v>
      </c>
      <c r="T3" s="4">
        <v>2028</v>
      </c>
      <c r="U3" s="4">
        <v>2029</v>
      </c>
      <c r="V3" s="4">
        <v>2030</v>
      </c>
      <c r="W3" s="4">
        <v>2031</v>
      </c>
    </row>
    <row r="4" spans="1:23" x14ac:dyDescent="0.3">
      <c r="A4" s="5" t="s">
        <v>177</v>
      </c>
      <c r="B4" s="5">
        <v>-2953</v>
      </c>
      <c r="C4" s="5">
        <v>-1856</v>
      </c>
      <c r="D4" s="5">
        <v>-745</v>
      </c>
      <c r="E4" s="5">
        <v>-1059</v>
      </c>
      <c r="F4" s="5">
        <v>-1549</v>
      </c>
      <c r="G4" s="5">
        <v>-6008</v>
      </c>
      <c r="H4" s="5">
        <v>180</v>
      </c>
      <c r="I4" s="5">
        <v>817</v>
      </c>
      <c r="J4" s="5">
        <v>-2060</v>
      </c>
      <c r="K4" s="5">
        <v>-1176</v>
      </c>
      <c r="L4" s="5">
        <v>-10119</v>
      </c>
      <c r="M4" s="5">
        <v>-8583</v>
      </c>
      <c r="N4" s="5">
        <v>-5270</v>
      </c>
      <c r="O4" s="5">
        <v>-6923</v>
      </c>
      <c r="P4" s="5">
        <v>-9460</v>
      </c>
      <c r="Q4" s="5">
        <v>-9010</v>
      </c>
      <c r="R4" s="5">
        <v>-8140</v>
      </c>
      <c r="S4" s="5">
        <v>-4808</v>
      </c>
      <c r="T4" s="5">
        <v>-4514</v>
      </c>
      <c r="U4" s="5">
        <v>-3853</v>
      </c>
      <c r="V4" s="5">
        <v>-4100</v>
      </c>
      <c r="W4" s="5">
        <v>-3781</v>
      </c>
    </row>
    <row r="5" spans="1:23" x14ac:dyDescent="0.3">
      <c r="A5" s="14" t="s">
        <v>178</v>
      </c>
      <c r="B5" s="3">
        <v>-1533</v>
      </c>
      <c r="C5" s="3">
        <v>-122</v>
      </c>
      <c r="D5" s="3">
        <v>17</v>
      </c>
      <c r="E5" s="3">
        <v>-694</v>
      </c>
      <c r="F5" s="3">
        <v>-740</v>
      </c>
      <c r="G5" s="3">
        <v>-3380</v>
      </c>
      <c r="H5" s="3">
        <v>-42</v>
      </c>
      <c r="I5" s="3">
        <v>1413</v>
      </c>
      <c r="J5" s="3">
        <v>-721</v>
      </c>
      <c r="K5" s="3">
        <v>340</v>
      </c>
      <c r="L5" s="3">
        <v>-5443</v>
      </c>
      <c r="M5" s="3">
        <v>-3026</v>
      </c>
      <c r="N5" s="3">
        <v>-2069</v>
      </c>
      <c r="O5" s="3">
        <v>-2552</v>
      </c>
      <c r="P5" s="3">
        <v>-5023</v>
      </c>
      <c r="Q5" s="3">
        <v>-3853</v>
      </c>
      <c r="R5" s="3">
        <v>-3053</v>
      </c>
      <c r="S5" s="3">
        <v>-875</v>
      </c>
      <c r="T5" s="3">
        <v>-1694</v>
      </c>
      <c r="U5" s="3">
        <v>-1971</v>
      </c>
      <c r="V5" s="3">
        <v>-1866</v>
      </c>
      <c r="W5" s="3">
        <v>-1427</v>
      </c>
    </row>
    <row r="6" spans="1:23" x14ac:dyDescent="0.3">
      <c r="A6" s="14" t="s">
        <v>179</v>
      </c>
      <c r="B6" s="3">
        <v>-708</v>
      </c>
      <c r="C6" s="3">
        <v>-254</v>
      </c>
      <c r="D6" s="3">
        <v>-196</v>
      </c>
      <c r="E6" s="3">
        <v>-171</v>
      </c>
      <c r="F6" s="3">
        <v>-214</v>
      </c>
      <c r="G6" s="3">
        <v>-276</v>
      </c>
      <c r="H6" s="3">
        <v>-66</v>
      </c>
      <c r="I6" s="3">
        <v>-208</v>
      </c>
      <c r="J6" s="3">
        <v>-208</v>
      </c>
      <c r="K6" s="3">
        <v>-351</v>
      </c>
      <c r="L6" s="3">
        <v>-1519</v>
      </c>
      <c r="M6" s="3">
        <v>-833</v>
      </c>
      <c r="N6" s="3">
        <v>-868</v>
      </c>
      <c r="O6" s="3">
        <v>-696</v>
      </c>
      <c r="P6" s="3">
        <v>-1483</v>
      </c>
      <c r="Q6" s="3">
        <v>-1454</v>
      </c>
      <c r="R6" s="3">
        <v>-1828</v>
      </c>
      <c r="S6" s="3">
        <v>-1371</v>
      </c>
      <c r="T6" s="3">
        <v>-1473</v>
      </c>
      <c r="U6" s="3">
        <v>-1243</v>
      </c>
      <c r="V6" s="3">
        <v>-1317</v>
      </c>
      <c r="W6" s="3">
        <v>-1318</v>
      </c>
    </row>
    <row r="7" spans="1:23" x14ac:dyDescent="0.3">
      <c r="A7" s="14" t="s">
        <v>180</v>
      </c>
      <c r="B7" s="3">
        <v>-467</v>
      </c>
      <c r="C7" s="3">
        <v>-828</v>
      </c>
      <c r="D7" s="3">
        <v>-528</v>
      </c>
      <c r="E7" s="3">
        <v>-316</v>
      </c>
      <c r="F7" s="3">
        <v>-719</v>
      </c>
      <c r="G7" s="3">
        <v>-1859</v>
      </c>
      <c r="H7" s="3">
        <v>110</v>
      </c>
      <c r="I7" s="3">
        <v>-256</v>
      </c>
      <c r="J7" s="3">
        <v>-710</v>
      </c>
      <c r="K7" s="3">
        <v>-494</v>
      </c>
      <c r="L7" s="3">
        <v>-1819</v>
      </c>
      <c r="M7" s="3">
        <v>-3267</v>
      </c>
      <c r="N7" s="3">
        <v>-1039</v>
      </c>
      <c r="O7" s="3">
        <v>-2035</v>
      </c>
      <c r="P7" s="3">
        <v>-2056</v>
      </c>
      <c r="Q7" s="3">
        <v>-2695</v>
      </c>
      <c r="R7" s="3">
        <v>-2127</v>
      </c>
      <c r="S7" s="3">
        <v>-1551</v>
      </c>
      <c r="T7" s="3">
        <v>-1837</v>
      </c>
      <c r="U7" s="3">
        <v>-1561</v>
      </c>
      <c r="V7" s="3">
        <v>-1528</v>
      </c>
      <c r="W7" s="3">
        <v>-1589</v>
      </c>
    </row>
    <row r="8" spans="1:23" x14ac:dyDescent="0.3">
      <c r="A8" s="14" t="s">
        <v>181</v>
      </c>
      <c r="B8" s="3">
        <v>-238</v>
      </c>
      <c r="C8" s="3">
        <v>-388</v>
      </c>
      <c r="D8" s="3">
        <v>-37</v>
      </c>
      <c r="E8" s="3">
        <v>186</v>
      </c>
      <c r="F8" s="3">
        <v>202</v>
      </c>
      <c r="G8" s="3">
        <v>-325</v>
      </c>
      <c r="H8" s="3">
        <v>152</v>
      </c>
      <c r="I8" s="3">
        <v>-187</v>
      </c>
      <c r="J8" s="3">
        <v>-398</v>
      </c>
      <c r="K8" s="3">
        <v>-709</v>
      </c>
      <c r="L8" s="3">
        <v>-1200</v>
      </c>
      <c r="M8" s="3">
        <v>-1492</v>
      </c>
      <c r="N8" s="3">
        <v>-1152</v>
      </c>
      <c r="O8" s="3">
        <v>-1538</v>
      </c>
      <c r="P8" s="3">
        <v>-1564</v>
      </c>
      <c r="Q8" s="3">
        <v>-916</v>
      </c>
      <c r="R8" s="3">
        <v>-1018</v>
      </c>
      <c r="S8" s="3">
        <v>-971</v>
      </c>
      <c r="T8" s="3">
        <v>-914</v>
      </c>
      <c r="U8" s="3">
        <v>-794</v>
      </c>
      <c r="V8" s="3">
        <v>-813</v>
      </c>
      <c r="W8" s="3">
        <v>-853</v>
      </c>
    </row>
    <row r="9" spans="1:23" x14ac:dyDescent="0.3">
      <c r="A9" s="14" t="s">
        <v>182</v>
      </c>
      <c r="B9" s="3">
        <v>-6</v>
      </c>
      <c r="C9" s="3">
        <v>-263</v>
      </c>
      <c r="D9" s="3">
        <v>0</v>
      </c>
      <c r="E9" s="3">
        <v>-66</v>
      </c>
      <c r="F9" s="3">
        <v>-78</v>
      </c>
      <c r="G9" s="3">
        <v>-168</v>
      </c>
      <c r="H9" s="3">
        <v>25</v>
      </c>
      <c r="I9" s="3">
        <v>55</v>
      </c>
      <c r="J9" s="3">
        <v>-24</v>
      </c>
      <c r="K9" s="3">
        <v>36</v>
      </c>
      <c r="L9" s="3">
        <v>-138</v>
      </c>
      <c r="M9" s="3">
        <v>36</v>
      </c>
      <c r="N9" s="3">
        <v>-142</v>
      </c>
      <c r="O9" s="3">
        <v>-102</v>
      </c>
      <c r="P9" s="3">
        <v>665</v>
      </c>
      <c r="Q9" s="3">
        <v>-92</v>
      </c>
      <c r="R9" s="3">
        <v>-115</v>
      </c>
      <c r="S9" s="3">
        <v>-40</v>
      </c>
      <c r="T9" s="3">
        <v>1405</v>
      </c>
      <c r="U9" s="3">
        <v>1718</v>
      </c>
      <c r="V9" s="3">
        <v>1423</v>
      </c>
      <c r="W9" s="3">
        <v>1405</v>
      </c>
    </row>
  </sheetData>
  <mergeCells count="1">
    <mergeCell ref="A1:W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85AC3-7930-47CE-8FC7-39C30AA492D8}">
  <dimension ref="A1:AK47"/>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6" style="1" bestFit="1" customWidth="1"/>
    <col min="38" max="16384" width="9.109375" style="1"/>
  </cols>
  <sheetData>
    <row r="1" spans="1:37" ht="15" customHeight="1" x14ac:dyDescent="0.3">
      <c r="A1" s="28" t="s">
        <v>164</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 t="s">
        <v>78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121</v>
      </c>
      <c r="B4" s="12">
        <v>14589</v>
      </c>
      <c r="C4" s="12">
        <v>14829</v>
      </c>
      <c r="D4" s="12">
        <v>15078</v>
      </c>
      <c r="E4" s="12">
        <v>16004</v>
      </c>
      <c r="F4" s="12">
        <v>16281</v>
      </c>
      <c r="G4" s="12">
        <v>17090</v>
      </c>
      <c r="H4" s="12">
        <v>18305</v>
      </c>
      <c r="I4" s="12">
        <v>19823</v>
      </c>
      <c r="J4" s="12">
        <v>20383</v>
      </c>
      <c r="K4" s="12">
        <v>21336</v>
      </c>
      <c r="L4" s="12">
        <v>22589</v>
      </c>
      <c r="M4" s="12">
        <v>23806</v>
      </c>
      <c r="N4" s="12">
        <v>25193</v>
      </c>
      <c r="O4" s="12">
        <v>25660</v>
      </c>
      <c r="P4" s="12">
        <v>26014</v>
      </c>
      <c r="Q4" s="12">
        <v>27199</v>
      </c>
      <c r="R4" s="12">
        <v>27625</v>
      </c>
      <c r="S4" s="12">
        <v>28621</v>
      </c>
      <c r="T4" s="12">
        <v>28798</v>
      </c>
      <c r="U4" s="12">
        <v>29500</v>
      </c>
      <c r="V4" s="12">
        <v>30698</v>
      </c>
      <c r="W4" s="12">
        <v>31803</v>
      </c>
      <c r="X4" s="12">
        <v>32141</v>
      </c>
      <c r="Y4" s="12">
        <v>33136</v>
      </c>
      <c r="Z4" s="12">
        <v>34192</v>
      </c>
      <c r="AA4" s="12">
        <v>35177</v>
      </c>
      <c r="AB4" s="12">
        <v>38164</v>
      </c>
      <c r="AC4" s="12">
        <v>42054</v>
      </c>
      <c r="AD4" s="12">
        <v>43298</v>
      </c>
      <c r="AE4" s="12">
        <v>44618</v>
      </c>
      <c r="AF4" s="12">
        <v>45790</v>
      </c>
      <c r="AG4" s="12">
        <v>47273</v>
      </c>
      <c r="AH4" s="12">
        <v>48590</v>
      </c>
      <c r="AI4" s="12">
        <v>49708</v>
      </c>
      <c r="AJ4" s="12">
        <v>50915</v>
      </c>
      <c r="AK4" s="12">
        <v>52163</v>
      </c>
    </row>
    <row r="5" spans="1:37" x14ac:dyDescent="0.3">
      <c r="A5" s="14" t="s">
        <v>122</v>
      </c>
      <c r="B5" s="3">
        <v>4574</v>
      </c>
      <c r="C5" s="3">
        <v>4834</v>
      </c>
      <c r="D5" s="3">
        <v>4761</v>
      </c>
      <c r="E5" s="3">
        <v>5090</v>
      </c>
      <c r="F5" s="3">
        <v>4699</v>
      </c>
      <c r="G5" s="3">
        <v>5251</v>
      </c>
      <c r="H5" s="3">
        <v>5817</v>
      </c>
      <c r="I5" s="3">
        <v>6232</v>
      </c>
      <c r="J5" s="3">
        <v>6370</v>
      </c>
      <c r="K5" s="3">
        <v>6616</v>
      </c>
      <c r="L5" s="3">
        <v>7026</v>
      </c>
      <c r="M5" s="3">
        <v>7653</v>
      </c>
      <c r="N5" s="3">
        <v>7010</v>
      </c>
      <c r="O5" s="3">
        <v>8127</v>
      </c>
      <c r="P5" s="3">
        <v>8019</v>
      </c>
      <c r="Q5" s="3">
        <v>8392</v>
      </c>
      <c r="R5" s="3">
        <v>8068</v>
      </c>
      <c r="S5" s="3">
        <v>8492</v>
      </c>
      <c r="T5" s="3">
        <v>8499</v>
      </c>
      <c r="U5" s="3">
        <v>9096</v>
      </c>
      <c r="V5" s="3">
        <v>9513</v>
      </c>
      <c r="W5" s="3">
        <v>9642</v>
      </c>
      <c r="X5" s="3">
        <v>9397</v>
      </c>
      <c r="Y5" s="3">
        <v>10173</v>
      </c>
      <c r="Z5" s="3">
        <v>10100</v>
      </c>
      <c r="AA5" s="3">
        <v>9709</v>
      </c>
      <c r="AB5" s="3">
        <v>10789</v>
      </c>
      <c r="AC5" s="3">
        <v>11985</v>
      </c>
      <c r="AD5" s="3">
        <v>12198</v>
      </c>
      <c r="AE5" s="3">
        <v>12955</v>
      </c>
      <c r="AF5" s="3">
        <v>13335</v>
      </c>
      <c r="AG5" s="3">
        <v>13842</v>
      </c>
      <c r="AH5" s="3">
        <v>14299</v>
      </c>
      <c r="AI5" s="3">
        <v>14742</v>
      </c>
      <c r="AJ5" s="3">
        <v>15120</v>
      </c>
      <c r="AK5" s="3">
        <v>15535</v>
      </c>
    </row>
    <row r="6" spans="1:37" x14ac:dyDescent="0.3">
      <c r="A6" s="7" t="s">
        <v>123</v>
      </c>
      <c r="B6" s="3">
        <v>4500</v>
      </c>
      <c r="C6" s="3">
        <v>4812</v>
      </c>
      <c r="D6" s="3">
        <v>4743</v>
      </c>
      <c r="E6" s="3">
        <v>5070</v>
      </c>
      <c r="F6" s="3">
        <v>4676</v>
      </c>
      <c r="G6" s="3">
        <v>5230</v>
      </c>
      <c r="H6" s="3">
        <v>5797</v>
      </c>
      <c r="I6" s="3">
        <v>6212</v>
      </c>
      <c r="J6" s="3">
        <v>6348</v>
      </c>
      <c r="K6" s="3">
        <v>6594</v>
      </c>
      <c r="L6" s="3">
        <v>7006</v>
      </c>
      <c r="M6" s="3">
        <v>7630</v>
      </c>
      <c r="N6" s="3">
        <v>6986</v>
      </c>
      <c r="O6" s="3">
        <v>8104</v>
      </c>
      <c r="P6" s="3">
        <v>7996</v>
      </c>
      <c r="Q6" s="3">
        <v>8368</v>
      </c>
      <c r="R6" s="3">
        <v>8042</v>
      </c>
      <c r="S6" s="3">
        <v>8465</v>
      </c>
      <c r="T6" s="3">
        <v>8471</v>
      </c>
      <c r="U6" s="3">
        <v>9068</v>
      </c>
      <c r="V6" s="3">
        <v>9492</v>
      </c>
      <c r="W6" s="3">
        <v>9621</v>
      </c>
      <c r="X6" s="3">
        <v>9382</v>
      </c>
      <c r="Y6" s="3">
        <v>10153</v>
      </c>
      <c r="Z6" s="3">
        <v>10080</v>
      </c>
      <c r="AA6" s="3">
        <v>9690</v>
      </c>
      <c r="AB6" s="3">
        <v>10769</v>
      </c>
      <c r="AC6" s="3">
        <v>11964</v>
      </c>
      <c r="AD6" s="3">
        <v>12177</v>
      </c>
      <c r="AE6" s="3">
        <v>12935</v>
      </c>
      <c r="AF6" s="3">
        <v>13315</v>
      </c>
      <c r="AG6" s="3">
        <v>13820</v>
      </c>
      <c r="AH6" s="3">
        <v>14277</v>
      </c>
      <c r="AI6" s="3">
        <v>14720</v>
      </c>
      <c r="AJ6" s="3">
        <v>15097</v>
      </c>
      <c r="AK6" s="3">
        <v>15512</v>
      </c>
    </row>
    <row r="7" spans="1:37" x14ac:dyDescent="0.3">
      <c r="A7" s="9" t="s">
        <v>165</v>
      </c>
      <c r="B7" s="3">
        <v>1740</v>
      </c>
      <c r="C7" s="3">
        <v>1892</v>
      </c>
      <c r="D7" s="3">
        <v>1786</v>
      </c>
      <c r="E7" s="3">
        <v>1975</v>
      </c>
      <c r="F7" s="3">
        <v>1578</v>
      </c>
      <c r="G7" s="3">
        <v>2022</v>
      </c>
      <c r="H7" s="3">
        <v>2209</v>
      </c>
      <c r="I7" s="3">
        <v>2370</v>
      </c>
      <c r="J7" s="3">
        <v>2399</v>
      </c>
      <c r="K7" s="3">
        <v>2506</v>
      </c>
      <c r="L7" s="3">
        <v>2764</v>
      </c>
      <c r="M7" s="3">
        <v>3238</v>
      </c>
      <c r="N7" s="3">
        <v>2526</v>
      </c>
      <c r="O7" s="3">
        <v>3558</v>
      </c>
      <c r="P7" s="3">
        <v>3265</v>
      </c>
      <c r="Q7" s="3">
        <v>3456</v>
      </c>
      <c r="R7" s="3">
        <v>3101</v>
      </c>
      <c r="S7" s="3">
        <v>3192</v>
      </c>
      <c r="T7" s="3">
        <v>2926</v>
      </c>
      <c r="U7" s="3">
        <v>3424</v>
      </c>
      <c r="V7" s="3">
        <v>3727</v>
      </c>
      <c r="W7" s="3">
        <v>3767</v>
      </c>
      <c r="X7" s="3">
        <v>3649</v>
      </c>
      <c r="Y7" s="3">
        <v>3948</v>
      </c>
      <c r="Z7" s="3">
        <v>4077</v>
      </c>
      <c r="AA7" s="3">
        <v>3536</v>
      </c>
      <c r="AB7" s="3">
        <v>4152</v>
      </c>
      <c r="AC7" s="3">
        <v>4488</v>
      </c>
      <c r="AD7" s="3">
        <v>4634</v>
      </c>
      <c r="AE7" s="3">
        <v>5011</v>
      </c>
      <c r="AF7" s="3">
        <v>5111</v>
      </c>
      <c r="AG7" s="3">
        <v>5286</v>
      </c>
      <c r="AH7" s="3">
        <v>5482</v>
      </c>
      <c r="AI7" s="3">
        <v>5693</v>
      </c>
      <c r="AJ7" s="3">
        <v>5859</v>
      </c>
      <c r="AK7" s="3">
        <v>6068</v>
      </c>
    </row>
    <row r="8" spans="1:37" x14ac:dyDescent="0.3">
      <c r="A8" s="9" t="s">
        <v>127</v>
      </c>
      <c r="B8" s="3">
        <v>2761</v>
      </c>
      <c r="C8" s="3">
        <v>2920</v>
      </c>
      <c r="D8" s="3">
        <v>2957</v>
      </c>
      <c r="E8" s="3">
        <v>3095</v>
      </c>
      <c r="F8" s="3">
        <v>3099</v>
      </c>
      <c r="G8" s="3">
        <v>3208</v>
      </c>
      <c r="H8" s="3">
        <v>3587</v>
      </c>
      <c r="I8" s="3">
        <v>3842</v>
      </c>
      <c r="J8" s="3">
        <v>3949</v>
      </c>
      <c r="K8" s="3">
        <v>4087</v>
      </c>
      <c r="L8" s="3">
        <v>4242</v>
      </c>
      <c r="M8" s="3">
        <v>4392</v>
      </c>
      <c r="N8" s="3">
        <v>4461</v>
      </c>
      <c r="O8" s="3">
        <v>4546</v>
      </c>
      <c r="P8" s="3">
        <v>4730</v>
      </c>
      <c r="Q8" s="3">
        <v>4912</v>
      </c>
      <c r="R8" s="3">
        <v>4941</v>
      </c>
      <c r="S8" s="3">
        <v>5273</v>
      </c>
      <c r="T8" s="3">
        <v>5545</v>
      </c>
      <c r="U8" s="3">
        <v>5644</v>
      </c>
      <c r="V8" s="3">
        <v>5766</v>
      </c>
      <c r="W8" s="3">
        <v>5855</v>
      </c>
      <c r="X8" s="3">
        <v>5733</v>
      </c>
      <c r="Y8" s="3">
        <v>6205</v>
      </c>
      <c r="Z8" s="3">
        <v>6002</v>
      </c>
      <c r="AA8" s="3">
        <v>6154</v>
      </c>
      <c r="AB8" s="3">
        <v>6617</v>
      </c>
      <c r="AC8" s="3">
        <v>7476</v>
      </c>
      <c r="AD8" s="3">
        <v>7543</v>
      </c>
      <c r="AE8" s="3">
        <v>7924</v>
      </c>
      <c r="AF8" s="3">
        <v>8204</v>
      </c>
      <c r="AG8" s="3">
        <v>8534</v>
      </c>
      <c r="AH8" s="3">
        <v>8795</v>
      </c>
      <c r="AI8" s="3">
        <v>9027</v>
      </c>
      <c r="AJ8" s="3">
        <v>9238</v>
      </c>
      <c r="AK8" s="3">
        <v>9444</v>
      </c>
    </row>
    <row r="9" spans="1:37" x14ac:dyDescent="0.3">
      <c r="A9" s="7" t="s">
        <v>128</v>
      </c>
      <c r="B9" s="3">
        <v>74</v>
      </c>
      <c r="C9" s="3">
        <v>22</v>
      </c>
      <c r="D9" s="3">
        <v>18</v>
      </c>
      <c r="E9" s="3">
        <v>19</v>
      </c>
      <c r="F9" s="3">
        <v>23</v>
      </c>
      <c r="G9" s="3">
        <v>22</v>
      </c>
      <c r="H9" s="3">
        <v>20</v>
      </c>
      <c r="I9" s="3">
        <v>20</v>
      </c>
      <c r="J9" s="3">
        <v>22</v>
      </c>
      <c r="K9" s="3">
        <v>22</v>
      </c>
      <c r="L9" s="3">
        <v>20</v>
      </c>
      <c r="M9" s="3">
        <v>23</v>
      </c>
      <c r="N9" s="3">
        <v>24</v>
      </c>
      <c r="O9" s="3">
        <v>23</v>
      </c>
      <c r="P9" s="3">
        <v>23</v>
      </c>
      <c r="Q9" s="3">
        <v>24</v>
      </c>
      <c r="R9" s="3">
        <v>26</v>
      </c>
      <c r="S9" s="3">
        <v>27</v>
      </c>
      <c r="T9" s="3">
        <v>28</v>
      </c>
      <c r="U9" s="3">
        <v>28</v>
      </c>
      <c r="V9" s="3">
        <v>20</v>
      </c>
      <c r="W9" s="3">
        <v>21</v>
      </c>
      <c r="X9" s="3">
        <v>15</v>
      </c>
      <c r="Y9" s="3">
        <v>20</v>
      </c>
      <c r="Z9" s="3">
        <v>20</v>
      </c>
      <c r="AA9" s="3">
        <v>19</v>
      </c>
      <c r="AB9" s="3">
        <v>19</v>
      </c>
      <c r="AC9" s="3">
        <v>21</v>
      </c>
      <c r="AD9" s="3">
        <v>21</v>
      </c>
      <c r="AE9" s="3">
        <v>20</v>
      </c>
      <c r="AF9" s="3">
        <v>21</v>
      </c>
      <c r="AG9" s="3">
        <v>21</v>
      </c>
      <c r="AH9" s="3">
        <v>22</v>
      </c>
      <c r="AI9" s="3">
        <v>22</v>
      </c>
      <c r="AJ9" s="3">
        <v>23</v>
      </c>
      <c r="AK9" s="3">
        <v>23</v>
      </c>
    </row>
    <row r="10" spans="1:37" x14ac:dyDescent="0.3">
      <c r="A10" s="14" t="s">
        <v>129</v>
      </c>
      <c r="B10" s="3">
        <v>2627</v>
      </c>
      <c r="C10" s="3">
        <v>2652</v>
      </c>
      <c r="D10" s="3">
        <v>2768</v>
      </c>
      <c r="E10" s="3">
        <v>2940</v>
      </c>
      <c r="F10" s="3">
        <v>2994</v>
      </c>
      <c r="G10" s="3">
        <v>3180</v>
      </c>
      <c r="H10" s="3">
        <v>3192</v>
      </c>
      <c r="I10" s="3">
        <v>3331</v>
      </c>
      <c r="J10" s="3">
        <v>3192</v>
      </c>
      <c r="K10" s="3">
        <v>3327</v>
      </c>
      <c r="L10" s="3">
        <v>3575</v>
      </c>
      <c r="M10" s="3">
        <v>3684</v>
      </c>
      <c r="N10" s="3">
        <v>4018</v>
      </c>
      <c r="O10" s="3">
        <v>3976</v>
      </c>
      <c r="P10" s="3">
        <v>4025</v>
      </c>
      <c r="Q10" s="3">
        <v>4230</v>
      </c>
      <c r="R10" s="3">
        <v>4459</v>
      </c>
      <c r="S10" s="3">
        <v>4269</v>
      </c>
      <c r="T10" s="3">
        <v>4401</v>
      </c>
      <c r="U10" s="3">
        <v>4324</v>
      </c>
      <c r="V10" s="3">
        <v>4827</v>
      </c>
      <c r="W10" s="3">
        <v>5085</v>
      </c>
      <c r="X10" s="3">
        <v>5191</v>
      </c>
      <c r="Y10" s="3">
        <v>5123</v>
      </c>
      <c r="Z10" s="3">
        <v>4880</v>
      </c>
      <c r="AA10" s="3">
        <v>5450</v>
      </c>
      <c r="AB10" s="3">
        <v>5878</v>
      </c>
      <c r="AC10" s="3">
        <v>6484</v>
      </c>
      <c r="AD10" s="3">
        <v>6669</v>
      </c>
      <c r="AE10" s="3">
        <v>6586</v>
      </c>
      <c r="AF10" s="3">
        <v>6896</v>
      </c>
      <c r="AG10" s="3">
        <v>7099</v>
      </c>
      <c r="AH10" s="3">
        <v>7269</v>
      </c>
      <c r="AI10" s="3">
        <v>7417</v>
      </c>
      <c r="AJ10" s="3">
        <v>7560</v>
      </c>
      <c r="AK10" s="3">
        <v>7704</v>
      </c>
    </row>
    <row r="11" spans="1:37" x14ac:dyDescent="0.3">
      <c r="A11" s="7" t="s">
        <v>130</v>
      </c>
      <c r="B11" s="3">
        <v>1117</v>
      </c>
      <c r="C11" s="3">
        <v>1130</v>
      </c>
      <c r="D11" s="3">
        <v>1172</v>
      </c>
      <c r="E11" s="3">
        <v>1208</v>
      </c>
      <c r="F11" s="3">
        <v>1215</v>
      </c>
      <c r="G11" s="3">
        <v>1277</v>
      </c>
      <c r="H11" s="3">
        <v>1167</v>
      </c>
      <c r="I11" s="3">
        <v>1135</v>
      </c>
      <c r="J11" s="3">
        <v>902</v>
      </c>
      <c r="K11" s="3">
        <v>910</v>
      </c>
      <c r="L11" s="3">
        <v>1146</v>
      </c>
      <c r="M11" s="3">
        <v>1129</v>
      </c>
      <c r="N11" s="3">
        <v>1247</v>
      </c>
      <c r="O11" s="3">
        <v>1058</v>
      </c>
      <c r="P11" s="3">
        <v>986</v>
      </c>
      <c r="Q11" s="3">
        <v>1003</v>
      </c>
      <c r="R11" s="3">
        <v>984</v>
      </c>
      <c r="S11" s="3">
        <v>926</v>
      </c>
      <c r="T11" s="3">
        <v>879</v>
      </c>
      <c r="U11" s="3">
        <v>842</v>
      </c>
      <c r="V11" s="3">
        <v>920</v>
      </c>
      <c r="W11" s="3">
        <v>1016</v>
      </c>
      <c r="X11" s="3">
        <v>978</v>
      </c>
      <c r="Y11" s="3">
        <v>862</v>
      </c>
      <c r="Z11" s="3">
        <v>937</v>
      </c>
      <c r="AA11" s="3">
        <v>906</v>
      </c>
      <c r="AB11" s="3">
        <v>987</v>
      </c>
      <c r="AC11" s="3">
        <v>1268</v>
      </c>
      <c r="AD11" s="3">
        <v>1209</v>
      </c>
      <c r="AE11" s="3">
        <v>1095</v>
      </c>
      <c r="AF11" s="3">
        <v>1128</v>
      </c>
      <c r="AG11" s="3">
        <v>1166</v>
      </c>
      <c r="AH11" s="3">
        <v>1202</v>
      </c>
      <c r="AI11" s="3">
        <v>1238</v>
      </c>
      <c r="AJ11" s="3">
        <v>1273</v>
      </c>
      <c r="AK11" s="3">
        <v>1308</v>
      </c>
    </row>
    <row r="12" spans="1:37" x14ac:dyDescent="0.3">
      <c r="A12" s="7" t="s">
        <v>131</v>
      </c>
      <c r="B12" s="3">
        <v>128</v>
      </c>
      <c r="C12" s="3">
        <v>108</v>
      </c>
      <c r="D12" s="3">
        <v>112</v>
      </c>
      <c r="E12" s="3">
        <v>122</v>
      </c>
      <c r="F12" s="3">
        <v>118</v>
      </c>
      <c r="G12" s="3">
        <v>203</v>
      </c>
      <c r="H12" s="3">
        <v>168</v>
      </c>
      <c r="I12" s="3">
        <v>160</v>
      </c>
      <c r="J12" s="3">
        <v>177</v>
      </c>
      <c r="K12" s="3">
        <v>180</v>
      </c>
      <c r="L12" s="3">
        <v>228</v>
      </c>
      <c r="M12" s="3">
        <v>254</v>
      </c>
      <c r="N12" s="3">
        <v>382</v>
      </c>
      <c r="O12" s="3">
        <v>347</v>
      </c>
      <c r="P12" s="3">
        <v>357</v>
      </c>
      <c r="Q12" s="3">
        <v>348</v>
      </c>
      <c r="R12" s="3">
        <v>504</v>
      </c>
      <c r="S12" s="3">
        <v>271</v>
      </c>
      <c r="T12" s="3">
        <v>399</v>
      </c>
      <c r="U12" s="3">
        <v>304</v>
      </c>
      <c r="V12" s="3">
        <v>297</v>
      </c>
      <c r="W12" s="3">
        <v>320</v>
      </c>
      <c r="X12" s="3">
        <v>322</v>
      </c>
      <c r="Y12" s="3">
        <v>326</v>
      </c>
      <c r="Z12" s="3">
        <v>409</v>
      </c>
      <c r="AA12" s="3">
        <v>454</v>
      </c>
      <c r="AB12" s="3">
        <v>473</v>
      </c>
      <c r="AC12" s="3">
        <v>533</v>
      </c>
      <c r="AD12" s="3">
        <v>593</v>
      </c>
      <c r="AE12" s="3">
        <v>710</v>
      </c>
      <c r="AF12" s="3">
        <v>734</v>
      </c>
      <c r="AG12" s="3">
        <v>756</v>
      </c>
      <c r="AH12" s="3">
        <v>773</v>
      </c>
      <c r="AI12" s="3">
        <v>787</v>
      </c>
      <c r="AJ12" s="3">
        <v>801</v>
      </c>
      <c r="AK12" s="3">
        <v>814</v>
      </c>
    </row>
    <row r="13" spans="1:37" x14ac:dyDescent="0.3">
      <c r="A13" s="7" t="s">
        <v>132</v>
      </c>
      <c r="B13" s="3">
        <v>68</v>
      </c>
      <c r="C13" s="3">
        <v>66</v>
      </c>
      <c r="D13" s="3">
        <v>24</v>
      </c>
      <c r="E13" s="3">
        <v>45</v>
      </c>
      <c r="F13" s="3">
        <v>46</v>
      </c>
      <c r="G13" s="3">
        <v>31</v>
      </c>
      <c r="H13" s="3">
        <v>53</v>
      </c>
      <c r="I13" s="3">
        <v>149</v>
      </c>
      <c r="J13" s="3">
        <v>66</v>
      </c>
      <c r="K13" s="3">
        <v>56</v>
      </c>
      <c r="L13" s="3">
        <v>49</v>
      </c>
      <c r="M13" s="3">
        <v>32</v>
      </c>
      <c r="N13" s="3">
        <v>40</v>
      </c>
      <c r="O13" s="3">
        <v>37</v>
      </c>
      <c r="P13" s="3">
        <v>29</v>
      </c>
      <c r="Q13" s="3">
        <v>47</v>
      </c>
      <c r="R13" s="3">
        <v>34</v>
      </c>
      <c r="S13" s="3">
        <v>34</v>
      </c>
      <c r="T13" s="3">
        <v>33</v>
      </c>
      <c r="U13" s="3">
        <v>39</v>
      </c>
      <c r="V13" s="3">
        <v>15</v>
      </c>
      <c r="W13" s="3">
        <v>20</v>
      </c>
      <c r="X13" s="3">
        <v>14</v>
      </c>
      <c r="Y13" s="3">
        <v>27</v>
      </c>
      <c r="Z13" s="3">
        <v>21</v>
      </c>
      <c r="AA13" s="3">
        <v>191</v>
      </c>
      <c r="AB13" s="3">
        <v>26</v>
      </c>
      <c r="AC13" s="3">
        <v>59</v>
      </c>
      <c r="AD13" s="3">
        <v>25</v>
      </c>
      <c r="AE13" s="3">
        <v>20</v>
      </c>
      <c r="AF13" s="3">
        <v>20</v>
      </c>
      <c r="AG13" s="3">
        <v>20</v>
      </c>
      <c r="AH13" s="3">
        <v>20</v>
      </c>
      <c r="AI13" s="3">
        <v>20</v>
      </c>
      <c r="AJ13" s="3">
        <v>20</v>
      </c>
      <c r="AK13" s="3">
        <v>20</v>
      </c>
    </row>
    <row r="14" spans="1:37" x14ac:dyDescent="0.3">
      <c r="A14" s="7" t="s">
        <v>133</v>
      </c>
      <c r="B14" s="3">
        <v>1315</v>
      </c>
      <c r="C14" s="3">
        <v>1347</v>
      </c>
      <c r="D14" s="3">
        <v>1460</v>
      </c>
      <c r="E14" s="3">
        <v>1565</v>
      </c>
      <c r="F14" s="3">
        <v>1616</v>
      </c>
      <c r="G14" s="3">
        <v>1668</v>
      </c>
      <c r="H14" s="3">
        <v>1805</v>
      </c>
      <c r="I14" s="3">
        <v>1887</v>
      </c>
      <c r="J14" s="3">
        <v>2047</v>
      </c>
      <c r="K14" s="3">
        <v>2181</v>
      </c>
      <c r="L14" s="3">
        <v>2153</v>
      </c>
      <c r="M14" s="3">
        <v>2268</v>
      </c>
      <c r="N14" s="3">
        <v>2349</v>
      </c>
      <c r="O14" s="3">
        <v>2534</v>
      </c>
      <c r="P14" s="3">
        <v>2653</v>
      </c>
      <c r="Q14" s="3">
        <v>2832</v>
      </c>
      <c r="R14" s="3">
        <v>2937</v>
      </c>
      <c r="S14" s="3">
        <v>3038</v>
      </c>
      <c r="T14" s="3">
        <v>3090</v>
      </c>
      <c r="U14" s="3">
        <v>3139</v>
      </c>
      <c r="V14" s="3">
        <v>3596</v>
      </c>
      <c r="W14" s="3">
        <v>3729</v>
      </c>
      <c r="X14" s="3">
        <v>3877</v>
      </c>
      <c r="Y14" s="3">
        <v>3908</v>
      </c>
      <c r="Z14" s="3">
        <v>3513</v>
      </c>
      <c r="AA14" s="3">
        <v>3900</v>
      </c>
      <c r="AB14" s="3">
        <v>4392</v>
      </c>
      <c r="AC14" s="3">
        <v>4625</v>
      </c>
      <c r="AD14" s="3">
        <v>4842</v>
      </c>
      <c r="AE14" s="3">
        <v>4761</v>
      </c>
      <c r="AF14" s="3">
        <v>5013</v>
      </c>
      <c r="AG14" s="3">
        <v>5157</v>
      </c>
      <c r="AH14" s="3">
        <v>5274</v>
      </c>
      <c r="AI14" s="3">
        <v>5372</v>
      </c>
      <c r="AJ14" s="3">
        <v>5466</v>
      </c>
      <c r="AK14" s="3">
        <v>5561</v>
      </c>
    </row>
    <row r="15" spans="1:37" x14ac:dyDescent="0.3">
      <c r="A15" s="14" t="s">
        <v>166</v>
      </c>
      <c r="B15" s="3">
        <v>158</v>
      </c>
      <c r="C15" s="3">
        <v>167</v>
      </c>
      <c r="D15" s="3">
        <v>185</v>
      </c>
      <c r="E15" s="3">
        <v>243</v>
      </c>
      <c r="F15" s="3">
        <v>271</v>
      </c>
      <c r="G15" s="3">
        <v>287</v>
      </c>
      <c r="H15" s="3">
        <v>305</v>
      </c>
      <c r="I15" s="3">
        <v>321</v>
      </c>
      <c r="J15" s="3">
        <v>334</v>
      </c>
      <c r="K15" s="3">
        <v>391</v>
      </c>
      <c r="L15" s="3">
        <v>409</v>
      </c>
      <c r="M15" s="3">
        <v>440</v>
      </c>
      <c r="N15" s="3">
        <v>460</v>
      </c>
      <c r="O15" s="3">
        <v>489</v>
      </c>
      <c r="P15" s="3">
        <v>524</v>
      </c>
      <c r="Q15" s="3">
        <v>586</v>
      </c>
      <c r="R15" s="3">
        <v>624</v>
      </c>
      <c r="S15" s="3">
        <v>634</v>
      </c>
      <c r="T15" s="3">
        <v>628</v>
      </c>
      <c r="U15" s="3">
        <v>545</v>
      </c>
      <c r="V15" s="3">
        <v>524</v>
      </c>
      <c r="W15" s="3">
        <v>540</v>
      </c>
      <c r="X15" s="3">
        <v>531</v>
      </c>
      <c r="Y15" s="3">
        <v>544</v>
      </c>
      <c r="Z15" s="3">
        <v>558</v>
      </c>
      <c r="AA15" s="3">
        <v>557</v>
      </c>
      <c r="AB15" s="3">
        <v>353</v>
      </c>
      <c r="AC15" s="3">
        <v>355</v>
      </c>
      <c r="AD15" s="3">
        <v>373</v>
      </c>
      <c r="AE15" s="3">
        <v>334</v>
      </c>
      <c r="AF15" s="3">
        <v>335</v>
      </c>
      <c r="AG15" s="3">
        <v>346</v>
      </c>
      <c r="AH15" s="3">
        <v>355</v>
      </c>
      <c r="AI15" s="3">
        <v>361</v>
      </c>
      <c r="AJ15" s="3">
        <v>368</v>
      </c>
      <c r="AK15" s="3">
        <v>375</v>
      </c>
    </row>
    <row r="16" spans="1:37" x14ac:dyDescent="0.3">
      <c r="A16" s="14" t="s">
        <v>167</v>
      </c>
      <c r="B16" s="3">
        <v>856</v>
      </c>
      <c r="C16" s="3">
        <v>886</v>
      </c>
      <c r="D16" s="3">
        <v>920</v>
      </c>
      <c r="E16" s="3">
        <v>904</v>
      </c>
      <c r="F16" s="3">
        <v>907</v>
      </c>
      <c r="G16" s="3">
        <v>951</v>
      </c>
      <c r="H16" s="3">
        <v>1012</v>
      </c>
      <c r="I16" s="3">
        <v>1048</v>
      </c>
      <c r="J16" s="3">
        <v>1101</v>
      </c>
      <c r="K16" s="3">
        <v>1048</v>
      </c>
      <c r="L16" s="3">
        <v>1270</v>
      </c>
      <c r="M16" s="3">
        <v>1367</v>
      </c>
      <c r="N16" s="3">
        <v>1400</v>
      </c>
      <c r="O16" s="3">
        <v>1444</v>
      </c>
      <c r="P16" s="3">
        <v>1480</v>
      </c>
      <c r="Q16" s="3">
        <v>1557</v>
      </c>
      <c r="R16" s="3">
        <v>1619</v>
      </c>
      <c r="S16" s="3">
        <v>1617</v>
      </c>
      <c r="T16" s="3">
        <v>1510</v>
      </c>
      <c r="U16" s="3">
        <v>1475</v>
      </c>
      <c r="V16" s="3">
        <v>1493</v>
      </c>
      <c r="W16" s="3">
        <v>1548</v>
      </c>
      <c r="X16" s="3">
        <v>1552</v>
      </c>
      <c r="Y16" s="3">
        <v>1579</v>
      </c>
      <c r="Z16" s="3">
        <v>1658</v>
      </c>
      <c r="AA16" s="3">
        <v>1690</v>
      </c>
      <c r="AB16" s="3">
        <v>1828</v>
      </c>
      <c r="AC16" s="3">
        <v>1930</v>
      </c>
      <c r="AD16" s="3">
        <v>2006</v>
      </c>
      <c r="AE16" s="3">
        <v>2081</v>
      </c>
      <c r="AF16" s="3">
        <v>2159</v>
      </c>
      <c r="AG16" s="3">
        <v>2253</v>
      </c>
      <c r="AH16" s="3">
        <v>2321</v>
      </c>
      <c r="AI16" s="3">
        <v>2378</v>
      </c>
      <c r="AJ16" s="3">
        <v>2445</v>
      </c>
      <c r="AK16" s="3">
        <v>2512</v>
      </c>
    </row>
    <row r="17" spans="1:37" x14ac:dyDescent="0.3">
      <c r="A17" s="14" t="s">
        <v>168</v>
      </c>
      <c r="B17" s="3">
        <v>6374</v>
      </c>
      <c r="C17" s="3">
        <v>6290</v>
      </c>
      <c r="D17" s="3">
        <v>6444</v>
      </c>
      <c r="E17" s="3">
        <v>6828</v>
      </c>
      <c r="F17" s="3">
        <v>7410</v>
      </c>
      <c r="G17" s="3">
        <v>7421</v>
      </c>
      <c r="H17" s="3">
        <v>7979</v>
      </c>
      <c r="I17" s="3">
        <v>8891</v>
      </c>
      <c r="J17" s="3">
        <v>9387</v>
      </c>
      <c r="K17" s="3">
        <v>9955</v>
      </c>
      <c r="L17" s="3">
        <v>10309</v>
      </c>
      <c r="M17" s="3">
        <v>10662</v>
      </c>
      <c r="N17" s="3">
        <v>12305</v>
      </c>
      <c r="O17" s="3">
        <v>11624</v>
      </c>
      <c r="P17" s="3">
        <v>11966</v>
      </c>
      <c r="Q17" s="3">
        <v>12434</v>
      </c>
      <c r="R17" s="3">
        <v>12855</v>
      </c>
      <c r="S17" s="3">
        <v>13609</v>
      </c>
      <c r="T17" s="3">
        <v>13760</v>
      </c>
      <c r="U17" s="3">
        <v>14061</v>
      </c>
      <c r="V17" s="3">
        <v>14341</v>
      </c>
      <c r="W17" s="3">
        <v>14987</v>
      </c>
      <c r="X17" s="3">
        <v>15470</v>
      </c>
      <c r="Y17" s="3">
        <v>15716</v>
      </c>
      <c r="Z17" s="3">
        <v>16997</v>
      </c>
      <c r="AA17" s="3">
        <v>17771</v>
      </c>
      <c r="AB17" s="3">
        <v>19316</v>
      </c>
      <c r="AC17" s="3">
        <v>21300</v>
      </c>
      <c r="AD17" s="3">
        <v>22052</v>
      </c>
      <c r="AE17" s="3">
        <v>22661</v>
      </c>
      <c r="AF17" s="3">
        <v>23065</v>
      </c>
      <c r="AG17" s="3">
        <v>23733</v>
      </c>
      <c r="AH17" s="3">
        <v>24346</v>
      </c>
      <c r="AI17" s="3">
        <v>24810</v>
      </c>
      <c r="AJ17" s="3">
        <v>25421</v>
      </c>
      <c r="AK17" s="3">
        <v>26037</v>
      </c>
    </row>
    <row r="18" spans="1:37" x14ac:dyDescent="0.3">
      <c r="A18" s="7" t="s">
        <v>136</v>
      </c>
      <c r="B18" s="3">
        <v>74</v>
      </c>
      <c r="C18" s="3">
        <v>74</v>
      </c>
      <c r="D18" s="3">
        <v>83</v>
      </c>
      <c r="E18" s="3">
        <v>94</v>
      </c>
      <c r="F18" s="3">
        <v>94</v>
      </c>
      <c r="G18" s="3">
        <v>78</v>
      </c>
      <c r="H18" s="3">
        <v>95</v>
      </c>
      <c r="I18" s="3">
        <v>145</v>
      </c>
      <c r="J18" s="3">
        <v>142</v>
      </c>
      <c r="K18" s="3">
        <v>149</v>
      </c>
      <c r="L18" s="3">
        <v>146</v>
      </c>
      <c r="M18" s="3">
        <v>126</v>
      </c>
      <c r="N18" s="3">
        <v>111</v>
      </c>
      <c r="O18" s="3">
        <v>139</v>
      </c>
      <c r="P18" s="3">
        <v>149</v>
      </c>
      <c r="Q18" s="3">
        <v>152</v>
      </c>
      <c r="R18" s="3">
        <v>151</v>
      </c>
      <c r="S18" s="3">
        <v>164</v>
      </c>
      <c r="T18" s="3">
        <v>166</v>
      </c>
      <c r="U18" s="3">
        <v>206</v>
      </c>
      <c r="V18" s="3">
        <v>202</v>
      </c>
      <c r="W18" s="3">
        <v>152</v>
      </c>
      <c r="X18" s="3">
        <v>155</v>
      </c>
      <c r="Y18" s="3">
        <v>157</v>
      </c>
      <c r="Z18" s="3">
        <v>159</v>
      </c>
      <c r="AA18" s="3">
        <v>159</v>
      </c>
      <c r="AB18" s="3">
        <v>179</v>
      </c>
      <c r="AC18" s="3">
        <v>189</v>
      </c>
      <c r="AD18" s="3">
        <v>199</v>
      </c>
      <c r="AE18" s="3">
        <v>203</v>
      </c>
      <c r="AF18" s="3">
        <v>210</v>
      </c>
      <c r="AG18" s="3">
        <v>216</v>
      </c>
      <c r="AH18" s="3">
        <v>221</v>
      </c>
      <c r="AI18" s="3">
        <v>225</v>
      </c>
      <c r="AJ18" s="3">
        <v>229</v>
      </c>
      <c r="AK18" s="3">
        <v>233</v>
      </c>
    </row>
    <row r="19" spans="1:37" x14ac:dyDescent="0.3">
      <c r="A19" s="7" t="s">
        <v>137</v>
      </c>
      <c r="B19" s="3">
        <v>6300</v>
      </c>
      <c r="C19" s="3">
        <v>6216</v>
      </c>
      <c r="D19" s="3">
        <v>6361</v>
      </c>
      <c r="E19" s="3">
        <v>6734</v>
      </c>
      <c r="F19" s="3">
        <v>7316</v>
      </c>
      <c r="G19" s="3">
        <v>7344</v>
      </c>
      <c r="H19" s="3">
        <v>7884</v>
      </c>
      <c r="I19" s="3">
        <v>8746</v>
      </c>
      <c r="J19" s="3">
        <v>9245</v>
      </c>
      <c r="K19" s="3">
        <v>9806</v>
      </c>
      <c r="L19" s="3">
        <v>10163</v>
      </c>
      <c r="M19" s="3">
        <v>10536</v>
      </c>
      <c r="N19" s="3">
        <v>12194</v>
      </c>
      <c r="O19" s="3">
        <v>11485</v>
      </c>
      <c r="P19" s="3">
        <v>11817</v>
      </c>
      <c r="Q19" s="3">
        <v>12282</v>
      </c>
      <c r="R19" s="3">
        <v>12704</v>
      </c>
      <c r="S19" s="3">
        <v>13445</v>
      </c>
      <c r="T19" s="3">
        <v>13593</v>
      </c>
      <c r="U19" s="3">
        <v>13855</v>
      </c>
      <c r="V19" s="3">
        <v>14140</v>
      </c>
      <c r="W19" s="3">
        <v>14835</v>
      </c>
      <c r="X19" s="3">
        <v>15316</v>
      </c>
      <c r="Y19" s="3">
        <v>15560</v>
      </c>
      <c r="Z19" s="3">
        <v>16838</v>
      </c>
      <c r="AA19" s="3">
        <v>17612</v>
      </c>
      <c r="AB19" s="3">
        <v>19138</v>
      </c>
      <c r="AC19" s="3">
        <v>21110</v>
      </c>
      <c r="AD19" s="3">
        <v>21853</v>
      </c>
      <c r="AE19" s="3">
        <v>22458</v>
      </c>
      <c r="AF19" s="3">
        <v>22855</v>
      </c>
      <c r="AG19" s="3">
        <v>23517</v>
      </c>
      <c r="AH19" s="3">
        <v>24126</v>
      </c>
      <c r="AI19" s="3">
        <v>24585</v>
      </c>
      <c r="AJ19" s="3">
        <v>25192</v>
      </c>
      <c r="AK19" s="3">
        <v>25804</v>
      </c>
    </row>
    <row r="20" spans="1:37" x14ac:dyDescent="0.3">
      <c r="A20" s="9" t="s">
        <v>169</v>
      </c>
      <c r="B20" s="3">
        <v>1003</v>
      </c>
      <c r="C20" s="3">
        <v>969</v>
      </c>
      <c r="D20" s="3">
        <v>997</v>
      </c>
      <c r="E20" s="3">
        <v>1123</v>
      </c>
      <c r="F20" s="3">
        <v>1592</v>
      </c>
      <c r="G20" s="3">
        <v>1392</v>
      </c>
      <c r="H20" s="3">
        <v>1873</v>
      </c>
      <c r="I20" s="3">
        <v>2188</v>
      </c>
      <c r="J20" s="3">
        <v>2302</v>
      </c>
      <c r="K20" s="3">
        <v>2438</v>
      </c>
      <c r="L20" s="3">
        <v>2583</v>
      </c>
      <c r="M20" s="3">
        <v>2679</v>
      </c>
      <c r="N20" s="3">
        <v>2961</v>
      </c>
      <c r="O20" s="3">
        <v>3026</v>
      </c>
      <c r="P20" s="3">
        <v>3142</v>
      </c>
      <c r="Q20" s="3">
        <v>3303</v>
      </c>
      <c r="R20" s="3">
        <v>3373</v>
      </c>
      <c r="S20" s="3">
        <v>3684</v>
      </c>
      <c r="T20" s="3">
        <v>3611</v>
      </c>
      <c r="U20" s="3">
        <v>3494</v>
      </c>
      <c r="V20" s="3">
        <v>2489</v>
      </c>
      <c r="W20" s="3">
        <v>2679</v>
      </c>
      <c r="X20" s="3">
        <v>2820</v>
      </c>
      <c r="Y20" s="3">
        <v>2868</v>
      </c>
      <c r="Z20" s="3">
        <v>3257</v>
      </c>
      <c r="AA20" s="3">
        <v>3216</v>
      </c>
      <c r="AB20" s="3">
        <v>3544</v>
      </c>
      <c r="AC20" s="3">
        <v>4048</v>
      </c>
      <c r="AD20" s="3">
        <v>4169</v>
      </c>
      <c r="AE20" s="3">
        <v>4406</v>
      </c>
      <c r="AF20" s="3">
        <v>4912</v>
      </c>
      <c r="AG20" s="3">
        <v>5288</v>
      </c>
      <c r="AH20" s="3">
        <v>5401</v>
      </c>
      <c r="AI20" s="3">
        <v>5433</v>
      </c>
      <c r="AJ20" s="3">
        <v>5566</v>
      </c>
      <c r="AK20" s="3">
        <v>5719</v>
      </c>
    </row>
    <row r="21" spans="1:37" x14ac:dyDescent="0.3">
      <c r="A21" s="9" t="s">
        <v>170</v>
      </c>
      <c r="B21" s="3">
        <v>5286</v>
      </c>
      <c r="C21" s="3">
        <v>5233</v>
      </c>
      <c r="D21" s="3">
        <v>5352</v>
      </c>
      <c r="E21" s="3">
        <v>5578</v>
      </c>
      <c r="F21" s="3">
        <v>5687</v>
      </c>
      <c r="G21" s="3">
        <v>5919</v>
      </c>
      <c r="H21" s="3">
        <v>5983</v>
      </c>
      <c r="I21" s="3">
        <v>6529</v>
      </c>
      <c r="J21" s="3">
        <v>6918</v>
      </c>
      <c r="K21" s="3">
        <v>7343</v>
      </c>
      <c r="L21" s="3">
        <v>7553</v>
      </c>
      <c r="M21" s="3">
        <v>7830</v>
      </c>
      <c r="N21" s="3">
        <v>9204</v>
      </c>
      <c r="O21" s="3">
        <v>8430</v>
      </c>
      <c r="P21" s="3">
        <v>8649</v>
      </c>
      <c r="Q21" s="3">
        <v>8954</v>
      </c>
      <c r="R21" s="3">
        <v>9307</v>
      </c>
      <c r="S21" s="3">
        <v>9737</v>
      </c>
      <c r="T21" s="3">
        <v>9959</v>
      </c>
      <c r="U21" s="3">
        <v>10361</v>
      </c>
      <c r="V21" s="3">
        <v>10389</v>
      </c>
      <c r="W21" s="3">
        <v>10850</v>
      </c>
      <c r="X21" s="3">
        <v>11173</v>
      </c>
      <c r="Y21" s="3">
        <v>11337</v>
      </c>
      <c r="Z21" s="3">
        <v>12205</v>
      </c>
      <c r="AA21" s="3">
        <v>12996</v>
      </c>
      <c r="AB21" s="3">
        <v>14066</v>
      </c>
      <c r="AC21" s="3">
        <v>15404</v>
      </c>
      <c r="AD21" s="3">
        <v>15949</v>
      </c>
      <c r="AE21" s="3">
        <v>16248</v>
      </c>
      <c r="AF21" s="3">
        <v>16068</v>
      </c>
      <c r="AG21" s="3">
        <v>16269</v>
      </c>
      <c r="AH21" s="3">
        <v>16704</v>
      </c>
      <c r="AI21" s="3">
        <v>17080</v>
      </c>
      <c r="AJ21" s="3">
        <v>17493</v>
      </c>
      <c r="AK21" s="3">
        <v>17890</v>
      </c>
    </row>
    <row r="22" spans="1:37" x14ac:dyDescent="0.3">
      <c r="A22" s="9" t="s">
        <v>171</v>
      </c>
      <c r="B22" s="3">
        <v>10</v>
      </c>
      <c r="C22" s="3">
        <v>14</v>
      </c>
      <c r="D22" s="3">
        <v>12</v>
      </c>
      <c r="E22" s="3">
        <v>32</v>
      </c>
      <c r="F22" s="3">
        <v>36</v>
      </c>
      <c r="G22" s="3">
        <v>33</v>
      </c>
      <c r="H22" s="3">
        <v>27</v>
      </c>
      <c r="I22" s="3">
        <v>29</v>
      </c>
      <c r="J22" s="3">
        <v>25</v>
      </c>
      <c r="K22" s="3">
        <v>25</v>
      </c>
      <c r="L22" s="3">
        <v>26</v>
      </c>
      <c r="M22" s="3">
        <v>28</v>
      </c>
      <c r="N22" s="3">
        <v>28</v>
      </c>
      <c r="O22" s="3">
        <v>28</v>
      </c>
      <c r="P22" s="3">
        <v>26</v>
      </c>
      <c r="Q22" s="3">
        <v>24</v>
      </c>
      <c r="R22" s="3">
        <v>24</v>
      </c>
      <c r="S22" s="3">
        <v>24</v>
      </c>
      <c r="T22" s="3">
        <v>23</v>
      </c>
      <c r="U22" s="3">
        <v>0</v>
      </c>
      <c r="V22" s="3">
        <v>1262</v>
      </c>
      <c r="W22" s="3">
        <v>1306</v>
      </c>
      <c r="X22" s="3">
        <v>1322</v>
      </c>
      <c r="Y22" s="3">
        <v>1355</v>
      </c>
      <c r="Z22" s="3">
        <v>1376</v>
      </c>
      <c r="AA22" s="3">
        <v>1400</v>
      </c>
      <c r="AB22" s="3">
        <v>1527</v>
      </c>
      <c r="AC22" s="3">
        <v>1658</v>
      </c>
      <c r="AD22" s="3">
        <v>1736</v>
      </c>
      <c r="AE22" s="3">
        <v>1804</v>
      </c>
      <c r="AF22" s="3">
        <v>1875</v>
      </c>
      <c r="AG22" s="3">
        <v>1960</v>
      </c>
      <c r="AH22" s="3">
        <v>2020</v>
      </c>
      <c r="AI22" s="3">
        <v>2072</v>
      </c>
      <c r="AJ22" s="3">
        <v>2134</v>
      </c>
      <c r="AK22" s="3">
        <v>2195</v>
      </c>
    </row>
    <row r="23" spans="1:37" x14ac:dyDescent="0.3">
      <c r="A23" s="14" t="s">
        <v>140</v>
      </c>
      <c r="B23" s="3">
        <v>494</v>
      </c>
      <c r="C23" s="3">
        <v>502</v>
      </c>
      <c r="D23" s="3">
        <v>481</v>
      </c>
      <c r="E23" s="3">
        <v>578</v>
      </c>
      <c r="F23" s="3">
        <v>911</v>
      </c>
      <c r="G23" s="3">
        <v>632</v>
      </c>
      <c r="H23" s="3">
        <v>525</v>
      </c>
      <c r="I23" s="3">
        <v>551</v>
      </c>
      <c r="J23" s="3">
        <v>755</v>
      </c>
      <c r="K23" s="3">
        <v>757</v>
      </c>
      <c r="L23" s="3">
        <v>655</v>
      </c>
      <c r="M23" s="3">
        <v>603</v>
      </c>
      <c r="N23" s="3">
        <v>1418</v>
      </c>
      <c r="O23" s="3">
        <v>576</v>
      </c>
      <c r="P23" s="3">
        <v>619</v>
      </c>
      <c r="Q23" s="3">
        <v>781</v>
      </c>
      <c r="R23" s="3">
        <v>851</v>
      </c>
      <c r="S23" s="3">
        <v>850</v>
      </c>
      <c r="T23" s="3">
        <v>938</v>
      </c>
      <c r="U23" s="3">
        <v>936</v>
      </c>
      <c r="V23" s="3">
        <v>769</v>
      </c>
      <c r="W23" s="3">
        <v>782</v>
      </c>
      <c r="X23" s="3">
        <v>816</v>
      </c>
      <c r="Y23" s="3">
        <v>706</v>
      </c>
      <c r="Z23" s="3">
        <v>678</v>
      </c>
      <c r="AA23" s="3">
        <v>800</v>
      </c>
      <c r="AB23" s="3">
        <v>932</v>
      </c>
      <c r="AC23" s="3">
        <v>1265</v>
      </c>
      <c r="AD23" s="3">
        <v>1485</v>
      </c>
      <c r="AE23" s="3">
        <v>1390</v>
      </c>
      <c r="AF23" s="3">
        <v>886</v>
      </c>
      <c r="AG23" s="3">
        <v>744</v>
      </c>
      <c r="AH23" s="3">
        <v>763</v>
      </c>
      <c r="AI23" s="3">
        <v>773</v>
      </c>
      <c r="AJ23" s="3">
        <v>812</v>
      </c>
      <c r="AK23" s="3">
        <v>841</v>
      </c>
    </row>
    <row r="24" spans="1:37" x14ac:dyDescent="0.3">
      <c r="A24" s="11" t="s">
        <v>141</v>
      </c>
      <c r="B24" s="11">
        <v>14298</v>
      </c>
      <c r="C24" s="11">
        <v>14647</v>
      </c>
      <c r="D24" s="11">
        <v>14869</v>
      </c>
      <c r="E24" s="11">
        <v>15964</v>
      </c>
      <c r="F24" s="11">
        <v>17053</v>
      </c>
      <c r="G24" s="11">
        <v>17297</v>
      </c>
      <c r="H24" s="11">
        <v>18648</v>
      </c>
      <c r="I24" s="11">
        <v>19948</v>
      </c>
      <c r="J24" s="11">
        <v>20226</v>
      </c>
      <c r="K24" s="11">
        <v>21314</v>
      </c>
      <c r="L24" s="11">
        <v>22702</v>
      </c>
      <c r="M24" s="11">
        <v>23271</v>
      </c>
      <c r="N24" s="11">
        <v>24346</v>
      </c>
      <c r="O24" s="11">
        <v>25440</v>
      </c>
      <c r="P24" s="11">
        <v>26208</v>
      </c>
      <c r="Q24" s="11">
        <v>27746</v>
      </c>
      <c r="R24" s="11">
        <v>29465</v>
      </c>
      <c r="S24" s="11">
        <v>29429</v>
      </c>
      <c r="T24" s="11">
        <v>29274</v>
      </c>
      <c r="U24" s="11">
        <v>29005</v>
      </c>
      <c r="V24" s="11">
        <v>29840</v>
      </c>
      <c r="W24" s="11">
        <v>30932</v>
      </c>
      <c r="X24" s="11">
        <v>32948</v>
      </c>
      <c r="Y24" s="11">
        <v>33414</v>
      </c>
      <c r="Z24" s="11">
        <v>33836</v>
      </c>
      <c r="AA24" s="11">
        <v>35246</v>
      </c>
      <c r="AB24" s="11">
        <v>38676</v>
      </c>
      <c r="AC24" s="11">
        <v>41822</v>
      </c>
      <c r="AD24" s="11">
        <v>44397</v>
      </c>
      <c r="AE24" s="11">
        <v>44985</v>
      </c>
      <c r="AF24" s="11">
        <v>46063</v>
      </c>
      <c r="AG24" s="11">
        <v>47516</v>
      </c>
      <c r="AH24" s="11">
        <v>48760</v>
      </c>
      <c r="AI24" s="11">
        <v>50154</v>
      </c>
      <c r="AJ24" s="11">
        <v>52021</v>
      </c>
      <c r="AK24" s="11">
        <v>52452</v>
      </c>
    </row>
    <row r="25" spans="1:37" x14ac:dyDescent="0.3">
      <c r="A25" s="14" t="s">
        <v>142</v>
      </c>
      <c r="B25" s="3">
        <v>13546</v>
      </c>
      <c r="C25" s="3">
        <v>14016</v>
      </c>
      <c r="D25" s="3">
        <v>14377</v>
      </c>
      <c r="E25" s="3">
        <v>15448</v>
      </c>
      <c r="F25" s="3">
        <v>16500</v>
      </c>
      <c r="G25" s="3">
        <v>16659</v>
      </c>
      <c r="H25" s="3">
        <v>18083</v>
      </c>
      <c r="I25" s="3">
        <v>19319</v>
      </c>
      <c r="J25" s="3">
        <v>19597</v>
      </c>
      <c r="K25" s="3">
        <v>20783</v>
      </c>
      <c r="L25" s="3">
        <v>22218</v>
      </c>
      <c r="M25" s="3">
        <v>22633</v>
      </c>
      <c r="N25" s="3">
        <v>23628</v>
      </c>
      <c r="O25" s="3">
        <v>24880</v>
      </c>
      <c r="P25" s="3">
        <v>25748</v>
      </c>
      <c r="Q25" s="3">
        <v>27349</v>
      </c>
      <c r="R25" s="3">
        <v>29145</v>
      </c>
      <c r="S25" s="3">
        <v>29093</v>
      </c>
      <c r="T25" s="3">
        <v>28943</v>
      </c>
      <c r="U25" s="3">
        <v>28740</v>
      </c>
      <c r="V25" s="3">
        <v>29659</v>
      </c>
      <c r="W25" s="3">
        <v>30830</v>
      </c>
      <c r="X25" s="3">
        <v>32852</v>
      </c>
      <c r="Y25" s="3">
        <v>33357</v>
      </c>
      <c r="Z25" s="3">
        <v>33822</v>
      </c>
      <c r="AA25" s="3">
        <v>35286</v>
      </c>
      <c r="AB25" s="3">
        <v>38495</v>
      </c>
      <c r="AC25" s="3">
        <v>41293</v>
      </c>
      <c r="AD25" s="3">
        <v>44012</v>
      </c>
      <c r="AE25" s="3">
        <v>44873</v>
      </c>
      <c r="AF25" s="3">
        <v>45890</v>
      </c>
      <c r="AG25" s="3">
        <v>47294</v>
      </c>
      <c r="AH25" s="3">
        <v>48493</v>
      </c>
      <c r="AI25" s="3">
        <v>49841</v>
      </c>
      <c r="AJ25" s="3">
        <v>51645</v>
      </c>
      <c r="AK25" s="3">
        <v>52021</v>
      </c>
    </row>
    <row r="26" spans="1:37" x14ac:dyDescent="0.3">
      <c r="A26" s="14" t="s">
        <v>143</v>
      </c>
      <c r="B26" s="3">
        <v>11519</v>
      </c>
      <c r="C26" s="3">
        <v>11951</v>
      </c>
      <c r="D26" s="3">
        <v>12227</v>
      </c>
      <c r="E26" s="3">
        <v>12792</v>
      </c>
      <c r="F26" s="3">
        <v>13461</v>
      </c>
      <c r="G26" s="3">
        <v>14079</v>
      </c>
      <c r="H26" s="3">
        <v>15768</v>
      </c>
      <c r="I26" s="3">
        <v>16278</v>
      </c>
      <c r="J26" s="3">
        <v>16742</v>
      </c>
      <c r="K26" s="3">
        <v>17674</v>
      </c>
      <c r="L26" s="3">
        <v>18908</v>
      </c>
      <c r="M26" s="3">
        <v>19483</v>
      </c>
      <c r="N26" s="3">
        <v>20460</v>
      </c>
      <c r="O26" s="3">
        <v>21498</v>
      </c>
      <c r="P26" s="3">
        <v>22462</v>
      </c>
      <c r="Q26" s="3">
        <v>23596</v>
      </c>
      <c r="R26" s="3">
        <v>24839</v>
      </c>
      <c r="S26" s="3">
        <v>25282</v>
      </c>
      <c r="T26" s="3">
        <v>25468</v>
      </c>
      <c r="U26" s="3">
        <v>25288</v>
      </c>
      <c r="V26" s="3">
        <v>26348</v>
      </c>
      <c r="W26" s="3">
        <v>27032</v>
      </c>
      <c r="X26" s="3">
        <v>28201</v>
      </c>
      <c r="Y26" s="3">
        <v>28761</v>
      </c>
      <c r="Z26" s="3">
        <v>29661</v>
      </c>
      <c r="AA26" s="3">
        <v>31197</v>
      </c>
      <c r="AB26" s="3">
        <v>33761</v>
      </c>
      <c r="AC26" s="3">
        <v>35711</v>
      </c>
      <c r="AD26" s="3">
        <v>37958</v>
      </c>
      <c r="AE26" s="3">
        <v>38954</v>
      </c>
      <c r="AF26" s="3">
        <v>40563</v>
      </c>
      <c r="AG26" s="3">
        <v>42037</v>
      </c>
      <c r="AH26" s="3">
        <v>43063</v>
      </c>
      <c r="AI26" s="3">
        <v>43823</v>
      </c>
      <c r="AJ26" s="3">
        <v>44864</v>
      </c>
      <c r="AK26" s="3">
        <v>45839</v>
      </c>
    </row>
    <row r="27" spans="1:37" x14ac:dyDescent="0.3">
      <c r="A27" s="7" t="s">
        <v>144</v>
      </c>
      <c r="B27" s="3">
        <v>7513</v>
      </c>
      <c r="C27" s="3">
        <v>7772</v>
      </c>
      <c r="D27" s="3">
        <v>7948</v>
      </c>
      <c r="E27" s="3">
        <v>8284</v>
      </c>
      <c r="F27" s="3">
        <v>8699</v>
      </c>
      <c r="G27" s="3">
        <v>9021</v>
      </c>
      <c r="H27" s="3">
        <v>10110</v>
      </c>
      <c r="I27" s="3">
        <v>10574</v>
      </c>
      <c r="J27" s="3">
        <v>10858</v>
      </c>
      <c r="K27" s="3">
        <v>11543</v>
      </c>
      <c r="L27" s="3">
        <v>12146</v>
      </c>
      <c r="M27" s="3">
        <v>12667</v>
      </c>
      <c r="N27" s="3">
        <v>13359</v>
      </c>
      <c r="O27" s="3">
        <v>14145</v>
      </c>
      <c r="P27" s="3">
        <v>14767</v>
      </c>
      <c r="Q27" s="3">
        <v>15397</v>
      </c>
      <c r="R27" s="3">
        <v>16073</v>
      </c>
      <c r="S27" s="3">
        <v>16566</v>
      </c>
      <c r="T27" s="3">
        <v>16768</v>
      </c>
      <c r="U27" s="3">
        <v>16659</v>
      </c>
      <c r="V27" s="3">
        <v>17277</v>
      </c>
      <c r="W27" s="3">
        <v>17627</v>
      </c>
      <c r="X27" s="3">
        <v>18433</v>
      </c>
      <c r="Y27" s="3">
        <v>18933</v>
      </c>
      <c r="Z27" s="3">
        <v>19676</v>
      </c>
      <c r="AA27" s="3">
        <v>20387</v>
      </c>
      <c r="AB27" s="3">
        <v>21851</v>
      </c>
      <c r="AC27" s="3">
        <v>23385</v>
      </c>
      <c r="AD27" s="3">
        <v>24616</v>
      </c>
      <c r="AE27" s="3">
        <v>25396</v>
      </c>
      <c r="AF27" s="3">
        <v>26216</v>
      </c>
      <c r="AG27" s="3">
        <v>27075</v>
      </c>
      <c r="AH27" s="3">
        <v>27746</v>
      </c>
      <c r="AI27" s="3">
        <v>28285</v>
      </c>
      <c r="AJ27" s="3">
        <v>28942</v>
      </c>
      <c r="AK27" s="3">
        <v>29559</v>
      </c>
    </row>
    <row r="28" spans="1:37" x14ac:dyDescent="0.3">
      <c r="A28" s="7" t="s">
        <v>145</v>
      </c>
      <c r="B28" s="3">
        <v>2097</v>
      </c>
      <c r="C28" s="3">
        <v>2262</v>
      </c>
      <c r="D28" s="3">
        <v>2342</v>
      </c>
      <c r="E28" s="3">
        <v>2519</v>
      </c>
      <c r="F28" s="3">
        <v>2592</v>
      </c>
      <c r="G28" s="3">
        <v>2672</v>
      </c>
      <c r="H28" s="3">
        <v>3058</v>
      </c>
      <c r="I28" s="3">
        <v>3058</v>
      </c>
      <c r="J28" s="3">
        <v>3203</v>
      </c>
      <c r="K28" s="3">
        <v>3443</v>
      </c>
      <c r="L28" s="3">
        <v>3383</v>
      </c>
      <c r="M28" s="3">
        <v>3302</v>
      </c>
      <c r="N28" s="3">
        <v>3459</v>
      </c>
      <c r="O28" s="3">
        <v>3727</v>
      </c>
      <c r="P28" s="3">
        <v>3900</v>
      </c>
      <c r="Q28" s="3">
        <v>4145</v>
      </c>
      <c r="R28" s="3">
        <v>4396</v>
      </c>
      <c r="S28" s="3">
        <v>4423</v>
      </c>
      <c r="T28" s="3">
        <v>4372</v>
      </c>
      <c r="U28" s="3">
        <v>4346</v>
      </c>
      <c r="V28" s="3">
        <v>4800</v>
      </c>
      <c r="W28" s="3">
        <v>4970</v>
      </c>
      <c r="X28" s="3">
        <v>5406</v>
      </c>
      <c r="Y28" s="3">
        <v>5422</v>
      </c>
      <c r="Z28" s="3">
        <v>5388</v>
      </c>
      <c r="AA28" s="3">
        <v>5908</v>
      </c>
      <c r="AB28" s="3">
        <v>6588</v>
      </c>
      <c r="AC28" s="3">
        <v>6625</v>
      </c>
      <c r="AD28" s="3">
        <v>7326</v>
      </c>
      <c r="AE28" s="3">
        <v>7473</v>
      </c>
      <c r="AF28" s="3">
        <v>7458</v>
      </c>
      <c r="AG28" s="3">
        <v>7657</v>
      </c>
      <c r="AH28" s="3">
        <v>7817</v>
      </c>
      <c r="AI28" s="3">
        <v>7952</v>
      </c>
      <c r="AJ28" s="3">
        <v>8082</v>
      </c>
      <c r="AK28" s="3">
        <v>8212</v>
      </c>
    </row>
    <row r="29" spans="1:37" x14ac:dyDescent="0.3">
      <c r="A29" s="7" t="s">
        <v>146</v>
      </c>
      <c r="B29" s="3">
        <v>168</v>
      </c>
      <c r="C29" s="3">
        <v>146</v>
      </c>
      <c r="D29" s="3">
        <v>119</v>
      </c>
      <c r="E29" s="3">
        <v>87</v>
      </c>
      <c r="F29" s="3">
        <v>66</v>
      </c>
      <c r="G29" s="3">
        <v>182</v>
      </c>
      <c r="H29" s="3">
        <v>184</v>
      </c>
      <c r="I29" s="3">
        <v>155</v>
      </c>
      <c r="J29" s="3">
        <v>173</v>
      </c>
      <c r="K29" s="3">
        <v>176</v>
      </c>
      <c r="L29" s="3">
        <v>598</v>
      </c>
      <c r="M29" s="3">
        <v>624</v>
      </c>
      <c r="N29" s="3">
        <v>495</v>
      </c>
      <c r="O29" s="3">
        <v>394</v>
      </c>
      <c r="P29" s="3">
        <v>479</v>
      </c>
      <c r="Q29" s="3">
        <v>413</v>
      </c>
      <c r="R29" s="3">
        <v>449</v>
      </c>
      <c r="S29" s="3">
        <v>636</v>
      </c>
      <c r="T29" s="3">
        <v>784</v>
      </c>
      <c r="U29" s="3">
        <v>771</v>
      </c>
      <c r="V29" s="3">
        <v>572</v>
      </c>
      <c r="W29" s="3">
        <v>524</v>
      </c>
      <c r="X29" s="3">
        <v>449</v>
      </c>
      <c r="Y29" s="3">
        <v>405</v>
      </c>
      <c r="Z29" s="3">
        <v>243</v>
      </c>
      <c r="AA29" s="3">
        <v>294</v>
      </c>
      <c r="AB29" s="3">
        <v>358</v>
      </c>
      <c r="AC29" s="3">
        <v>349</v>
      </c>
      <c r="AD29" s="3">
        <v>372</v>
      </c>
      <c r="AE29" s="3">
        <v>405</v>
      </c>
      <c r="AF29" s="3">
        <v>419</v>
      </c>
      <c r="AG29" s="3">
        <v>431</v>
      </c>
      <c r="AH29" s="3">
        <v>440</v>
      </c>
      <c r="AI29" s="3">
        <v>448</v>
      </c>
      <c r="AJ29" s="3">
        <v>456</v>
      </c>
      <c r="AK29" s="3">
        <v>464</v>
      </c>
    </row>
    <row r="30" spans="1:37" x14ac:dyDescent="0.3">
      <c r="A30" s="7" t="s">
        <v>147</v>
      </c>
      <c r="B30" s="3">
        <v>1410</v>
      </c>
      <c r="C30" s="3">
        <v>1423</v>
      </c>
      <c r="D30" s="3">
        <v>1431</v>
      </c>
      <c r="E30" s="3">
        <v>1457</v>
      </c>
      <c r="F30" s="3">
        <v>1627</v>
      </c>
      <c r="G30" s="3">
        <v>1690</v>
      </c>
      <c r="H30" s="3">
        <v>1866</v>
      </c>
      <c r="I30" s="3">
        <v>1927</v>
      </c>
      <c r="J30" s="3">
        <v>1947</v>
      </c>
      <c r="K30" s="3">
        <v>1925</v>
      </c>
      <c r="L30" s="3">
        <v>2150</v>
      </c>
      <c r="M30" s="3">
        <v>2232</v>
      </c>
      <c r="N30" s="3">
        <v>2424</v>
      </c>
      <c r="O30" s="3">
        <v>2539</v>
      </c>
      <c r="P30" s="3">
        <v>2620</v>
      </c>
      <c r="Q30" s="3">
        <v>2844</v>
      </c>
      <c r="R30" s="3">
        <v>3032</v>
      </c>
      <c r="S30" s="3">
        <v>3039</v>
      </c>
      <c r="T30" s="3">
        <v>2909</v>
      </c>
      <c r="U30" s="3">
        <v>2963</v>
      </c>
      <c r="V30" s="3">
        <v>3154</v>
      </c>
      <c r="W30" s="3">
        <v>3324</v>
      </c>
      <c r="X30" s="3">
        <v>3276</v>
      </c>
      <c r="Y30" s="3">
        <v>3343</v>
      </c>
      <c r="Z30" s="3">
        <v>3622</v>
      </c>
      <c r="AA30" s="3">
        <v>3820</v>
      </c>
      <c r="AB30" s="3">
        <v>4213</v>
      </c>
      <c r="AC30" s="3">
        <v>4546</v>
      </c>
      <c r="AD30" s="3">
        <v>4867</v>
      </c>
      <c r="AE30" s="3">
        <v>4960</v>
      </c>
      <c r="AF30" s="3">
        <v>5776</v>
      </c>
      <c r="AG30" s="3">
        <v>6159</v>
      </c>
      <c r="AH30" s="3">
        <v>6327</v>
      </c>
      <c r="AI30" s="3">
        <v>6393</v>
      </c>
      <c r="AJ30" s="3">
        <v>6626</v>
      </c>
      <c r="AK30" s="3">
        <v>6832</v>
      </c>
    </row>
    <row r="31" spans="1:37" x14ac:dyDescent="0.3">
      <c r="A31" s="9" t="s">
        <v>80</v>
      </c>
      <c r="B31" s="3">
        <v>1296</v>
      </c>
      <c r="C31" s="3">
        <v>1302</v>
      </c>
      <c r="D31" s="3">
        <v>1318</v>
      </c>
      <c r="E31" s="3">
        <v>1334</v>
      </c>
      <c r="F31" s="3">
        <v>1413</v>
      </c>
      <c r="G31" s="3">
        <v>1486</v>
      </c>
      <c r="H31" s="3">
        <v>1652</v>
      </c>
      <c r="I31" s="3">
        <v>1691</v>
      </c>
      <c r="J31" s="3">
        <v>1700</v>
      </c>
      <c r="K31" s="3">
        <v>1672</v>
      </c>
      <c r="L31" s="3">
        <v>1910</v>
      </c>
      <c r="M31" s="3">
        <v>1992</v>
      </c>
      <c r="N31" s="3">
        <v>2137</v>
      </c>
      <c r="O31" s="3">
        <v>2251</v>
      </c>
      <c r="P31" s="3">
        <v>2303</v>
      </c>
      <c r="Q31" s="3">
        <v>2504</v>
      </c>
      <c r="R31" s="3">
        <v>2652</v>
      </c>
      <c r="S31" s="3">
        <v>2684</v>
      </c>
      <c r="T31" s="3">
        <v>2586</v>
      </c>
      <c r="U31" s="3">
        <v>2686</v>
      </c>
      <c r="V31" s="3">
        <v>2873</v>
      </c>
      <c r="W31" s="3">
        <v>3075</v>
      </c>
      <c r="X31" s="3">
        <v>3069</v>
      </c>
      <c r="Y31" s="3">
        <v>3140</v>
      </c>
      <c r="Z31" s="3">
        <v>3400</v>
      </c>
      <c r="AA31" s="3">
        <v>3562</v>
      </c>
      <c r="AB31" s="3">
        <v>3877</v>
      </c>
      <c r="AC31" s="3">
        <v>4164</v>
      </c>
      <c r="AD31" s="3">
        <v>4490</v>
      </c>
      <c r="AE31" s="3">
        <v>4601</v>
      </c>
      <c r="AF31" s="3">
        <v>5389</v>
      </c>
      <c r="AG31" s="3">
        <v>5799</v>
      </c>
      <c r="AH31" s="3">
        <v>5950</v>
      </c>
      <c r="AI31" s="3">
        <v>6004</v>
      </c>
      <c r="AJ31" s="3">
        <v>6230</v>
      </c>
      <c r="AK31" s="3">
        <v>6430</v>
      </c>
    </row>
    <row r="32" spans="1:37" x14ac:dyDescent="0.3">
      <c r="A32" s="9" t="s">
        <v>148</v>
      </c>
      <c r="B32" s="3">
        <v>114</v>
      </c>
      <c r="C32" s="3">
        <v>122</v>
      </c>
      <c r="D32" s="3">
        <v>113</v>
      </c>
      <c r="E32" s="3">
        <v>122</v>
      </c>
      <c r="F32" s="3">
        <v>214</v>
      </c>
      <c r="G32" s="3">
        <v>204</v>
      </c>
      <c r="H32" s="3">
        <v>214</v>
      </c>
      <c r="I32" s="3">
        <v>236</v>
      </c>
      <c r="J32" s="3">
        <v>248</v>
      </c>
      <c r="K32" s="3">
        <v>253</v>
      </c>
      <c r="L32" s="3">
        <v>241</v>
      </c>
      <c r="M32" s="3">
        <v>240</v>
      </c>
      <c r="N32" s="3">
        <v>286</v>
      </c>
      <c r="O32" s="3">
        <v>289</v>
      </c>
      <c r="P32" s="3">
        <v>317</v>
      </c>
      <c r="Q32" s="3">
        <v>340</v>
      </c>
      <c r="R32" s="3">
        <v>380</v>
      </c>
      <c r="S32" s="3">
        <v>355</v>
      </c>
      <c r="T32" s="3">
        <v>324</v>
      </c>
      <c r="U32" s="3">
        <v>277</v>
      </c>
      <c r="V32" s="3">
        <v>281</v>
      </c>
      <c r="W32" s="3">
        <v>249</v>
      </c>
      <c r="X32" s="3">
        <v>207</v>
      </c>
      <c r="Y32" s="3">
        <v>203</v>
      </c>
      <c r="Z32" s="3">
        <v>222</v>
      </c>
      <c r="AA32" s="3">
        <v>258</v>
      </c>
      <c r="AB32" s="3">
        <v>336</v>
      </c>
      <c r="AC32" s="3">
        <v>382</v>
      </c>
      <c r="AD32" s="3">
        <v>377</v>
      </c>
      <c r="AE32" s="3">
        <v>359</v>
      </c>
      <c r="AF32" s="3">
        <v>386</v>
      </c>
      <c r="AG32" s="3">
        <v>360</v>
      </c>
      <c r="AH32" s="3">
        <v>378</v>
      </c>
      <c r="AI32" s="3">
        <v>389</v>
      </c>
      <c r="AJ32" s="3">
        <v>396</v>
      </c>
      <c r="AK32" s="3">
        <v>402</v>
      </c>
    </row>
    <row r="33" spans="1:37" x14ac:dyDescent="0.3">
      <c r="A33" s="7" t="s">
        <v>149</v>
      </c>
      <c r="B33" s="3">
        <v>300</v>
      </c>
      <c r="C33" s="3">
        <v>317</v>
      </c>
      <c r="D33" s="3">
        <v>355</v>
      </c>
      <c r="E33" s="3">
        <v>414</v>
      </c>
      <c r="F33" s="3">
        <v>447</v>
      </c>
      <c r="G33" s="3">
        <v>481</v>
      </c>
      <c r="H33" s="3">
        <v>514</v>
      </c>
      <c r="I33" s="3">
        <v>527</v>
      </c>
      <c r="J33" s="3">
        <v>524</v>
      </c>
      <c r="K33" s="3">
        <v>551</v>
      </c>
      <c r="L33" s="3">
        <v>594</v>
      </c>
      <c r="M33" s="3">
        <v>619</v>
      </c>
      <c r="N33" s="3">
        <v>676</v>
      </c>
      <c r="O33" s="3">
        <v>639</v>
      </c>
      <c r="P33" s="3">
        <v>644</v>
      </c>
      <c r="Q33" s="3">
        <v>694</v>
      </c>
      <c r="R33" s="3">
        <v>776</v>
      </c>
      <c r="S33" s="3">
        <v>562</v>
      </c>
      <c r="T33" s="3">
        <v>587</v>
      </c>
      <c r="U33" s="3">
        <v>491</v>
      </c>
      <c r="V33" s="3">
        <v>496</v>
      </c>
      <c r="W33" s="3">
        <v>540</v>
      </c>
      <c r="X33" s="3">
        <v>587</v>
      </c>
      <c r="Y33" s="3">
        <v>610</v>
      </c>
      <c r="Z33" s="3">
        <v>684</v>
      </c>
      <c r="AA33" s="3">
        <v>739</v>
      </c>
      <c r="AB33" s="3">
        <v>702</v>
      </c>
      <c r="AC33" s="3">
        <v>756</v>
      </c>
      <c r="AD33" s="3">
        <v>723</v>
      </c>
      <c r="AE33" s="3">
        <v>667</v>
      </c>
      <c r="AF33" s="3">
        <v>640</v>
      </c>
      <c r="AG33" s="3">
        <v>659</v>
      </c>
      <c r="AH33" s="3">
        <v>674</v>
      </c>
      <c r="AI33" s="3">
        <v>686</v>
      </c>
      <c r="AJ33" s="3">
        <v>698</v>
      </c>
      <c r="AK33" s="3">
        <v>710</v>
      </c>
    </row>
    <row r="34" spans="1:37" x14ac:dyDescent="0.3">
      <c r="A34" s="7" t="s">
        <v>150</v>
      </c>
      <c r="B34" s="3">
        <v>31</v>
      </c>
      <c r="C34" s="3">
        <v>31</v>
      </c>
      <c r="D34" s="3">
        <v>32</v>
      </c>
      <c r="E34" s="3">
        <v>31</v>
      </c>
      <c r="F34" s="3">
        <v>31</v>
      </c>
      <c r="G34" s="3">
        <v>33</v>
      </c>
      <c r="H34" s="3">
        <v>36</v>
      </c>
      <c r="I34" s="3">
        <v>38</v>
      </c>
      <c r="J34" s="3">
        <v>37</v>
      </c>
      <c r="K34" s="3">
        <v>36</v>
      </c>
      <c r="L34" s="3">
        <v>37</v>
      </c>
      <c r="M34" s="3">
        <v>38</v>
      </c>
      <c r="N34" s="3">
        <v>47</v>
      </c>
      <c r="O34" s="3">
        <v>54</v>
      </c>
      <c r="P34" s="3">
        <v>52</v>
      </c>
      <c r="Q34" s="3">
        <v>104</v>
      </c>
      <c r="R34" s="3">
        <v>114</v>
      </c>
      <c r="S34" s="3">
        <v>57</v>
      </c>
      <c r="T34" s="3">
        <v>48</v>
      </c>
      <c r="U34" s="3">
        <v>58</v>
      </c>
      <c r="V34" s="3">
        <v>49</v>
      </c>
      <c r="W34" s="3">
        <v>48</v>
      </c>
      <c r="X34" s="3">
        <v>50</v>
      </c>
      <c r="Y34" s="3">
        <v>49</v>
      </c>
      <c r="Z34" s="3">
        <v>49</v>
      </c>
      <c r="AA34" s="3">
        <v>49</v>
      </c>
      <c r="AB34" s="3">
        <v>47</v>
      </c>
      <c r="AC34" s="3">
        <v>51</v>
      </c>
      <c r="AD34" s="3">
        <v>53</v>
      </c>
      <c r="AE34" s="3">
        <v>53</v>
      </c>
      <c r="AF34" s="3">
        <v>55</v>
      </c>
      <c r="AG34" s="3">
        <v>56</v>
      </c>
      <c r="AH34" s="3">
        <v>58</v>
      </c>
      <c r="AI34" s="3">
        <v>59</v>
      </c>
      <c r="AJ34" s="3">
        <v>60</v>
      </c>
      <c r="AK34" s="3">
        <v>61</v>
      </c>
    </row>
    <row r="35" spans="1:37" x14ac:dyDescent="0.3">
      <c r="A35" s="14" t="s">
        <v>152</v>
      </c>
      <c r="B35" s="3">
        <v>1919</v>
      </c>
      <c r="C35" s="3">
        <v>1957</v>
      </c>
      <c r="D35" s="3">
        <v>2018</v>
      </c>
      <c r="E35" s="3">
        <v>2537</v>
      </c>
      <c r="F35" s="3">
        <v>2919</v>
      </c>
      <c r="G35" s="3">
        <v>2438</v>
      </c>
      <c r="H35" s="3">
        <v>2150</v>
      </c>
      <c r="I35" s="3">
        <v>2901</v>
      </c>
      <c r="J35" s="3">
        <v>2663</v>
      </c>
      <c r="K35" s="3">
        <v>2932</v>
      </c>
      <c r="L35" s="3">
        <v>3172</v>
      </c>
      <c r="M35" s="3">
        <v>2931</v>
      </c>
      <c r="N35" s="3">
        <v>3014</v>
      </c>
      <c r="O35" s="3">
        <v>3161</v>
      </c>
      <c r="P35" s="3">
        <v>3082</v>
      </c>
      <c r="Q35" s="3">
        <v>3534</v>
      </c>
      <c r="R35" s="3">
        <v>4104</v>
      </c>
      <c r="S35" s="3">
        <v>3589</v>
      </c>
      <c r="T35" s="3">
        <v>3218</v>
      </c>
      <c r="U35" s="3">
        <v>3223</v>
      </c>
      <c r="V35" s="3">
        <v>3021</v>
      </c>
      <c r="W35" s="3">
        <v>3487</v>
      </c>
      <c r="X35" s="3">
        <v>4327</v>
      </c>
      <c r="Y35" s="3">
        <v>4308</v>
      </c>
      <c r="Z35" s="3">
        <v>3813</v>
      </c>
      <c r="AA35" s="3">
        <v>3699</v>
      </c>
      <c r="AB35" s="3">
        <v>4412</v>
      </c>
      <c r="AC35" s="3">
        <v>5230</v>
      </c>
      <c r="AD35" s="3">
        <v>5686</v>
      </c>
      <c r="AE35" s="3">
        <v>5543</v>
      </c>
      <c r="AF35" s="3">
        <v>4934</v>
      </c>
      <c r="AG35" s="3">
        <v>4853</v>
      </c>
      <c r="AH35" s="3">
        <v>5018</v>
      </c>
      <c r="AI35" s="3">
        <v>5598</v>
      </c>
      <c r="AJ35" s="3">
        <v>6354</v>
      </c>
      <c r="AK35" s="3">
        <v>5748</v>
      </c>
    </row>
    <row r="36" spans="1:37" x14ac:dyDescent="0.3">
      <c r="A36" s="7" t="s">
        <v>153</v>
      </c>
      <c r="B36" s="3">
        <v>1661</v>
      </c>
      <c r="C36" s="3">
        <v>1693</v>
      </c>
      <c r="D36" s="3">
        <v>1746</v>
      </c>
      <c r="E36" s="3">
        <v>2282</v>
      </c>
      <c r="F36" s="3">
        <v>2681</v>
      </c>
      <c r="G36" s="3">
        <v>2097</v>
      </c>
      <c r="H36" s="3">
        <v>1853</v>
      </c>
      <c r="I36" s="3">
        <v>2210</v>
      </c>
      <c r="J36" s="3">
        <v>2227</v>
      </c>
      <c r="K36" s="3">
        <v>2568</v>
      </c>
      <c r="L36" s="3">
        <v>2959</v>
      </c>
      <c r="M36" s="3">
        <v>2676</v>
      </c>
      <c r="N36" s="3">
        <v>2683</v>
      </c>
      <c r="O36" s="3">
        <v>2974</v>
      </c>
      <c r="P36" s="3">
        <v>2820</v>
      </c>
      <c r="Q36" s="3">
        <v>3144</v>
      </c>
      <c r="R36" s="3">
        <v>3801</v>
      </c>
      <c r="S36" s="3">
        <v>3331</v>
      </c>
      <c r="T36" s="3">
        <v>2892</v>
      </c>
      <c r="U36" s="3">
        <v>2906</v>
      </c>
      <c r="V36" s="3">
        <v>2722</v>
      </c>
      <c r="W36" s="3">
        <v>3276</v>
      </c>
      <c r="X36" s="3">
        <v>3941</v>
      </c>
      <c r="Y36" s="3">
        <v>3943</v>
      </c>
      <c r="Z36" s="3">
        <v>3494</v>
      </c>
      <c r="AA36" s="3">
        <v>3373</v>
      </c>
      <c r="AB36" s="3">
        <v>4074</v>
      </c>
      <c r="AC36" s="3">
        <v>4816</v>
      </c>
      <c r="AD36" s="3">
        <v>5154</v>
      </c>
      <c r="AE36" s="3">
        <v>5087</v>
      </c>
      <c r="AF36" s="3">
        <v>4472</v>
      </c>
      <c r="AG36" s="3">
        <v>4382</v>
      </c>
      <c r="AH36" s="3">
        <v>4539</v>
      </c>
      <c r="AI36" s="3">
        <v>5114</v>
      </c>
      <c r="AJ36" s="3">
        <v>5864</v>
      </c>
      <c r="AK36" s="3">
        <v>5252</v>
      </c>
    </row>
    <row r="37" spans="1:37" x14ac:dyDescent="0.3">
      <c r="A37" s="7" t="s">
        <v>172</v>
      </c>
      <c r="B37" s="3">
        <v>2</v>
      </c>
      <c r="C37" s="3">
        <v>0</v>
      </c>
      <c r="D37" s="3">
        <v>4</v>
      </c>
      <c r="E37" s="3">
        <v>30</v>
      </c>
      <c r="F37" s="3">
        <v>35</v>
      </c>
      <c r="G37" s="3">
        <v>78</v>
      </c>
      <c r="H37" s="3">
        <v>76</v>
      </c>
      <c r="I37" s="3">
        <v>48</v>
      </c>
      <c r="J37" s="3">
        <v>51</v>
      </c>
      <c r="K37" s="3">
        <v>51</v>
      </c>
      <c r="L37" s="3">
        <v>7</v>
      </c>
      <c r="M37" s="3">
        <v>36</v>
      </c>
      <c r="N37" s="3">
        <v>59</v>
      </c>
      <c r="O37" s="3">
        <v>98</v>
      </c>
      <c r="P37" s="3">
        <v>84</v>
      </c>
      <c r="Q37" s="3">
        <v>115</v>
      </c>
      <c r="R37" s="3">
        <v>100</v>
      </c>
      <c r="S37" s="3">
        <v>41</v>
      </c>
      <c r="T37" s="3">
        <v>78</v>
      </c>
      <c r="U37" s="3">
        <v>66</v>
      </c>
      <c r="V37" s="3">
        <v>-25</v>
      </c>
      <c r="W37" s="3">
        <v>31</v>
      </c>
      <c r="X37" s="3">
        <v>118</v>
      </c>
      <c r="Y37" s="3">
        <v>71</v>
      </c>
      <c r="Z37" s="3">
        <v>106</v>
      </c>
      <c r="AA37" s="3">
        <v>78</v>
      </c>
      <c r="AB37" s="3">
        <v>91</v>
      </c>
      <c r="AC37" s="3">
        <v>123</v>
      </c>
      <c r="AD37" s="3">
        <v>167</v>
      </c>
      <c r="AE37" s="3">
        <v>154</v>
      </c>
      <c r="AF37" s="3">
        <v>150</v>
      </c>
      <c r="AG37" s="3">
        <v>150</v>
      </c>
      <c r="AH37" s="3">
        <v>150</v>
      </c>
      <c r="AI37" s="3">
        <v>150</v>
      </c>
      <c r="AJ37" s="3">
        <v>150</v>
      </c>
      <c r="AK37" s="3">
        <v>150</v>
      </c>
    </row>
    <row r="38" spans="1:37" x14ac:dyDescent="0.3">
      <c r="A38" s="7" t="s">
        <v>173</v>
      </c>
      <c r="B38" s="3">
        <v>33</v>
      </c>
      <c r="C38" s="3">
        <v>44</v>
      </c>
      <c r="D38" s="3">
        <v>37</v>
      </c>
      <c r="E38" s="3">
        <v>49</v>
      </c>
      <c r="F38" s="3">
        <v>37</v>
      </c>
      <c r="G38" s="3">
        <v>69</v>
      </c>
      <c r="H38" s="3">
        <v>82</v>
      </c>
      <c r="I38" s="3">
        <v>83</v>
      </c>
      <c r="J38" s="3">
        <v>76</v>
      </c>
      <c r="K38" s="3">
        <v>91</v>
      </c>
      <c r="L38" s="3">
        <v>29</v>
      </c>
      <c r="M38" s="3">
        <v>33</v>
      </c>
      <c r="N38" s="3">
        <v>32</v>
      </c>
      <c r="O38" s="3">
        <v>34</v>
      </c>
      <c r="P38" s="3">
        <v>37</v>
      </c>
      <c r="Q38" s="3">
        <v>48</v>
      </c>
      <c r="R38" s="3">
        <v>59</v>
      </c>
      <c r="S38" s="3">
        <v>55</v>
      </c>
      <c r="T38" s="3">
        <v>62</v>
      </c>
      <c r="U38" s="3">
        <v>65</v>
      </c>
      <c r="V38" s="3">
        <v>44</v>
      </c>
      <c r="W38" s="3">
        <v>76</v>
      </c>
      <c r="X38" s="3">
        <v>80</v>
      </c>
      <c r="Y38" s="3">
        <v>92</v>
      </c>
      <c r="Z38" s="3">
        <v>84</v>
      </c>
      <c r="AA38" s="3">
        <v>92</v>
      </c>
      <c r="AB38" s="3">
        <v>88</v>
      </c>
      <c r="AC38" s="3">
        <v>110</v>
      </c>
      <c r="AD38" s="3">
        <v>122</v>
      </c>
      <c r="AE38" s="3">
        <v>107</v>
      </c>
      <c r="AF38" s="3">
        <v>110</v>
      </c>
      <c r="AG38" s="3">
        <v>114</v>
      </c>
      <c r="AH38" s="3">
        <v>116</v>
      </c>
      <c r="AI38" s="3">
        <v>118</v>
      </c>
      <c r="AJ38" s="3">
        <v>120</v>
      </c>
      <c r="AK38" s="3">
        <v>122</v>
      </c>
    </row>
    <row r="39" spans="1:37" x14ac:dyDescent="0.3">
      <c r="A39" s="7" t="s">
        <v>174</v>
      </c>
      <c r="B39" s="3">
        <v>225</v>
      </c>
      <c r="C39" s="3">
        <v>221</v>
      </c>
      <c r="D39" s="3">
        <v>232</v>
      </c>
      <c r="E39" s="3">
        <v>176</v>
      </c>
      <c r="F39" s="3">
        <v>166</v>
      </c>
      <c r="G39" s="3">
        <v>195</v>
      </c>
      <c r="H39" s="3">
        <v>140</v>
      </c>
      <c r="I39" s="3">
        <v>561</v>
      </c>
      <c r="J39" s="3">
        <v>309</v>
      </c>
      <c r="K39" s="3">
        <v>222</v>
      </c>
      <c r="L39" s="3">
        <v>178</v>
      </c>
      <c r="M39" s="3">
        <v>187</v>
      </c>
      <c r="N39" s="3">
        <v>241</v>
      </c>
      <c r="O39" s="3">
        <v>57</v>
      </c>
      <c r="P39" s="3">
        <v>141</v>
      </c>
      <c r="Q39" s="3">
        <v>227</v>
      </c>
      <c r="R39" s="3">
        <v>145</v>
      </c>
      <c r="S39" s="3">
        <v>162</v>
      </c>
      <c r="T39" s="3">
        <v>185</v>
      </c>
      <c r="U39" s="3">
        <v>185</v>
      </c>
      <c r="V39" s="3">
        <v>280</v>
      </c>
      <c r="W39" s="3">
        <v>103</v>
      </c>
      <c r="X39" s="3">
        <v>188</v>
      </c>
      <c r="Y39" s="3">
        <v>202</v>
      </c>
      <c r="Z39" s="3">
        <v>128</v>
      </c>
      <c r="AA39" s="3">
        <v>156</v>
      </c>
      <c r="AB39" s="3">
        <v>159</v>
      </c>
      <c r="AC39" s="3">
        <v>180</v>
      </c>
      <c r="AD39" s="3">
        <v>243</v>
      </c>
      <c r="AE39" s="3">
        <v>196</v>
      </c>
      <c r="AF39" s="3">
        <v>202</v>
      </c>
      <c r="AG39" s="3">
        <v>208</v>
      </c>
      <c r="AH39" s="3">
        <v>213</v>
      </c>
      <c r="AI39" s="3">
        <v>217</v>
      </c>
      <c r="AJ39" s="3">
        <v>220</v>
      </c>
      <c r="AK39" s="3">
        <v>224</v>
      </c>
    </row>
    <row r="40" spans="1:37" x14ac:dyDescent="0.3">
      <c r="A40" s="14" t="s">
        <v>156</v>
      </c>
      <c r="B40" s="3">
        <v>108</v>
      </c>
      <c r="C40" s="3">
        <v>107</v>
      </c>
      <c r="D40" s="3">
        <v>132</v>
      </c>
      <c r="E40" s="3">
        <v>119</v>
      </c>
      <c r="F40" s="3">
        <v>120</v>
      </c>
      <c r="G40" s="3">
        <v>141</v>
      </c>
      <c r="H40" s="3">
        <v>164</v>
      </c>
      <c r="I40" s="3">
        <v>140</v>
      </c>
      <c r="J40" s="3">
        <v>192</v>
      </c>
      <c r="K40" s="3">
        <v>178</v>
      </c>
      <c r="L40" s="3">
        <v>139</v>
      </c>
      <c r="M40" s="3">
        <v>219</v>
      </c>
      <c r="N40" s="3">
        <v>154</v>
      </c>
      <c r="O40" s="3">
        <v>220</v>
      </c>
      <c r="P40" s="3">
        <v>204</v>
      </c>
      <c r="Q40" s="3">
        <v>218</v>
      </c>
      <c r="R40" s="3">
        <v>201</v>
      </c>
      <c r="S40" s="3">
        <v>222</v>
      </c>
      <c r="T40" s="3">
        <v>257</v>
      </c>
      <c r="U40" s="3">
        <v>230</v>
      </c>
      <c r="V40" s="3">
        <v>290</v>
      </c>
      <c r="W40" s="3">
        <v>311</v>
      </c>
      <c r="X40" s="3">
        <v>325</v>
      </c>
      <c r="Y40" s="3">
        <v>287</v>
      </c>
      <c r="Z40" s="3">
        <v>348</v>
      </c>
      <c r="AA40" s="3">
        <v>390</v>
      </c>
      <c r="AB40" s="3">
        <v>323</v>
      </c>
      <c r="AC40" s="3">
        <v>352</v>
      </c>
      <c r="AD40" s="3">
        <v>369</v>
      </c>
      <c r="AE40" s="3">
        <v>375</v>
      </c>
      <c r="AF40" s="3">
        <v>393</v>
      </c>
      <c r="AG40" s="3">
        <v>404</v>
      </c>
      <c r="AH40" s="3">
        <v>413</v>
      </c>
      <c r="AI40" s="3">
        <v>420</v>
      </c>
      <c r="AJ40" s="3">
        <v>427</v>
      </c>
      <c r="AK40" s="3">
        <v>434</v>
      </c>
    </row>
    <row r="41" spans="1:37" x14ac:dyDescent="0.3">
      <c r="A41" s="7" t="s">
        <v>157</v>
      </c>
      <c r="B41" s="3">
        <v>104</v>
      </c>
      <c r="C41" s="3">
        <v>105</v>
      </c>
      <c r="D41" s="3">
        <v>130</v>
      </c>
      <c r="E41" s="3">
        <v>116</v>
      </c>
      <c r="F41" s="3">
        <v>116</v>
      </c>
      <c r="G41" s="3">
        <v>138</v>
      </c>
      <c r="H41" s="3">
        <v>161</v>
      </c>
      <c r="I41" s="3">
        <v>138</v>
      </c>
      <c r="J41" s="3">
        <v>185</v>
      </c>
      <c r="K41" s="3">
        <v>171</v>
      </c>
      <c r="L41" s="3">
        <v>134</v>
      </c>
      <c r="M41" s="3">
        <v>213</v>
      </c>
      <c r="N41" s="3">
        <v>142</v>
      </c>
      <c r="O41" s="3">
        <v>205</v>
      </c>
      <c r="P41" s="3">
        <v>188</v>
      </c>
      <c r="Q41" s="3">
        <v>195</v>
      </c>
      <c r="R41" s="3">
        <v>191</v>
      </c>
      <c r="S41" s="3">
        <v>212</v>
      </c>
      <c r="T41" s="3">
        <v>232</v>
      </c>
      <c r="U41" s="3">
        <v>211</v>
      </c>
      <c r="V41" s="3">
        <v>281</v>
      </c>
      <c r="W41" s="3">
        <v>306</v>
      </c>
      <c r="X41" s="3">
        <v>314</v>
      </c>
      <c r="Y41" s="3">
        <v>276</v>
      </c>
      <c r="Z41" s="3">
        <v>336</v>
      </c>
      <c r="AA41" s="3">
        <v>372</v>
      </c>
      <c r="AB41" s="3">
        <v>308</v>
      </c>
      <c r="AC41" s="3">
        <v>331</v>
      </c>
      <c r="AD41" s="3">
        <v>348</v>
      </c>
      <c r="AE41" s="3">
        <v>357</v>
      </c>
      <c r="AF41" s="3">
        <v>374</v>
      </c>
      <c r="AG41" s="3">
        <v>384</v>
      </c>
      <c r="AH41" s="3">
        <v>393</v>
      </c>
      <c r="AI41" s="3">
        <v>400</v>
      </c>
      <c r="AJ41" s="3">
        <v>407</v>
      </c>
      <c r="AK41" s="3">
        <v>414</v>
      </c>
    </row>
    <row r="42" spans="1:37" x14ac:dyDescent="0.3">
      <c r="A42" s="7" t="s">
        <v>158</v>
      </c>
      <c r="B42" s="3">
        <v>4</v>
      </c>
      <c r="C42" s="3">
        <v>2</v>
      </c>
      <c r="D42" s="3">
        <v>2</v>
      </c>
      <c r="E42" s="3">
        <v>4</v>
      </c>
      <c r="F42" s="3">
        <v>4</v>
      </c>
      <c r="G42" s="3">
        <v>3</v>
      </c>
      <c r="H42" s="3">
        <v>3</v>
      </c>
      <c r="I42" s="3">
        <v>2</v>
      </c>
      <c r="J42" s="3">
        <v>6</v>
      </c>
      <c r="K42" s="3">
        <v>7</v>
      </c>
      <c r="L42" s="3">
        <v>5</v>
      </c>
      <c r="M42" s="3">
        <v>6</v>
      </c>
      <c r="N42" s="3">
        <v>11</v>
      </c>
      <c r="O42" s="3">
        <v>15</v>
      </c>
      <c r="P42" s="3">
        <v>16</v>
      </c>
      <c r="Q42" s="3">
        <v>23</v>
      </c>
      <c r="R42" s="3">
        <v>10</v>
      </c>
      <c r="S42" s="3">
        <v>10</v>
      </c>
      <c r="T42" s="3">
        <v>25</v>
      </c>
      <c r="U42" s="3">
        <v>19</v>
      </c>
      <c r="V42" s="3">
        <v>8</v>
      </c>
      <c r="W42" s="3">
        <v>5</v>
      </c>
      <c r="X42" s="3">
        <v>11</v>
      </c>
      <c r="Y42" s="3">
        <v>11</v>
      </c>
      <c r="Z42" s="3">
        <v>12</v>
      </c>
      <c r="AA42" s="3">
        <v>18</v>
      </c>
      <c r="AB42" s="3">
        <v>14</v>
      </c>
      <c r="AC42" s="3">
        <v>20</v>
      </c>
      <c r="AD42" s="3">
        <v>21</v>
      </c>
      <c r="AE42" s="3">
        <v>18</v>
      </c>
      <c r="AF42" s="3">
        <v>19</v>
      </c>
      <c r="AG42" s="3">
        <v>19</v>
      </c>
      <c r="AH42" s="3">
        <v>20</v>
      </c>
      <c r="AI42" s="3">
        <v>20</v>
      </c>
      <c r="AJ42" s="3">
        <v>20</v>
      </c>
      <c r="AK42" s="3">
        <v>21</v>
      </c>
    </row>
    <row r="43" spans="1:37" x14ac:dyDescent="0.3">
      <c r="A43" s="14" t="s">
        <v>159</v>
      </c>
      <c r="B43" s="3">
        <v>752</v>
      </c>
      <c r="C43" s="3">
        <v>631</v>
      </c>
      <c r="D43" s="3">
        <v>493</v>
      </c>
      <c r="E43" s="3">
        <v>516</v>
      </c>
      <c r="F43" s="3">
        <v>553</v>
      </c>
      <c r="G43" s="3">
        <v>639</v>
      </c>
      <c r="H43" s="3">
        <v>566</v>
      </c>
      <c r="I43" s="3">
        <v>628</v>
      </c>
      <c r="J43" s="3">
        <v>630</v>
      </c>
      <c r="K43" s="3">
        <v>531</v>
      </c>
      <c r="L43" s="3">
        <v>484</v>
      </c>
      <c r="M43" s="3">
        <v>638</v>
      </c>
      <c r="N43" s="3">
        <v>717</v>
      </c>
      <c r="O43" s="3">
        <v>561</v>
      </c>
      <c r="P43" s="3">
        <v>460</v>
      </c>
      <c r="Q43" s="3">
        <v>397</v>
      </c>
      <c r="R43" s="3">
        <v>321</v>
      </c>
      <c r="S43" s="3">
        <v>336</v>
      </c>
      <c r="T43" s="3">
        <v>330</v>
      </c>
      <c r="U43" s="3">
        <v>265</v>
      </c>
      <c r="V43" s="3">
        <v>181</v>
      </c>
      <c r="W43" s="3">
        <v>102</v>
      </c>
      <c r="X43" s="3">
        <v>96</v>
      </c>
      <c r="Y43" s="3">
        <v>57</v>
      </c>
      <c r="Z43" s="3">
        <v>14</v>
      </c>
      <c r="AA43" s="3">
        <v>-39</v>
      </c>
      <c r="AB43" s="3">
        <v>181</v>
      </c>
      <c r="AC43" s="3">
        <v>529</v>
      </c>
      <c r="AD43" s="3">
        <v>385</v>
      </c>
      <c r="AE43" s="3">
        <v>113</v>
      </c>
      <c r="AF43" s="3">
        <v>173</v>
      </c>
      <c r="AG43" s="3">
        <v>222</v>
      </c>
      <c r="AH43" s="3">
        <v>267</v>
      </c>
      <c r="AI43" s="3">
        <v>313</v>
      </c>
      <c r="AJ43" s="3">
        <v>376</v>
      </c>
      <c r="AK43" s="3">
        <v>431</v>
      </c>
    </row>
    <row r="44" spans="1:37" x14ac:dyDescent="0.3">
      <c r="A44" s="11" t="s">
        <v>160</v>
      </c>
      <c r="B44" s="11">
        <v>291</v>
      </c>
      <c r="C44" s="11">
        <v>182</v>
      </c>
      <c r="D44" s="11">
        <v>209</v>
      </c>
      <c r="E44" s="11">
        <v>40</v>
      </c>
      <c r="F44" s="11">
        <v>-772</v>
      </c>
      <c r="G44" s="11">
        <v>-208</v>
      </c>
      <c r="H44" s="11">
        <v>-344</v>
      </c>
      <c r="I44" s="11">
        <v>-124</v>
      </c>
      <c r="J44" s="11">
        <v>157</v>
      </c>
      <c r="K44" s="11">
        <v>22</v>
      </c>
      <c r="L44" s="11">
        <v>-113</v>
      </c>
      <c r="M44" s="11">
        <v>534</v>
      </c>
      <c r="N44" s="11">
        <v>847</v>
      </c>
      <c r="O44" s="11">
        <v>220</v>
      </c>
      <c r="P44" s="11">
        <v>-193</v>
      </c>
      <c r="Q44" s="11">
        <v>-547</v>
      </c>
      <c r="R44" s="11">
        <v>-1840</v>
      </c>
      <c r="S44" s="11">
        <v>-808</v>
      </c>
      <c r="T44" s="11">
        <v>-476</v>
      </c>
      <c r="U44" s="11">
        <v>495</v>
      </c>
      <c r="V44" s="11">
        <v>858</v>
      </c>
      <c r="W44" s="11">
        <v>871</v>
      </c>
      <c r="X44" s="11">
        <v>-808</v>
      </c>
      <c r="Y44" s="11">
        <v>-278</v>
      </c>
      <c r="Z44" s="11">
        <v>356</v>
      </c>
      <c r="AA44" s="11">
        <v>-69</v>
      </c>
      <c r="AB44" s="11">
        <v>-512</v>
      </c>
      <c r="AC44" s="11">
        <v>232</v>
      </c>
      <c r="AD44" s="11">
        <v>-1098</v>
      </c>
      <c r="AE44" s="11">
        <v>-368</v>
      </c>
      <c r="AF44" s="11">
        <v>-273</v>
      </c>
      <c r="AG44" s="11">
        <v>-243</v>
      </c>
      <c r="AH44" s="11">
        <v>-170</v>
      </c>
      <c r="AI44" s="11">
        <v>-446</v>
      </c>
      <c r="AJ44" s="11">
        <v>-1106</v>
      </c>
      <c r="AK44" s="11">
        <v>-289</v>
      </c>
    </row>
    <row r="45" spans="1:37" x14ac:dyDescent="0.3">
      <c r="A45" s="7" t="s">
        <v>161</v>
      </c>
      <c r="B45" s="3">
        <v>1652</v>
      </c>
      <c r="C45" s="3">
        <v>1573</v>
      </c>
      <c r="D45" s="3">
        <v>1724</v>
      </c>
      <c r="E45" s="3">
        <v>1958</v>
      </c>
      <c r="F45" s="3">
        <v>1194</v>
      </c>
      <c r="G45" s="3">
        <v>1570</v>
      </c>
      <c r="H45" s="3">
        <v>1231</v>
      </c>
      <c r="I45" s="3">
        <v>2079</v>
      </c>
      <c r="J45" s="3">
        <v>2006</v>
      </c>
      <c r="K45" s="3">
        <v>2147</v>
      </c>
      <c r="L45" s="3">
        <v>2360</v>
      </c>
      <c r="M45" s="3">
        <v>2836</v>
      </c>
      <c r="N45" s="3">
        <v>2415</v>
      </c>
      <c r="O45" s="3">
        <v>2783</v>
      </c>
      <c r="P45" s="3">
        <v>2257</v>
      </c>
      <c r="Q45" s="3">
        <v>2183</v>
      </c>
      <c r="R45" s="3">
        <v>1389</v>
      </c>
      <c r="S45" s="3">
        <v>1906</v>
      </c>
      <c r="T45" s="3">
        <v>1796</v>
      </c>
      <c r="U45" s="3">
        <v>2761</v>
      </c>
      <c r="V45" s="3">
        <v>3103</v>
      </c>
      <c r="W45" s="3">
        <v>3560</v>
      </c>
      <c r="X45" s="3">
        <v>2700</v>
      </c>
      <c r="Y45" s="3">
        <v>3309</v>
      </c>
      <c r="Z45" s="3">
        <v>3482</v>
      </c>
      <c r="AA45" s="3">
        <v>2658</v>
      </c>
      <c r="AB45" s="3">
        <v>2956</v>
      </c>
      <c r="AC45" s="3">
        <v>4158</v>
      </c>
      <c r="AD45" s="3">
        <v>3099</v>
      </c>
      <c r="AE45" s="3">
        <v>3784</v>
      </c>
      <c r="AF45" s="3">
        <v>3773</v>
      </c>
      <c r="AG45" s="3">
        <v>3865</v>
      </c>
      <c r="AH45" s="3">
        <v>4085</v>
      </c>
      <c r="AI45" s="3">
        <v>4378</v>
      </c>
      <c r="AJ45" s="3">
        <v>4437</v>
      </c>
      <c r="AK45" s="3">
        <v>4619</v>
      </c>
    </row>
    <row r="46" spans="1:37" x14ac:dyDescent="0.3">
      <c r="A46" s="11" t="s">
        <v>162</v>
      </c>
      <c r="B46" s="11">
        <v>1043</v>
      </c>
      <c r="C46" s="11">
        <v>813</v>
      </c>
      <c r="D46" s="11">
        <v>701</v>
      </c>
      <c r="E46" s="11">
        <v>556</v>
      </c>
      <c r="F46" s="11">
        <v>-220</v>
      </c>
      <c r="G46" s="11">
        <v>431</v>
      </c>
      <c r="H46" s="11">
        <v>222</v>
      </c>
      <c r="I46" s="11">
        <v>504</v>
      </c>
      <c r="J46" s="11">
        <v>787</v>
      </c>
      <c r="K46" s="11">
        <v>553</v>
      </c>
      <c r="L46" s="11">
        <v>371</v>
      </c>
      <c r="M46" s="11">
        <v>1173</v>
      </c>
      <c r="N46" s="11">
        <v>1565</v>
      </c>
      <c r="O46" s="11">
        <v>780</v>
      </c>
      <c r="P46" s="11">
        <v>267</v>
      </c>
      <c r="Q46" s="11">
        <v>-150</v>
      </c>
      <c r="R46" s="11">
        <v>-1520</v>
      </c>
      <c r="S46" s="11">
        <v>-472</v>
      </c>
      <c r="T46" s="11">
        <v>-145</v>
      </c>
      <c r="U46" s="11">
        <v>760</v>
      </c>
      <c r="V46" s="11">
        <v>1039</v>
      </c>
      <c r="W46" s="11">
        <v>973</v>
      </c>
      <c r="X46" s="11">
        <v>-712</v>
      </c>
      <c r="Y46" s="11">
        <v>-221</v>
      </c>
      <c r="Z46" s="11">
        <v>370</v>
      </c>
      <c r="AA46" s="11">
        <v>-109</v>
      </c>
      <c r="AB46" s="11">
        <v>-331</v>
      </c>
      <c r="AC46" s="11">
        <v>760</v>
      </c>
      <c r="AD46" s="11">
        <v>-713</v>
      </c>
      <c r="AE46" s="11">
        <v>-255</v>
      </c>
      <c r="AF46" s="11">
        <v>-100</v>
      </c>
      <c r="AG46" s="11">
        <v>-21</v>
      </c>
      <c r="AH46" s="11">
        <v>97</v>
      </c>
      <c r="AI46" s="11">
        <v>-133</v>
      </c>
      <c r="AJ46" s="11">
        <v>-730</v>
      </c>
      <c r="AK46" s="11">
        <v>142</v>
      </c>
    </row>
    <row r="47" spans="1:37" x14ac:dyDescent="0.3">
      <c r="A47" s="3" t="s">
        <v>175</v>
      </c>
      <c r="B47" s="3">
        <v>9421</v>
      </c>
      <c r="C47" s="3">
        <v>9844</v>
      </c>
      <c r="D47" s="3">
        <v>10012</v>
      </c>
      <c r="E47" s="3">
        <v>10417</v>
      </c>
      <c r="F47" s="3">
        <v>11015</v>
      </c>
      <c r="G47" s="3">
        <v>11415</v>
      </c>
      <c r="H47" s="3">
        <v>12792</v>
      </c>
      <c r="I47" s="3">
        <v>13241</v>
      </c>
      <c r="J47" s="3">
        <v>13552</v>
      </c>
      <c r="K47" s="3">
        <v>14404</v>
      </c>
      <c r="L47" s="3">
        <v>15110</v>
      </c>
      <c r="M47" s="3">
        <v>15560</v>
      </c>
      <c r="N47" s="3">
        <v>16454</v>
      </c>
      <c r="O47" s="3">
        <v>17337</v>
      </c>
      <c r="P47" s="3">
        <v>18106</v>
      </c>
      <c r="Q47" s="3">
        <v>18887</v>
      </c>
      <c r="R47" s="3">
        <v>19800</v>
      </c>
      <c r="S47" s="3">
        <v>20224</v>
      </c>
      <c r="T47" s="3">
        <v>20298</v>
      </c>
      <c r="U47" s="3">
        <v>20166</v>
      </c>
      <c r="V47" s="3">
        <v>20820</v>
      </c>
      <c r="W47" s="3">
        <v>21233</v>
      </c>
      <c r="X47" s="3">
        <v>22398</v>
      </c>
      <c r="Y47" s="3">
        <v>22968</v>
      </c>
      <c r="Z47" s="3">
        <v>24135</v>
      </c>
      <c r="AA47" s="3">
        <v>25285</v>
      </c>
      <c r="AB47" s="3">
        <v>27714</v>
      </c>
      <c r="AC47" s="3">
        <v>29396</v>
      </c>
      <c r="AD47" s="3">
        <v>31131</v>
      </c>
      <c r="AE47" s="3">
        <v>32255</v>
      </c>
      <c r="AF47" s="3">
        <v>32969</v>
      </c>
      <c r="AG47" s="3">
        <v>33942</v>
      </c>
      <c r="AH47" s="3">
        <v>34740</v>
      </c>
      <c r="AI47" s="3">
        <v>35397</v>
      </c>
      <c r="AJ47" s="3">
        <v>36201</v>
      </c>
      <c r="AK47" s="3">
        <v>37003</v>
      </c>
    </row>
  </sheetData>
  <mergeCells count="1">
    <mergeCell ref="A1:AK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29A09-0CFD-47DD-9889-DE3CEC952FEA}">
  <dimension ref="A1:AK47"/>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24" width="6" style="1" bestFit="1" customWidth="1"/>
    <col min="25" max="37" width="7" style="1" bestFit="1" customWidth="1"/>
    <col min="38" max="16384" width="9.109375" style="1"/>
  </cols>
  <sheetData>
    <row r="1" spans="1:37" ht="15" customHeight="1" x14ac:dyDescent="0.3">
      <c r="A1" s="28" t="s">
        <v>120</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 t="s">
        <v>78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121</v>
      </c>
      <c r="B4" s="12">
        <v>39284</v>
      </c>
      <c r="C4" s="12">
        <v>40869</v>
      </c>
      <c r="D4" s="12">
        <v>42388</v>
      </c>
      <c r="E4" s="12">
        <v>44466</v>
      </c>
      <c r="F4" s="12">
        <v>45555</v>
      </c>
      <c r="G4" s="12">
        <v>48511</v>
      </c>
      <c r="H4" s="12">
        <v>50201</v>
      </c>
      <c r="I4" s="12">
        <v>51094</v>
      </c>
      <c r="J4" s="12">
        <v>56020</v>
      </c>
      <c r="K4" s="12">
        <v>58350</v>
      </c>
      <c r="L4" s="12">
        <v>61594</v>
      </c>
      <c r="M4" s="12">
        <v>64965</v>
      </c>
      <c r="N4" s="12">
        <v>69919</v>
      </c>
      <c r="O4" s="12">
        <v>70845</v>
      </c>
      <c r="P4" s="12">
        <v>75730</v>
      </c>
      <c r="Q4" s="12">
        <v>80028</v>
      </c>
      <c r="R4" s="12">
        <v>83797</v>
      </c>
      <c r="S4" s="12">
        <v>86865</v>
      </c>
      <c r="T4" s="12">
        <v>89012</v>
      </c>
      <c r="U4" s="12">
        <v>77968</v>
      </c>
      <c r="V4" s="12">
        <v>90776</v>
      </c>
      <c r="W4" s="12">
        <v>94461</v>
      </c>
      <c r="X4" s="12">
        <v>96404</v>
      </c>
      <c r="Y4" s="12">
        <v>100767</v>
      </c>
      <c r="Z4" s="12">
        <v>113829</v>
      </c>
      <c r="AA4" s="12">
        <v>115100</v>
      </c>
      <c r="AB4" s="12">
        <v>117082</v>
      </c>
      <c r="AC4" s="12">
        <v>129424</v>
      </c>
      <c r="AD4" s="12">
        <v>135821</v>
      </c>
      <c r="AE4" s="12">
        <v>141959</v>
      </c>
      <c r="AF4" s="12">
        <v>144091</v>
      </c>
      <c r="AG4" s="12">
        <v>152111</v>
      </c>
      <c r="AH4" s="12">
        <v>156986</v>
      </c>
      <c r="AI4" s="12">
        <v>162230</v>
      </c>
      <c r="AJ4" s="12">
        <v>167904</v>
      </c>
      <c r="AK4" s="12">
        <v>173365</v>
      </c>
    </row>
    <row r="5" spans="1:37" x14ac:dyDescent="0.3">
      <c r="A5" s="14" t="s">
        <v>122</v>
      </c>
      <c r="B5" s="3">
        <v>29879</v>
      </c>
      <c r="C5" s="3">
        <v>31430</v>
      </c>
      <c r="D5" s="3">
        <v>32843</v>
      </c>
      <c r="E5" s="3">
        <v>34043</v>
      </c>
      <c r="F5" s="3">
        <v>34963</v>
      </c>
      <c r="G5" s="3">
        <v>36588</v>
      </c>
      <c r="H5" s="3">
        <v>38490</v>
      </c>
      <c r="I5" s="3">
        <v>38988</v>
      </c>
      <c r="J5" s="3">
        <v>40531</v>
      </c>
      <c r="K5" s="3">
        <v>41625</v>
      </c>
      <c r="L5" s="3">
        <v>43558</v>
      </c>
      <c r="M5" s="3">
        <v>46049</v>
      </c>
      <c r="N5" s="3">
        <v>48769</v>
      </c>
      <c r="O5" s="3">
        <v>49681</v>
      </c>
      <c r="P5" s="3">
        <v>50721</v>
      </c>
      <c r="Q5" s="3">
        <v>53258</v>
      </c>
      <c r="R5" s="3">
        <v>55590</v>
      </c>
      <c r="S5" s="3">
        <v>56985</v>
      </c>
      <c r="T5" s="3">
        <v>57709</v>
      </c>
      <c r="U5" s="3">
        <v>59321</v>
      </c>
      <c r="V5" s="3">
        <v>60775</v>
      </c>
      <c r="W5" s="3">
        <v>62438</v>
      </c>
      <c r="X5" s="3">
        <v>63893</v>
      </c>
      <c r="Y5" s="3">
        <v>66166</v>
      </c>
      <c r="Z5" s="3">
        <v>65073</v>
      </c>
      <c r="AA5" s="3">
        <v>68684</v>
      </c>
      <c r="AB5" s="3">
        <v>74161</v>
      </c>
      <c r="AC5" s="3">
        <v>80282</v>
      </c>
      <c r="AD5" s="3">
        <v>84288</v>
      </c>
      <c r="AE5" s="3">
        <v>86920</v>
      </c>
      <c r="AF5" s="3">
        <v>89271</v>
      </c>
      <c r="AG5" s="3">
        <v>93313</v>
      </c>
      <c r="AH5" s="3">
        <v>96073</v>
      </c>
      <c r="AI5" s="3">
        <v>98822</v>
      </c>
      <c r="AJ5" s="3">
        <v>101952</v>
      </c>
      <c r="AK5" s="3">
        <v>104982</v>
      </c>
    </row>
    <row r="6" spans="1:37" x14ac:dyDescent="0.3">
      <c r="A6" s="7" t="s">
        <v>123</v>
      </c>
      <c r="B6" s="3">
        <v>851</v>
      </c>
      <c r="C6" s="3">
        <v>1437</v>
      </c>
      <c r="D6" s="3">
        <v>1538</v>
      </c>
      <c r="E6" s="3">
        <v>1549</v>
      </c>
      <c r="F6" s="3">
        <v>1618</v>
      </c>
      <c r="G6" s="3">
        <v>1698</v>
      </c>
      <c r="H6" s="3">
        <v>1866</v>
      </c>
      <c r="I6" s="3">
        <v>1933</v>
      </c>
      <c r="J6" s="3">
        <v>2281</v>
      </c>
      <c r="K6" s="3">
        <v>2296</v>
      </c>
      <c r="L6" s="3">
        <v>2402</v>
      </c>
      <c r="M6" s="3">
        <v>2428</v>
      </c>
      <c r="N6" s="3">
        <v>2567</v>
      </c>
      <c r="O6" s="3">
        <v>2608</v>
      </c>
      <c r="P6" s="3">
        <v>2671</v>
      </c>
      <c r="Q6" s="3">
        <v>2775</v>
      </c>
      <c r="R6" s="3">
        <v>2835</v>
      </c>
      <c r="S6" s="3">
        <v>2951</v>
      </c>
      <c r="T6" s="3">
        <v>2919</v>
      </c>
      <c r="U6" s="3">
        <v>2952</v>
      </c>
      <c r="V6" s="3">
        <v>3040</v>
      </c>
      <c r="W6" s="3">
        <v>3000</v>
      </c>
      <c r="X6" s="3">
        <v>3116</v>
      </c>
      <c r="Y6" s="3">
        <v>3306</v>
      </c>
      <c r="Z6" s="3">
        <v>3133</v>
      </c>
      <c r="AA6" s="3">
        <v>3411</v>
      </c>
      <c r="AB6" s="3">
        <v>3417</v>
      </c>
      <c r="AC6" s="3">
        <v>3590</v>
      </c>
      <c r="AD6" s="3">
        <v>4047</v>
      </c>
      <c r="AE6" s="3">
        <v>4134</v>
      </c>
      <c r="AF6" s="3">
        <v>4455</v>
      </c>
      <c r="AG6" s="3">
        <v>4670</v>
      </c>
      <c r="AH6" s="3">
        <v>4438</v>
      </c>
      <c r="AI6" s="3">
        <v>4606</v>
      </c>
      <c r="AJ6" s="3">
        <v>4782</v>
      </c>
      <c r="AK6" s="3">
        <v>4953</v>
      </c>
    </row>
    <row r="7" spans="1:37" x14ac:dyDescent="0.3">
      <c r="A7" s="16" t="s">
        <v>124</v>
      </c>
      <c r="B7" s="3">
        <v>512</v>
      </c>
      <c r="C7" s="3">
        <v>705</v>
      </c>
      <c r="D7" s="3">
        <v>800</v>
      </c>
      <c r="E7" s="3">
        <v>797</v>
      </c>
      <c r="F7" s="3">
        <v>784</v>
      </c>
      <c r="G7" s="3">
        <v>853</v>
      </c>
      <c r="H7" s="3">
        <v>895</v>
      </c>
      <c r="I7" s="3">
        <v>944</v>
      </c>
      <c r="J7" s="3">
        <v>1052</v>
      </c>
      <c r="K7" s="3">
        <v>1054</v>
      </c>
      <c r="L7" s="3">
        <v>1104</v>
      </c>
      <c r="M7" s="3">
        <v>1206</v>
      </c>
      <c r="N7" s="3">
        <v>1247</v>
      </c>
      <c r="O7" s="3">
        <v>1316</v>
      </c>
      <c r="P7" s="3">
        <v>1326</v>
      </c>
      <c r="Q7" s="3">
        <v>1350</v>
      </c>
      <c r="R7" s="3">
        <v>1412</v>
      </c>
      <c r="S7" s="3">
        <v>1425</v>
      </c>
      <c r="T7" s="3">
        <v>1425</v>
      </c>
      <c r="U7" s="3">
        <v>1424</v>
      </c>
      <c r="V7" s="3">
        <v>1520</v>
      </c>
      <c r="W7" s="3">
        <v>1501</v>
      </c>
      <c r="X7" s="3">
        <v>1550</v>
      </c>
      <c r="Y7" s="3">
        <v>1572</v>
      </c>
      <c r="Z7" s="3">
        <v>1520</v>
      </c>
      <c r="AA7" s="3">
        <v>1648</v>
      </c>
      <c r="AB7" s="3">
        <v>1690</v>
      </c>
      <c r="AC7" s="3">
        <v>1732</v>
      </c>
      <c r="AD7" s="3">
        <v>1792</v>
      </c>
      <c r="AE7" s="3">
        <v>1809</v>
      </c>
      <c r="AF7" s="3">
        <v>1893</v>
      </c>
      <c r="AG7" s="3">
        <v>2020</v>
      </c>
      <c r="AH7" s="3">
        <v>1705</v>
      </c>
      <c r="AI7" s="3">
        <v>1789</v>
      </c>
      <c r="AJ7" s="3">
        <v>1882</v>
      </c>
      <c r="AK7" s="3">
        <v>1970</v>
      </c>
    </row>
    <row r="8" spans="1:37" x14ac:dyDescent="0.3">
      <c r="A8" s="9" t="s">
        <v>125</v>
      </c>
      <c r="B8" s="3">
        <v>394</v>
      </c>
      <c r="C8" s="3">
        <v>484</v>
      </c>
      <c r="D8" s="3">
        <v>570</v>
      </c>
      <c r="E8" s="3">
        <v>582</v>
      </c>
      <c r="F8" s="3">
        <v>602</v>
      </c>
      <c r="G8" s="3">
        <v>670</v>
      </c>
      <c r="H8" s="3">
        <v>690</v>
      </c>
      <c r="I8" s="3">
        <v>744</v>
      </c>
      <c r="J8" s="3">
        <v>820</v>
      </c>
      <c r="K8" s="3">
        <v>825</v>
      </c>
      <c r="L8" s="3">
        <v>850</v>
      </c>
      <c r="M8" s="3">
        <v>957</v>
      </c>
      <c r="N8" s="3">
        <v>970</v>
      </c>
      <c r="O8" s="3">
        <v>1048</v>
      </c>
      <c r="P8" s="3">
        <v>1032</v>
      </c>
      <c r="Q8" s="3">
        <v>1069</v>
      </c>
      <c r="R8" s="3">
        <v>1094</v>
      </c>
      <c r="S8" s="3">
        <v>1116</v>
      </c>
      <c r="T8" s="3">
        <v>1116</v>
      </c>
      <c r="U8" s="3">
        <v>1106</v>
      </c>
      <c r="V8" s="3">
        <v>1198</v>
      </c>
      <c r="W8" s="3">
        <v>1209</v>
      </c>
      <c r="X8" s="3">
        <v>1253</v>
      </c>
      <c r="Y8" s="3">
        <v>1267</v>
      </c>
      <c r="Z8" s="3">
        <v>1223</v>
      </c>
      <c r="AA8" s="3">
        <v>1327</v>
      </c>
      <c r="AB8" s="3">
        <v>1347</v>
      </c>
      <c r="AC8" s="3">
        <v>1367</v>
      </c>
      <c r="AD8" s="3">
        <v>1371</v>
      </c>
      <c r="AE8" s="3">
        <v>1423</v>
      </c>
      <c r="AF8" s="3">
        <v>1503</v>
      </c>
      <c r="AG8" s="3">
        <v>1609</v>
      </c>
      <c r="AH8" s="3">
        <v>1278</v>
      </c>
      <c r="AI8" s="3">
        <v>1349</v>
      </c>
      <c r="AJ8" s="3">
        <v>1428</v>
      </c>
      <c r="AK8" s="3">
        <v>1502</v>
      </c>
    </row>
    <row r="9" spans="1:37" x14ac:dyDescent="0.3">
      <c r="A9" s="9" t="s">
        <v>126</v>
      </c>
      <c r="B9" s="3">
        <v>118</v>
      </c>
      <c r="C9" s="3">
        <v>221</v>
      </c>
      <c r="D9" s="3">
        <v>230</v>
      </c>
      <c r="E9" s="3">
        <v>214</v>
      </c>
      <c r="F9" s="3">
        <v>182</v>
      </c>
      <c r="G9" s="3">
        <v>183</v>
      </c>
      <c r="H9" s="3">
        <v>205</v>
      </c>
      <c r="I9" s="3">
        <v>199</v>
      </c>
      <c r="J9" s="3">
        <v>231</v>
      </c>
      <c r="K9" s="3">
        <v>229</v>
      </c>
      <c r="L9" s="3">
        <v>255</v>
      </c>
      <c r="M9" s="3">
        <v>249</v>
      </c>
      <c r="N9" s="3">
        <v>277</v>
      </c>
      <c r="O9" s="3">
        <v>269</v>
      </c>
      <c r="P9" s="3">
        <v>294</v>
      </c>
      <c r="Q9" s="3">
        <v>281</v>
      </c>
      <c r="R9" s="3">
        <v>318</v>
      </c>
      <c r="S9" s="3">
        <v>309</v>
      </c>
      <c r="T9" s="3">
        <v>309</v>
      </c>
      <c r="U9" s="3">
        <v>318</v>
      </c>
      <c r="V9" s="3">
        <v>322</v>
      </c>
      <c r="W9" s="3">
        <v>293</v>
      </c>
      <c r="X9" s="3">
        <v>297</v>
      </c>
      <c r="Y9" s="3">
        <v>305</v>
      </c>
      <c r="Z9" s="3">
        <v>297</v>
      </c>
      <c r="AA9" s="3">
        <v>321</v>
      </c>
      <c r="AB9" s="3">
        <v>343</v>
      </c>
      <c r="AC9" s="3">
        <v>365</v>
      </c>
      <c r="AD9" s="3">
        <v>421</v>
      </c>
      <c r="AE9" s="3">
        <v>386</v>
      </c>
      <c r="AF9" s="3">
        <v>391</v>
      </c>
      <c r="AG9" s="3">
        <v>411</v>
      </c>
      <c r="AH9" s="3">
        <v>427</v>
      </c>
      <c r="AI9" s="3">
        <v>440</v>
      </c>
      <c r="AJ9" s="3">
        <v>454</v>
      </c>
      <c r="AK9" s="3">
        <v>467</v>
      </c>
    </row>
    <row r="10" spans="1:37" x14ac:dyDescent="0.3">
      <c r="A10" s="16" t="s">
        <v>127</v>
      </c>
      <c r="B10" s="3">
        <v>339</v>
      </c>
      <c r="C10" s="3">
        <v>732</v>
      </c>
      <c r="D10" s="3">
        <v>738</v>
      </c>
      <c r="E10" s="3">
        <v>752</v>
      </c>
      <c r="F10" s="3">
        <v>834</v>
      </c>
      <c r="G10" s="3">
        <v>845</v>
      </c>
      <c r="H10" s="3">
        <v>972</v>
      </c>
      <c r="I10" s="3">
        <v>990</v>
      </c>
      <c r="J10" s="3">
        <v>1229</v>
      </c>
      <c r="K10" s="3">
        <v>1242</v>
      </c>
      <c r="L10" s="3">
        <v>1298</v>
      </c>
      <c r="M10" s="3">
        <v>1222</v>
      </c>
      <c r="N10" s="3">
        <v>1320</v>
      </c>
      <c r="O10" s="3">
        <v>1292</v>
      </c>
      <c r="P10" s="3">
        <v>1346</v>
      </c>
      <c r="Q10" s="3">
        <v>1425</v>
      </c>
      <c r="R10" s="3">
        <v>1424</v>
      </c>
      <c r="S10" s="3">
        <v>1526</v>
      </c>
      <c r="T10" s="3">
        <v>1495</v>
      </c>
      <c r="U10" s="3">
        <v>1529</v>
      </c>
      <c r="V10" s="3">
        <v>1520</v>
      </c>
      <c r="W10" s="3">
        <v>1498</v>
      </c>
      <c r="X10" s="3">
        <v>1566</v>
      </c>
      <c r="Y10" s="3">
        <v>1734</v>
      </c>
      <c r="Z10" s="3">
        <v>1612</v>
      </c>
      <c r="AA10" s="3">
        <v>1763</v>
      </c>
      <c r="AB10" s="3">
        <v>1727</v>
      </c>
      <c r="AC10" s="3">
        <v>1859</v>
      </c>
      <c r="AD10" s="3">
        <v>2255</v>
      </c>
      <c r="AE10" s="3">
        <v>2325</v>
      </c>
      <c r="AF10" s="3">
        <v>2562</v>
      </c>
      <c r="AG10" s="3">
        <v>2649</v>
      </c>
      <c r="AH10" s="3">
        <v>2734</v>
      </c>
      <c r="AI10" s="3">
        <v>2817</v>
      </c>
      <c r="AJ10" s="3">
        <v>2900</v>
      </c>
      <c r="AK10" s="3">
        <v>2984</v>
      </c>
    </row>
    <row r="11" spans="1:37" x14ac:dyDescent="0.3">
      <c r="A11" s="7" t="s">
        <v>128</v>
      </c>
      <c r="B11" s="3">
        <v>29028</v>
      </c>
      <c r="C11" s="3">
        <v>29992</v>
      </c>
      <c r="D11" s="3">
        <v>31305</v>
      </c>
      <c r="E11" s="3">
        <v>32494</v>
      </c>
      <c r="F11" s="3">
        <v>33346</v>
      </c>
      <c r="G11" s="3">
        <v>34890</v>
      </c>
      <c r="H11" s="3">
        <v>36624</v>
      </c>
      <c r="I11" s="3">
        <v>37055</v>
      </c>
      <c r="J11" s="3">
        <v>38250</v>
      </c>
      <c r="K11" s="3">
        <v>39329</v>
      </c>
      <c r="L11" s="3">
        <v>41156</v>
      </c>
      <c r="M11" s="3">
        <v>43621</v>
      </c>
      <c r="N11" s="3">
        <v>46202</v>
      </c>
      <c r="O11" s="3">
        <v>47073</v>
      </c>
      <c r="P11" s="3">
        <v>48049</v>
      </c>
      <c r="Q11" s="3">
        <v>50482</v>
      </c>
      <c r="R11" s="3">
        <v>52756</v>
      </c>
      <c r="S11" s="3">
        <v>54034</v>
      </c>
      <c r="T11" s="3">
        <v>54790</v>
      </c>
      <c r="U11" s="3">
        <v>56369</v>
      </c>
      <c r="V11" s="3">
        <v>57736</v>
      </c>
      <c r="W11" s="3">
        <v>59438</v>
      </c>
      <c r="X11" s="3">
        <v>60777</v>
      </c>
      <c r="Y11" s="3">
        <v>62859</v>
      </c>
      <c r="Z11" s="3">
        <v>61941</v>
      </c>
      <c r="AA11" s="3">
        <v>65274</v>
      </c>
      <c r="AB11" s="3">
        <v>70744</v>
      </c>
      <c r="AC11" s="3">
        <v>76692</v>
      </c>
      <c r="AD11" s="3">
        <v>80241</v>
      </c>
      <c r="AE11" s="3">
        <v>82786</v>
      </c>
      <c r="AF11" s="3">
        <v>84816</v>
      </c>
      <c r="AG11" s="3">
        <v>88644</v>
      </c>
      <c r="AH11" s="3">
        <v>91635</v>
      </c>
      <c r="AI11" s="3">
        <v>94216</v>
      </c>
      <c r="AJ11" s="3">
        <v>97170</v>
      </c>
      <c r="AK11" s="3">
        <v>100029</v>
      </c>
    </row>
    <row r="12" spans="1:37" x14ac:dyDescent="0.3">
      <c r="A12" s="14" t="s">
        <v>129</v>
      </c>
      <c r="B12" s="3">
        <v>569</v>
      </c>
      <c r="C12" s="3">
        <v>516</v>
      </c>
      <c r="D12" s="3">
        <v>499</v>
      </c>
      <c r="E12" s="3">
        <v>879</v>
      </c>
      <c r="F12" s="3">
        <v>591</v>
      </c>
      <c r="G12" s="3">
        <v>628</v>
      </c>
      <c r="H12" s="3">
        <v>748</v>
      </c>
      <c r="I12" s="3">
        <v>620</v>
      </c>
      <c r="J12" s="3">
        <v>666</v>
      </c>
      <c r="K12" s="3">
        <v>631</v>
      </c>
      <c r="L12" s="3">
        <v>566</v>
      </c>
      <c r="M12" s="3">
        <v>623</v>
      </c>
      <c r="N12" s="3">
        <v>691</v>
      </c>
      <c r="O12" s="3">
        <v>764</v>
      </c>
      <c r="P12" s="3">
        <v>719</v>
      </c>
      <c r="Q12" s="3">
        <v>858</v>
      </c>
      <c r="R12" s="3">
        <v>907</v>
      </c>
      <c r="S12" s="3">
        <v>904</v>
      </c>
      <c r="T12" s="3">
        <v>898</v>
      </c>
      <c r="U12" s="3">
        <v>912</v>
      </c>
      <c r="V12" s="3">
        <v>976</v>
      </c>
      <c r="W12" s="3">
        <v>894</v>
      </c>
      <c r="X12" s="3">
        <v>885</v>
      </c>
      <c r="Y12" s="3">
        <v>866</v>
      </c>
      <c r="Z12" s="3">
        <v>893</v>
      </c>
      <c r="AA12" s="3">
        <v>909</v>
      </c>
      <c r="AB12" s="3">
        <v>1162</v>
      </c>
      <c r="AC12" s="3">
        <v>1466</v>
      </c>
      <c r="AD12" s="3">
        <v>1323</v>
      </c>
      <c r="AE12" s="3">
        <v>1226</v>
      </c>
      <c r="AF12" s="3">
        <v>1234</v>
      </c>
      <c r="AG12" s="3">
        <v>1255</v>
      </c>
      <c r="AH12" s="3">
        <v>1276</v>
      </c>
      <c r="AI12" s="3">
        <v>1294</v>
      </c>
      <c r="AJ12" s="3">
        <v>1313</v>
      </c>
      <c r="AK12" s="3">
        <v>1332</v>
      </c>
    </row>
    <row r="13" spans="1:37" x14ac:dyDescent="0.3">
      <c r="A13" s="7" t="s">
        <v>130</v>
      </c>
      <c r="B13" s="3">
        <v>310</v>
      </c>
      <c r="C13" s="3">
        <v>290</v>
      </c>
      <c r="D13" s="3">
        <v>277</v>
      </c>
      <c r="E13" s="3">
        <v>297</v>
      </c>
      <c r="F13" s="3">
        <v>304</v>
      </c>
      <c r="G13" s="3">
        <v>384</v>
      </c>
      <c r="H13" s="3">
        <v>467</v>
      </c>
      <c r="I13" s="3">
        <v>366</v>
      </c>
      <c r="J13" s="3">
        <v>324</v>
      </c>
      <c r="K13" s="3">
        <v>322</v>
      </c>
      <c r="L13" s="3">
        <v>328</v>
      </c>
      <c r="M13" s="3">
        <v>354</v>
      </c>
      <c r="N13" s="3">
        <v>376</v>
      </c>
      <c r="O13" s="3">
        <v>367</v>
      </c>
      <c r="P13" s="3">
        <v>338</v>
      </c>
      <c r="Q13" s="3">
        <v>409</v>
      </c>
      <c r="R13" s="3">
        <v>459</v>
      </c>
      <c r="S13" s="3">
        <v>437</v>
      </c>
      <c r="T13" s="3">
        <v>406</v>
      </c>
      <c r="U13" s="3">
        <v>412</v>
      </c>
      <c r="V13" s="3">
        <v>403</v>
      </c>
      <c r="W13" s="3">
        <v>360</v>
      </c>
      <c r="X13" s="3">
        <v>326</v>
      </c>
      <c r="Y13" s="3">
        <v>317</v>
      </c>
      <c r="Z13" s="3">
        <v>262</v>
      </c>
      <c r="AA13" s="3">
        <v>249</v>
      </c>
      <c r="AB13" s="3">
        <v>268</v>
      </c>
      <c r="AC13" s="3">
        <v>430</v>
      </c>
      <c r="AD13" s="3">
        <v>422</v>
      </c>
      <c r="AE13" s="3">
        <v>346</v>
      </c>
      <c r="AF13" s="3">
        <v>347</v>
      </c>
      <c r="AG13" s="3">
        <v>342</v>
      </c>
      <c r="AH13" s="3">
        <v>342</v>
      </c>
      <c r="AI13" s="3">
        <v>342</v>
      </c>
      <c r="AJ13" s="3">
        <v>342</v>
      </c>
      <c r="AK13" s="3">
        <v>342</v>
      </c>
    </row>
    <row r="14" spans="1:37" x14ac:dyDescent="0.3">
      <c r="A14" s="7" t="s">
        <v>131</v>
      </c>
      <c r="B14" s="3">
        <v>112</v>
      </c>
      <c r="C14" s="3">
        <v>95</v>
      </c>
      <c r="D14" s="3">
        <v>81</v>
      </c>
      <c r="E14" s="3">
        <v>81</v>
      </c>
      <c r="F14" s="3">
        <v>116</v>
      </c>
      <c r="G14" s="3">
        <v>76</v>
      </c>
      <c r="H14" s="3">
        <v>122</v>
      </c>
      <c r="I14" s="3">
        <v>75</v>
      </c>
      <c r="J14" s="3">
        <v>116</v>
      </c>
      <c r="K14" s="3">
        <v>99</v>
      </c>
      <c r="L14" s="3">
        <v>40</v>
      </c>
      <c r="M14" s="3">
        <v>44</v>
      </c>
      <c r="N14" s="3">
        <v>79</v>
      </c>
      <c r="O14" s="3">
        <v>107</v>
      </c>
      <c r="P14" s="3">
        <v>104</v>
      </c>
      <c r="Q14" s="3">
        <v>139</v>
      </c>
      <c r="R14" s="3">
        <v>119</v>
      </c>
      <c r="S14" s="3">
        <v>141</v>
      </c>
      <c r="T14" s="3">
        <v>152</v>
      </c>
      <c r="U14" s="3">
        <v>157</v>
      </c>
      <c r="V14" s="3">
        <v>216</v>
      </c>
      <c r="W14" s="3">
        <v>142</v>
      </c>
      <c r="X14" s="3">
        <v>141</v>
      </c>
      <c r="Y14" s="3">
        <v>136</v>
      </c>
      <c r="Z14" s="3">
        <v>118</v>
      </c>
      <c r="AA14" s="3">
        <v>149</v>
      </c>
      <c r="AB14" s="3">
        <v>177</v>
      </c>
      <c r="AC14" s="3">
        <v>151</v>
      </c>
      <c r="AD14" s="3">
        <v>134</v>
      </c>
      <c r="AE14" s="3">
        <v>136</v>
      </c>
      <c r="AF14" s="3">
        <v>141</v>
      </c>
      <c r="AG14" s="3">
        <v>147</v>
      </c>
      <c r="AH14" s="3">
        <v>152</v>
      </c>
      <c r="AI14" s="3">
        <v>157</v>
      </c>
      <c r="AJ14" s="3">
        <v>162</v>
      </c>
      <c r="AK14" s="3">
        <v>167</v>
      </c>
    </row>
    <row r="15" spans="1:37" x14ac:dyDescent="0.3">
      <c r="A15" s="7" t="s">
        <v>132</v>
      </c>
      <c r="B15" s="3">
        <v>40</v>
      </c>
      <c r="C15" s="3">
        <v>27</v>
      </c>
      <c r="D15" s="3">
        <v>30</v>
      </c>
      <c r="E15" s="3">
        <v>378</v>
      </c>
      <c r="F15" s="3">
        <v>46</v>
      </c>
      <c r="G15" s="3">
        <v>29</v>
      </c>
      <c r="H15" s="3">
        <v>28</v>
      </c>
      <c r="I15" s="3">
        <v>59</v>
      </c>
      <c r="J15" s="3">
        <v>87</v>
      </c>
      <c r="K15" s="3">
        <v>61</v>
      </c>
      <c r="L15" s="3">
        <v>30</v>
      </c>
      <c r="M15" s="3">
        <v>38</v>
      </c>
      <c r="N15" s="3">
        <v>38</v>
      </c>
      <c r="O15" s="3">
        <v>63</v>
      </c>
      <c r="P15" s="3">
        <v>33</v>
      </c>
      <c r="Q15" s="3">
        <v>42</v>
      </c>
      <c r="R15" s="3">
        <v>31</v>
      </c>
      <c r="S15" s="3">
        <v>36</v>
      </c>
      <c r="T15" s="3">
        <v>33</v>
      </c>
      <c r="U15" s="3">
        <v>39</v>
      </c>
      <c r="V15" s="3">
        <v>29</v>
      </c>
      <c r="W15" s="3">
        <v>38</v>
      </c>
      <c r="X15" s="3">
        <v>40</v>
      </c>
      <c r="Y15" s="3">
        <v>5</v>
      </c>
      <c r="Z15" s="3">
        <v>40</v>
      </c>
      <c r="AA15" s="3">
        <v>38</v>
      </c>
      <c r="AB15" s="3">
        <v>205</v>
      </c>
      <c r="AC15" s="3">
        <v>231</v>
      </c>
      <c r="AD15" s="3">
        <v>48</v>
      </c>
      <c r="AE15" s="3">
        <v>54</v>
      </c>
      <c r="AF15" s="3">
        <v>33</v>
      </c>
      <c r="AG15" s="3">
        <v>33</v>
      </c>
      <c r="AH15" s="3">
        <v>33</v>
      </c>
      <c r="AI15" s="3">
        <v>33</v>
      </c>
      <c r="AJ15" s="3">
        <v>33</v>
      </c>
      <c r="AK15" s="3">
        <v>33</v>
      </c>
    </row>
    <row r="16" spans="1:37" x14ac:dyDescent="0.3">
      <c r="A16" s="7" t="s">
        <v>133</v>
      </c>
      <c r="B16" s="3">
        <v>107</v>
      </c>
      <c r="C16" s="3">
        <v>104</v>
      </c>
      <c r="D16" s="3">
        <v>111</v>
      </c>
      <c r="E16" s="3">
        <v>123</v>
      </c>
      <c r="F16" s="3">
        <v>125</v>
      </c>
      <c r="G16" s="3">
        <v>139</v>
      </c>
      <c r="H16" s="3">
        <v>132</v>
      </c>
      <c r="I16" s="3">
        <v>120</v>
      </c>
      <c r="J16" s="3">
        <v>139</v>
      </c>
      <c r="K16" s="3">
        <v>149</v>
      </c>
      <c r="L16" s="3">
        <v>168</v>
      </c>
      <c r="M16" s="3">
        <v>186</v>
      </c>
      <c r="N16" s="3">
        <v>198</v>
      </c>
      <c r="O16" s="3">
        <v>227</v>
      </c>
      <c r="P16" s="3">
        <v>244</v>
      </c>
      <c r="Q16" s="3">
        <v>268</v>
      </c>
      <c r="R16" s="3">
        <v>298</v>
      </c>
      <c r="S16" s="3">
        <v>290</v>
      </c>
      <c r="T16" s="3">
        <v>307</v>
      </c>
      <c r="U16" s="3">
        <v>304</v>
      </c>
      <c r="V16" s="3">
        <v>327</v>
      </c>
      <c r="W16" s="3">
        <v>354</v>
      </c>
      <c r="X16" s="3">
        <v>378</v>
      </c>
      <c r="Y16" s="3">
        <v>408</v>
      </c>
      <c r="Z16" s="3">
        <v>474</v>
      </c>
      <c r="AA16" s="3">
        <v>473</v>
      </c>
      <c r="AB16" s="3">
        <v>513</v>
      </c>
      <c r="AC16" s="3">
        <v>654</v>
      </c>
      <c r="AD16" s="3">
        <v>720</v>
      </c>
      <c r="AE16" s="3">
        <v>690</v>
      </c>
      <c r="AF16" s="3">
        <v>713</v>
      </c>
      <c r="AG16" s="3">
        <v>733</v>
      </c>
      <c r="AH16" s="3">
        <v>749</v>
      </c>
      <c r="AI16" s="3">
        <v>763</v>
      </c>
      <c r="AJ16" s="3">
        <v>777</v>
      </c>
      <c r="AK16" s="3">
        <v>790</v>
      </c>
    </row>
    <row r="17" spans="1:37" x14ac:dyDescent="0.3">
      <c r="A17" s="14" t="s">
        <v>134</v>
      </c>
      <c r="B17" s="3">
        <v>4</v>
      </c>
      <c r="C17" s="3">
        <v>4</v>
      </c>
      <c r="D17" s="3">
        <v>4</v>
      </c>
      <c r="E17" s="3">
        <v>5</v>
      </c>
      <c r="F17" s="3">
        <v>5</v>
      </c>
      <c r="G17" s="3">
        <v>5</v>
      </c>
      <c r="H17" s="3">
        <v>5</v>
      </c>
      <c r="I17" s="3">
        <v>6</v>
      </c>
      <c r="J17" s="3">
        <v>6</v>
      </c>
      <c r="K17" s="3">
        <v>6</v>
      </c>
      <c r="L17" s="3">
        <v>6</v>
      </c>
      <c r="M17" s="3">
        <v>6</v>
      </c>
      <c r="N17" s="3">
        <v>7</v>
      </c>
      <c r="O17" s="3">
        <v>7</v>
      </c>
      <c r="P17" s="3">
        <v>7</v>
      </c>
      <c r="Q17" s="3">
        <v>7</v>
      </c>
      <c r="R17" s="3">
        <v>7</v>
      </c>
      <c r="S17" s="3">
        <v>7</v>
      </c>
      <c r="T17" s="3">
        <v>7</v>
      </c>
      <c r="U17" s="3">
        <v>0</v>
      </c>
      <c r="V17" s="3">
        <v>0</v>
      </c>
      <c r="W17" s="3">
        <v>0</v>
      </c>
      <c r="X17" s="3">
        <v>0</v>
      </c>
      <c r="Y17" s="3">
        <v>0</v>
      </c>
      <c r="Z17" s="3">
        <v>0</v>
      </c>
      <c r="AA17" s="3">
        <v>0</v>
      </c>
      <c r="AB17" s="3">
        <v>0</v>
      </c>
      <c r="AC17" s="3">
        <v>0</v>
      </c>
      <c r="AD17" s="3">
        <v>0</v>
      </c>
      <c r="AE17" s="3">
        <v>0</v>
      </c>
      <c r="AF17" s="3">
        <v>0</v>
      </c>
      <c r="AG17" s="3">
        <v>0</v>
      </c>
      <c r="AH17" s="3">
        <v>0</v>
      </c>
      <c r="AI17" s="3">
        <v>0</v>
      </c>
      <c r="AJ17" s="3">
        <v>0</v>
      </c>
      <c r="AK17" s="3">
        <v>0</v>
      </c>
    </row>
    <row r="18" spans="1:37" x14ac:dyDescent="0.3">
      <c r="A18" s="14" t="s">
        <v>135</v>
      </c>
      <c r="B18" s="3">
        <v>8832</v>
      </c>
      <c r="C18" s="3">
        <v>8919</v>
      </c>
      <c r="D18" s="3">
        <v>9040</v>
      </c>
      <c r="E18" s="3">
        <v>9539</v>
      </c>
      <c r="F18" s="3">
        <v>9996</v>
      </c>
      <c r="G18" s="3">
        <v>11290</v>
      </c>
      <c r="H18" s="3">
        <v>10957</v>
      </c>
      <c r="I18" s="3">
        <v>11480</v>
      </c>
      <c r="J18" s="3">
        <v>14817</v>
      </c>
      <c r="K18" s="3">
        <v>16088</v>
      </c>
      <c r="L18" s="3">
        <v>17463</v>
      </c>
      <c r="M18" s="3">
        <v>18287</v>
      </c>
      <c r="N18" s="3">
        <v>20453</v>
      </c>
      <c r="O18" s="3">
        <v>20393</v>
      </c>
      <c r="P18" s="3">
        <v>24284</v>
      </c>
      <c r="Q18" s="3">
        <v>25905</v>
      </c>
      <c r="R18" s="3">
        <v>27292</v>
      </c>
      <c r="S18" s="3">
        <v>28968</v>
      </c>
      <c r="T18" s="3">
        <v>30396</v>
      </c>
      <c r="U18" s="3">
        <v>17734</v>
      </c>
      <c r="V18" s="3">
        <v>29025</v>
      </c>
      <c r="W18" s="3">
        <v>31130</v>
      </c>
      <c r="X18" s="3">
        <v>31626</v>
      </c>
      <c r="Y18" s="3">
        <v>33736</v>
      </c>
      <c r="Z18" s="3">
        <v>47862</v>
      </c>
      <c r="AA18" s="3">
        <v>45506</v>
      </c>
      <c r="AB18" s="3">
        <v>41759</v>
      </c>
      <c r="AC18" s="3">
        <v>47677</v>
      </c>
      <c r="AD18" s="3">
        <v>50210</v>
      </c>
      <c r="AE18" s="3">
        <v>53813</v>
      </c>
      <c r="AF18" s="3">
        <v>53587</v>
      </c>
      <c r="AG18" s="3">
        <v>57543</v>
      </c>
      <c r="AH18" s="3">
        <v>59637</v>
      </c>
      <c r="AI18" s="3">
        <v>62114</v>
      </c>
      <c r="AJ18" s="3">
        <v>64639</v>
      </c>
      <c r="AK18" s="3">
        <v>67051</v>
      </c>
    </row>
    <row r="19" spans="1:37" x14ac:dyDescent="0.3">
      <c r="A19" s="7" t="s">
        <v>136</v>
      </c>
      <c r="B19" s="3">
        <v>2737</v>
      </c>
      <c r="C19" s="3">
        <v>3004</v>
      </c>
      <c r="D19" s="3">
        <v>3033</v>
      </c>
      <c r="E19" s="3">
        <v>3287</v>
      </c>
      <c r="F19" s="3">
        <v>3757</v>
      </c>
      <c r="G19" s="3">
        <v>3498</v>
      </c>
      <c r="H19" s="3">
        <v>4533</v>
      </c>
      <c r="I19" s="3">
        <v>4654</v>
      </c>
      <c r="J19" s="3">
        <v>7880</v>
      </c>
      <c r="K19" s="3">
        <v>9223</v>
      </c>
      <c r="L19" s="3">
        <v>10258</v>
      </c>
      <c r="M19" s="3">
        <v>11231</v>
      </c>
      <c r="N19" s="3">
        <v>12572</v>
      </c>
      <c r="O19" s="3">
        <v>12735</v>
      </c>
      <c r="P19" s="3">
        <v>14101</v>
      </c>
      <c r="Q19" s="3">
        <v>16859</v>
      </c>
      <c r="R19" s="3">
        <v>15174</v>
      </c>
      <c r="S19" s="3">
        <v>15431</v>
      </c>
      <c r="T19" s="3">
        <v>15937</v>
      </c>
      <c r="U19" s="3">
        <v>9340</v>
      </c>
      <c r="V19" s="3">
        <v>9878</v>
      </c>
      <c r="W19" s="3">
        <v>13682</v>
      </c>
      <c r="X19" s="3">
        <v>14845</v>
      </c>
      <c r="Y19" s="3">
        <v>15847</v>
      </c>
      <c r="Z19" s="3">
        <v>16876</v>
      </c>
      <c r="AA19" s="3">
        <v>20004</v>
      </c>
      <c r="AB19" s="3">
        <v>19515</v>
      </c>
      <c r="AC19" s="3">
        <v>22792</v>
      </c>
      <c r="AD19" s="3">
        <v>24142</v>
      </c>
      <c r="AE19" s="3">
        <v>26957</v>
      </c>
      <c r="AF19" s="3">
        <v>27283</v>
      </c>
      <c r="AG19" s="3">
        <v>29692</v>
      </c>
      <c r="AH19" s="3">
        <v>31087</v>
      </c>
      <c r="AI19" s="3">
        <v>32997</v>
      </c>
      <c r="AJ19" s="3">
        <v>34958</v>
      </c>
      <c r="AK19" s="3">
        <v>36820</v>
      </c>
    </row>
    <row r="20" spans="1:37" x14ac:dyDescent="0.3">
      <c r="A20" s="7" t="s">
        <v>137</v>
      </c>
      <c r="B20" s="3">
        <v>6095</v>
      </c>
      <c r="C20" s="3">
        <v>5915</v>
      </c>
      <c r="D20" s="3">
        <v>6007</v>
      </c>
      <c r="E20" s="3">
        <v>6252</v>
      </c>
      <c r="F20" s="3">
        <v>6238</v>
      </c>
      <c r="G20" s="3">
        <v>7792</v>
      </c>
      <c r="H20" s="3">
        <v>6425</v>
      </c>
      <c r="I20" s="3">
        <v>6826</v>
      </c>
      <c r="J20" s="3">
        <v>6937</v>
      </c>
      <c r="K20" s="3">
        <v>6865</v>
      </c>
      <c r="L20" s="3">
        <v>7205</v>
      </c>
      <c r="M20" s="3">
        <v>7056</v>
      </c>
      <c r="N20" s="3">
        <v>7881</v>
      </c>
      <c r="O20" s="3">
        <v>7657</v>
      </c>
      <c r="P20" s="3">
        <v>10183</v>
      </c>
      <c r="Q20" s="3">
        <v>9046</v>
      </c>
      <c r="R20" s="3">
        <v>12118</v>
      </c>
      <c r="S20" s="3">
        <v>13537</v>
      </c>
      <c r="T20" s="3">
        <v>14460</v>
      </c>
      <c r="U20" s="3">
        <v>8394</v>
      </c>
      <c r="V20" s="3">
        <v>19147</v>
      </c>
      <c r="W20" s="3">
        <v>17447</v>
      </c>
      <c r="X20" s="3">
        <v>16780</v>
      </c>
      <c r="Y20" s="3">
        <v>17889</v>
      </c>
      <c r="Z20" s="3">
        <v>30986</v>
      </c>
      <c r="AA20" s="3">
        <v>25502</v>
      </c>
      <c r="AB20" s="3">
        <v>22244</v>
      </c>
      <c r="AC20" s="3">
        <v>24885</v>
      </c>
      <c r="AD20" s="3">
        <v>26067</v>
      </c>
      <c r="AE20" s="3">
        <v>26856</v>
      </c>
      <c r="AF20" s="3">
        <v>26304</v>
      </c>
      <c r="AG20" s="3">
        <v>27851</v>
      </c>
      <c r="AH20" s="3">
        <v>28550</v>
      </c>
      <c r="AI20" s="3">
        <v>29117</v>
      </c>
      <c r="AJ20" s="3">
        <v>29682</v>
      </c>
      <c r="AK20" s="3">
        <v>30232</v>
      </c>
    </row>
    <row r="21" spans="1:37" x14ac:dyDescent="0.3">
      <c r="A21" s="16" t="s">
        <v>138</v>
      </c>
      <c r="B21" s="3">
        <v>6095</v>
      </c>
      <c r="C21" s="3">
        <v>5915</v>
      </c>
      <c r="D21" s="3">
        <v>6007</v>
      </c>
      <c r="E21" s="3">
        <v>6152</v>
      </c>
      <c r="F21" s="3">
        <v>6139</v>
      </c>
      <c r="G21" s="3">
        <v>7686</v>
      </c>
      <c r="H21" s="3">
        <v>6319</v>
      </c>
      <c r="I21" s="3">
        <v>6682</v>
      </c>
      <c r="J21" s="3">
        <v>6846</v>
      </c>
      <c r="K21" s="3">
        <v>6766</v>
      </c>
      <c r="L21" s="3">
        <v>6950</v>
      </c>
      <c r="M21" s="3">
        <v>6930</v>
      </c>
      <c r="N21" s="3">
        <v>7552</v>
      </c>
      <c r="O21" s="3">
        <v>7506</v>
      </c>
      <c r="P21" s="3">
        <v>10026</v>
      </c>
      <c r="Q21" s="3">
        <v>8857</v>
      </c>
      <c r="R21" s="3">
        <v>11913</v>
      </c>
      <c r="S21" s="3">
        <v>13316</v>
      </c>
      <c r="T21" s="3">
        <v>14218</v>
      </c>
      <c r="U21" s="3">
        <v>8056</v>
      </c>
      <c r="V21" s="3">
        <v>18951</v>
      </c>
      <c r="W21" s="3">
        <v>17256</v>
      </c>
      <c r="X21" s="3">
        <v>16586</v>
      </c>
      <c r="Y21" s="3">
        <v>17860</v>
      </c>
      <c r="Z21" s="3">
        <v>30986</v>
      </c>
      <c r="AA21" s="3">
        <v>25502</v>
      </c>
      <c r="AB21" s="3">
        <v>22244</v>
      </c>
      <c r="AC21" s="3">
        <v>24885</v>
      </c>
      <c r="AD21" s="3">
        <v>26067</v>
      </c>
      <c r="AE21" s="3">
        <v>26856</v>
      </c>
      <c r="AF21" s="3">
        <v>26303</v>
      </c>
      <c r="AG21" s="3">
        <v>27850</v>
      </c>
      <c r="AH21" s="3">
        <v>28549</v>
      </c>
      <c r="AI21" s="3">
        <v>29116</v>
      </c>
      <c r="AJ21" s="3">
        <v>29681</v>
      </c>
      <c r="AK21" s="3">
        <v>30231</v>
      </c>
    </row>
    <row r="22" spans="1:37" x14ac:dyDescent="0.3">
      <c r="A22" s="16" t="s">
        <v>139</v>
      </c>
      <c r="B22" s="3">
        <v>0</v>
      </c>
      <c r="C22" s="3">
        <v>0</v>
      </c>
      <c r="D22" s="3">
        <v>0</v>
      </c>
      <c r="E22" s="3">
        <v>100</v>
      </c>
      <c r="F22" s="3">
        <v>99</v>
      </c>
      <c r="G22" s="3">
        <v>106</v>
      </c>
      <c r="H22" s="3">
        <v>106</v>
      </c>
      <c r="I22" s="3">
        <v>144</v>
      </c>
      <c r="J22" s="3">
        <v>91</v>
      </c>
      <c r="K22" s="3">
        <v>99</v>
      </c>
      <c r="L22" s="3">
        <v>255</v>
      </c>
      <c r="M22" s="3">
        <v>126</v>
      </c>
      <c r="N22" s="3">
        <v>329</v>
      </c>
      <c r="O22" s="3">
        <v>151</v>
      </c>
      <c r="P22" s="3">
        <v>157</v>
      </c>
      <c r="Q22" s="3">
        <v>188</v>
      </c>
      <c r="R22" s="3">
        <v>205</v>
      </c>
      <c r="S22" s="3">
        <v>221</v>
      </c>
      <c r="T22" s="3">
        <v>241</v>
      </c>
      <c r="U22" s="3">
        <v>338</v>
      </c>
      <c r="V22" s="3">
        <v>197</v>
      </c>
      <c r="W22" s="3">
        <v>192</v>
      </c>
      <c r="X22" s="3">
        <v>194</v>
      </c>
      <c r="Y22" s="3">
        <v>28</v>
      </c>
      <c r="Z22" s="3">
        <v>0</v>
      </c>
      <c r="AA22" s="3">
        <v>0</v>
      </c>
      <c r="AB22" s="3">
        <v>0</v>
      </c>
      <c r="AC22" s="3">
        <v>0</v>
      </c>
      <c r="AD22" s="3">
        <v>0</v>
      </c>
      <c r="AE22" s="3">
        <v>1</v>
      </c>
      <c r="AF22" s="3">
        <v>1</v>
      </c>
      <c r="AG22" s="3">
        <v>1</v>
      </c>
      <c r="AH22" s="3">
        <v>1</v>
      </c>
      <c r="AI22" s="3">
        <v>1</v>
      </c>
      <c r="AJ22" s="3">
        <v>1</v>
      </c>
      <c r="AK22" s="3">
        <v>1</v>
      </c>
    </row>
    <row r="23" spans="1:37" x14ac:dyDescent="0.3">
      <c r="A23" s="14" t="s">
        <v>140</v>
      </c>
      <c r="B23" s="3">
        <v>23</v>
      </c>
      <c r="C23" s="3">
        <v>30</v>
      </c>
      <c r="D23" s="3">
        <v>30</v>
      </c>
      <c r="E23" s="3">
        <v>129</v>
      </c>
      <c r="F23" s="3">
        <v>99</v>
      </c>
      <c r="G23" s="3">
        <v>1463</v>
      </c>
      <c r="H23" s="3">
        <v>0</v>
      </c>
      <c r="I23" s="3">
        <v>0</v>
      </c>
      <c r="J23" s="3">
        <v>175</v>
      </c>
      <c r="K23" s="3">
        <v>0</v>
      </c>
      <c r="L23" s="3">
        <v>0</v>
      </c>
      <c r="M23" s="3">
        <v>0</v>
      </c>
      <c r="N23" s="3">
        <v>200</v>
      </c>
      <c r="O23" s="3">
        <v>0</v>
      </c>
      <c r="P23" s="3">
        <v>0</v>
      </c>
      <c r="Q23" s="3">
        <v>0</v>
      </c>
      <c r="R23" s="3">
        <v>0</v>
      </c>
      <c r="S23" s="3">
        <v>0</v>
      </c>
      <c r="T23" s="3">
        <v>0</v>
      </c>
      <c r="U23" s="3">
        <v>0</v>
      </c>
      <c r="V23" s="3">
        <v>0</v>
      </c>
      <c r="W23" s="3">
        <v>0</v>
      </c>
      <c r="X23" s="3">
        <v>0</v>
      </c>
      <c r="Y23" s="3">
        <v>0</v>
      </c>
      <c r="Z23" s="3">
        <v>0</v>
      </c>
      <c r="AA23" s="3">
        <v>0</v>
      </c>
      <c r="AB23" s="3">
        <v>36</v>
      </c>
      <c r="AC23" s="3">
        <v>37</v>
      </c>
      <c r="AD23" s="3">
        <v>36</v>
      </c>
      <c r="AE23" s="3">
        <v>0</v>
      </c>
      <c r="AF23" s="3">
        <v>0</v>
      </c>
      <c r="AG23" s="3">
        <v>0</v>
      </c>
      <c r="AH23" s="3">
        <v>0</v>
      </c>
      <c r="AI23" s="3">
        <v>0</v>
      </c>
      <c r="AJ23" s="3">
        <v>0</v>
      </c>
      <c r="AK23" s="3">
        <v>0</v>
      </c>
    </row>
    <row r="24" spans="1:37" x14ac:dyDescent="0.3">
      <c r="A24" s="11" t="s">
        <v>141</v>
      </c>
      <c r="B24" s="11">
        <v>40053</v>
      </c>
      <c r="C24" s="11">
        <v>40408</v>
      </c>
      <c r="D24" s="11">
        <v>41882</v>
      </c>
      <c r="E24" s="11">
        <v>43394</v>
      </c>
      <c r="F24" s="11">
        <v>44702</v>
      </c>
      <c r="G24" s="11">
        <v>46834</v>
      </c>
      <c r="H24" s="11">
        <v>49203</v>
      </c>
      <c r="I24" s="11">
        <v>52269</v>
      </c>
      <c r="J24" s="11">
        <v>56277</v>
      </c>
      <c r="K24" s="11">
        <v>58671</v>
      </c>
      <c r="L24" s="11">
        <v>60815</v>
      </c>
      <c r="M24" s="11">
        <v>63510</v>
      </c>
      <c r="N24" s="11">
        <v>68710</v>
      </c>
      <c r="O24" s="11">
        <v>73466</v>
      </c>
      <c r="P24" s="11">
        <v>76460</v>
      </c>
      <c r="Q24" s="11">
        <v>79965</v>
      </c>
      <c r="R24" s="11">
        <v>84177</v>
      </c>
      <c r="S24" s="11">
        <v>87217</v>
      </c>
      <c r="T24" s="11">
        <v>89152</v>
      </c>
      <c r="U24" s="11">
        <v>77168</v>
      </c>
      <c r="V24" s="11">
        <v>91044</v>
      </c>
      <c r="W24" s="11">
        <v>93654</v>
      </c>
      <c r="X24" s="11">
        <v>96657</v>
      </c>
      <c r="Y24" s="11">
        <v>99721</v>
      </c>
      <c r="Z24" s="11">
        <v>112705</v>
      </c>
      <c r="AA24" s="11">
        <v>113688</v>
      </c>
      <c r="AB24" s="11">
        <v>117807</v>
      </c>
      <c r="AC24" s="11">
        <v>127484</v>
      </c>
      <c r="AD24" s="11">
        <v>135438</v>
      </c>
      <c r="AE24" s="11">
        <v>141680</v>
      </c>
      <c r="AF24" s="11">
        <v>145677</v>
      </c>
      <c r="AG24" s="11">
        <v>151531</v>
      </c>
      <c r="AH24" s="11">
        <v>157249</v>
      </c>
      <c r="AI24" s="11">
        <v>162100</v>
      </c>
      <c r="AJ24" s="11">
        <v>168114</v>
      </c>
      <c r="AK24" s="11">
        <v>174316</v>
      </c>
    </row>
    <row r="25" spans="1:37" x14ac:dyDescent="0.3">
      <c r="A25" s="14" t="s">
        <v>142</v>
      </c>
      <c r="B25" s="3">
        <v>39856</v>
      </c>
      <c r="C25" s="3">
        <v>40168</v>
      </c>
      <c r="D25" s="3">
        <v>41682</v>
      </c>
      <c r="E25" s="3">
        <v>43176</v>
      </c>
      <c r="F25" s="3">
        <v>44518</v>
      </c>
      <c r="G25" s="3">
        <v>46718</v>
      </c>
      <c r="H25" s="3">
        <v>49094</v>
      </c>
      <c r="I25" s="3">
        <v>52160</v>
      </c>
      <c r="J25" s="3">
        <v>56165</v>
      </c>
      <c r="K25" s="3">
        <v>58565</v>
      </c>
      <c r="L25" s="3">
        <v>60711</v>
      </c>
      <c r="M25" s="3">
        <v>63404</v>
      </c>
      <c r="N25" s="3">
        <v>68597</v>
      </c>
      <c r="O25" s="3">
        <v>73351</v>
      </c>
      <c r="P25" s="3">
        <v>76335</v>
      </c>
      <c r="Q25" s="3">
        <v>79782</v>
      </c>
      <c r="R25" s="3">
        <v>84037</v>
      </c>
      <c r="S25" s="3">
        <v>87053</v>
      </c>
      <c r="T25" s="3">
        <v>88967</v>
      </c>
      <c r="U25" s="3">
        <v>76933</v>
      </c>
      <c r="V25" s="3">
        <v>91021</v>
      </c>
      <c r="W25" s="3">
        <v>93643</v>
      </c>
      <c r="X25" s="3">
        <v>96698</v>
      </c>
      <c r="Y25" s="3">
        <v>99761</v>
      </c>
      <c r="Z25" s="3">
        <v>112777</v>
      </c>
      <c r="AA25" s="3">
        <v>113677</v>
      </c>
      <c r="AB25" s="3">
        <v>117774</v>
      </c>
      <c r="AC25" s="3">
        <v>127439</v>
      </c>
      <c r="AD25" s="3">
        <v>135427</v>
      </c>
      <c r="AE25" s="3">
        <v>141662</v>
      </c>
      <c r="AF25" s="3">
        <v>145643</v>
      </c>
      <c r="AG25" s="3">
        <v>151478</v>
      </c>
      <c r="AH25" s="3">
        <v>157206</v>
      </c>
      <c r="AI25" s="3">
        <v>162052</v>
      </c>
      <c r="AJ25" s="3">
        <v>168067</v>
      </c>
      <c r="AK25" s="3">
        <v>174252</v>
      </c>
    </row>
    <row r="26" spans="1:37" x14ac:dyDescent="0.3">
      <c r="A26" s="14" t="s">
        <v>143</v>
      </c>
      <c r="B26" s="3">
        <v>39594</v>
      </c>
      <c r="C26" s="3">
        <v>39835</v>
      </c>
      <c r="D26" s="3">
        <v>41241</v>
      </c>
      <c r="E26" s="3">
        <v>42717</v>
      </c>
      <c r="F26" s="3">
        <v>43884</v>
      </c>
      <c r="G26" s="3">
        <v>45933</v>
      </c>
      <c r="H26" s="3">
        <v>48641</v>
      </c>
      <c r="I26" s="3">
        <v>51660</v>
      </c>
      <c r="J26" s="3">
        <v>55573</v>
      </c>
      <c r="K26" s="3">
        <v>57788</v>
      </c>
      <c r="L26" s="3">
        <v>59954</v>
      </c>
      <c r="M26" s="3">
        <v>62625</v>
      </c>
      <c r="N26" s="3">
        <v>67760</v>
      </c>
      <c r="O26" s="3">
        <v>72546</v>
      </c>
      <c r="P26" s="3">
        <v>75154</v>
      </c>
      <c r="Q26" s="3">
        <v>78778</v>
      </c>
      <c r="R26" s="3">
        <v>82635</v>
      </c>
      <c r="S26" s="3">
        <v>85472</v>
      </c>
      <c r="T26" s="3">
        <v>87199</v>
      </c>
      <c r="U26" s="3">
        <v>75573</v>
      </c>
      <c r="V26" s="3">
        <v>81415</v>
      </c>
      <c r="W26" s="3">
        <v>83624</v>
      </c>
      <c r="X26" s="3">
        <v>86398</v>
      </c>
      <c r="Y26" s="3">
        <v>89145</v>
      </c>
      <c r="Z26" s="3">
        <v>101721</v>
      </c>
      <c r="AA26" s="3">
        <v>102540</v>
      </c>
      <c r="AB26" s="3">
        <v>105645</v>
      </c>
      <c r="AC26" s="3">
        <v>114372</v>
      </c>
      <c r="AD26" s="3">
        <v>121842</v>
      </c>
      <c r="AE26" s="3">
        <v>126901</v>
      </c>
      <c r="AF26" s="3">
        <v>130875</v>
      </c>
      <c r="AG26" s="3">
        <v>136147</v>
      </c>
      <c r="AH26" s="3">
        <v>141420</v>
      </c>
      <c r="AI26" s="3">
        <v>145925</v>
      </c>
      <c r="AJ26" s="3">
        <v>151616</v>
      </c>
      <c r="AK26" s="3">
        <v>157445</v>
      </c>
    </row>
    <row r="27" spans="1:37" x14ac:dyDescent="0.3">
      <c r="A27" s="7" t="s">
        <v>144</v>
      </c>
      <c r="B27" s="3">
        <v>916</v>
      </c>
      <c r="C27" s="3">
        <v>880</v>
      </c>
      <c r="D27" s="3">
        <v>907</v>
      </c>
      <c r="E27" s="3">
        <v>944</v>
      </c>
      <c r="F27" s="3">
        <v>952</v>
      </c>
      <c r="G27" s="3">
        <v>1006</v>
      </c>
      <c r="H27" s="3">
        <v>1077</v>
      </c>
      <c r="I27" s="3">
        <v>1130</v>
      </c>
      <c r="J27" s="3">
        <v>1171</v>
      </c>
      <c r="K27" s="3">
        <v>1220</v>
      </c>
      <c r="L27" s="3">
        <v>1275</v>
      </c>
      <c r="M27" s="3">
        <v>1319</v>
      </c>
      <c r="N27" s="3">
        <v>1379</v>
      </c>
      <c r="O27" s="3">
        <v>1461</v>
      </c>
      <c r="P27" s="3">
        <v>1504</v>
      </c>
      <c r="Q27" s="3">
        <v>1536</v>
      </c>
      <c r="R27" s="3">
        <v>1574</v>
      </c>
      <c r="S27" s="3">
        <v>1595</v>
      </c>
      <c r="T27" s="3">
        <v>1677</v>
      </c>
      <c r="U27" s="3">
        <v>1623</v>
      </c>
      <c r="V27" s="3">
        <v>1642</v>
      </c>
      <c r="W27" s="3">
        <v>1653</v>
      </c>
      <c r="X27" s="3">
        <v>1676</v>
      </c>
      <c r="Y27" s="3">
        <v>1585</v>
      </c>
      <c r="Z27" s="3">
        <v>1613</v>
      </c>
      <c r="AA27" s="3">
        <v>1680</v>
      </c>
      <c r="AB27" s="3">
        <v>1782</v>
      </c>
      <c r="AC27" s="3">
        <v>1914</v>
      </c>
      <c r="AD27" s="3">
        <v>2028</v>
      </c>
      <c r="AE27" s="3">
        <v>2117</v>
      </c>
      <c r="AF27" s="3">
        <v>2199</v>
      </c>
      <c r="AG27" s="3">
        <v>2238</v>
      </c>
      <c r="AH27" s="3">
        <v>2237</v>
      </c>
      <c r="AI27" s="3">
        <v>2245</v>
      </c>
      <c r="AJ27" s="3">
        <v>2289</v>
      </c>
      <c r="AK27" s="3">
        <v>2331</v>
      </c>
    </row>
    <row r="28" spans="1:37" x14ac:dyDescent="0.3">
      <c r="A28" s="7" t="s">
        <v>145</v>
      </c>
      <c r="B28" s="3">
        <v>574</v>
      </c>
      <c r="C28" s="3">
        <v>614</v>
      </c>
      <c r="D28" s="3">
        <v>626</v>
      </c>
      <c r="E28" s="3">
        <v>626</v>
      </c>
      <c r="F28" s="3">
        <v>628</v>
      </c>
      <c r="G28" s="3">
        <v>668</v>
      </c>
      <c r="H28" s="3">
        <v>718</v>
      </c>
      <c r="I28" s="3">
        <v>748</v>
      </c>
      <c r="J28" s="3">
        <v>775</v>
      </c>
      <c r="K28" s="3">
        <v>809</v>
      </c>
      <c r="L28" s="3">
        <v>837</v>
      </c>
      <c r="M28" s="3">
        <v>862</v>
      </c>
      <c r="N28" s="3">
        <v>902</v>
      </c>
      <c r="O28" s="3">
        <v>948</v>
      </c>
      <c r="P28" s="3">
        <v>951</v>
      </c>
      <c r="Q28" s="3">
        <v>984</v>
      </c>
      <c r="R28" s="3">
        <v>1019</v>
      </c>
      <c r="S28" s="3">
        <v>1004</v>
      </c>
      <c r="T28" s="3">
        <v>1011</v>
      </c>
      <c r="U28" s="3">
        <v>950</v>
      </c>
      <c r="V28" s="3">
        <v>963</v>
      </c>
      <c r="W28" s="3">
        <v>999</v>
      </c>
      <c r="X28" s="3">
        <v>1052</v>
      </c>
      <c r="Y28" s="3">
        <v>1030</v>
      </c>
      <c r="Z28" s="3">
        <v>1112</v>
      </c>
      <c r="AA28" s="3">
        <v>1105</v>
      </c>
      <c r="AB28" s="3">
        <v>1105</v>
      </c>
      <c r="AC28" s="3">
        <v>1223</v>
      </c>
      <c r="AD28" s="3">
        <v>1304</v>
      </c>
      <c r="AE28" s="3">
        <v>1323</v>
      </c>
      <c r="AF28" s="3">
        <v>1351</v>
      </c>
      <c r="AG28" s="3">
        <v>1346</v>
      </c>
      <c r="AH28" s="3">
        <v>1338</v>
      </c>
      <c r="AI28" s="3">
        <v>1345</v>
      </c>
      <c r="AJ28" s="3">
        <v>1340</v>
      </c>
      <c r="AK28" s="3">
        <v>1363</v>
      </c>
    </row>
    <row r="29" spans="1:37" x14ac:dyDescent="0.3">
      <c r="A29" s="7" t="s">
        <v>146</v>
      </c>
      <c r="B29" s="3">
        <v>959</v>
      </c>
      <c r="C29" s="3">
        <v>810</v>
      </c>
      <c r="D29" s="3">
        <v>989</v>
      </c>
      <c r="E29" s="3">
        <v>1155</v>
      </c>
      <c r="F29" s="3">
        <v>1209</v>
      </c>
      <c r="G29" s="3">
        <v>1268</v>
      </c>
      <c r="H29" s="3">
        <v>1306</v>
      </c>
      <c r="I29" s="3">
        <v>1552</v>
      </c>
      <c r="J29" s="3">
        <v>1889</v>
      </c>
      <c r="K29" s="3">
        <v>2396</v>
      </c>
      <c r="L29" s="3">
        <v>2891</v>
      </c>
      <c r="M29" s="3">
        <v>3409</v>
      </c>
      <c r="N29" s="3">
        <v>3980</v>
      </c>
      <c r="O29" s="3">
        <v>4189</v>
      </c>
      <c r="P29" s="3">
        <v>4686</v>
      </c>
      <c r="Q29" s="3">
        <v>5304</v>
      </c>
      <c r="R29" s="3">
        <v>5343</v>
      </c>
      <c r="S29" s="3">
        <v>5267</v>
      </c>
      <c r="T29" s="3">
        <v>5412</v>
      </c>
      <c r="U29" s="3">
        <v>1608</v>
      </c>
      <c r="V29" s="3">
        <v>1763</v>
      </c>
      <c r="W29" s="3">
        <v>1949</v>
      </c>
      <c r="X29" s="3">
        <v>2045</v>
      </c>
      <c r="Y29" s="3">
        <v>2197</v>
      </c>
      <c r="Z29" s="3">
        <v>4744</v>
      </c>
      <c r="AA29" s="3">
        <v>4130</v>
      </c>
      <c r="AB29" s="3">
        <v>3617</v>
      </c>
      <c r="AC29" s="3">
        <v>3520</v>
      </c>
      <c r="AD29" s="3">
        <v>3538</v>
      </c>
      <c r="AE29" s="3">
        <v>3695</v>
      </c>
      <c r="AF29" s="3">
        <v>3699</v>
      </c>
      <c r="AG29" s="3">
        <v>3815</v>
      </c>
      <c r="AH29" s="3">
        <v>3923</v>
      </c>
      <c r="AI29" s="3">
        <v>4047</v>
      </c>
      <c r="AJ29" s="3">
        <v>4177</v>
      </c>
      <c r="AK29" s="3">
        <v>4294</v>
      </c>
    </row>
    <row r="30" spans="1:37" x14ac:dyDescent="0.3">
      <c r="A30" s="7" t="s">
        <v>147</v>
      </c>
      <c r="B30" s="3">
        <v>37048</v>
      </c>
      <c r="C30" s="3">
        <v>37454</v>
      </c>
      <c r="D30" s="3">
        <v>38646</v>
      </c>
      <c r="E30" s="3">
        <v>39847</v>
      </c>
      <c r="F30" s="3">
        <v>40960</v>
      </c>
      <c r="G30" s="3">
        <v>42830</v>
      </c>
      <c r="H30" s="3">
        <v>45403</v>
      </c>
      <c r="I30" s="3">
        <v>48068</v>
      </c>
      <c r="J30" s="3">
        <v>51484</v>
      </c>
      <c r="K30" s="3">
        <v>53111</v>
      </c>
      <c r="L30" s="3">
        <v>54681</v>
      </c>
      <c r="M30" s="3">
        <v>56706</v>
      </c>
      <c r="N30" s="3">
        <v>61119</v>
      </c>
      <c r="O30" s="3">
        <v>65600</v>
      </c>
      <c r="P30" s="3">
        <v>67581</v>
      </c>
      <c r="Q30" s="3">
        <v>70545</v>
      </c>
      <c r="R30" s="3">
        <v>74228</v>
      </c>
      <c r="S30" s="3">
        <v>77110</v>
      </c>
      <c r="T30" s="3">
        <v>78548</v>
      </c>
      <c r="U30" s="3">
        <v>70931</v>
      </c>
      <c r="V30" s="3">
        <v>76508</v>
      </c>
      <c r="W30" s="3">
        <v>78466</v>
      </c>
      <c r="X30" s="3">
        <v>81031</v>
      </c>
      <c r="Y30" s="3">
        <v>83665</v>
      </c>
      <c r="Z30" s="3">
        <v>93268</v>
      </c>
      <c r="AA30" s="3">
        <v>94768</v>
      </c>
      <c r="AB30" s="3">
        <v>98398</v>
      </c>
      <c r="AC30" s="3">
        <v>106897</v>
      </c>
      <c r="AD30" s="3">
        <v>114076</v>
      </c>
      <c r="AE30" s="3">
        <v>118914</v>
      </c>
      <c r="AF30" s="3">
        <v>122746</v>
      </c>
      <c r="AG30" s="3">
        <v>127841</v>
      </c>
      <c r="AH30" s="3">
        <v>132996</v>
      </c>
      <c r="AI30" s="3">
        <v>137346</v>
      </c>
      <c r="AJ30" s="3">
        <v>142853</v>
      </c>
      <c r="AK30" s="3">
        <v>148484</v>
      </c>
    </row>
    <row r="31" spans="1:37" x14ac:dyDescent="0.3">
      <c r="A31" s="9" t="s">
        <v>80</v>
      </c>
      <c r="B31" s="3">
        <v>26214</v>
      </c>
      <c r="C31" s="3">
        <v>26752</v>
      </c>
      <c r="D31" s="3">
        <v>27207</v>
      </c>
      <c r="E31" s="3">
        <v>27647</v>
      </c>
      <c r="F31" s="3">
        <v>28126</v>
      </c>
      <c r="G31" s="3">
        <v>29322</v>
      </c>
      <c r="H31" s="3">
        <v>31179</v>
      </c>
      <c r="I31" s="3">
        <v>32768</v>
      </c>
      <c r="J31" s="3">
        <v>33707</v>
      </c>
      <c r="K31" s="3">
        <v>34939</v>
      </c>
      <c r="L31" s="3">
        <v>35914</v>
      </c>
      <c r="M31" s="3">
        <v>36917</v>
      </c>
      <c r="N31" s="3">
        <v>39278</v>
      </c>
      <c r="O31" s="3">
        <v>42381</v>
      </c>
      <c r="P31" s="3">
        <v>43705</v>
      </c>
      <c r="Q31" s="3">
        <v>45391</v>
      </c>
      <c r="R31" s="3">
        <v>48248</v>
      </c>
      <c r="S31" s="3">
        <v>50386</v>
      </c>
      <c r="T31" s="3">
        <v>51134</v>
      </c>
      <c r="U31" s="3">
        <v>46138</v>
      </c>
      <c r="V31" s="3">
        <v>51223</v>
      </c>
      <c r="W31" s="3">
        <v>52550</v>
      </c>
      <c r="X31" s="3">
        <v>54198</v>
      </c>
      <c r="Y31" s="3">
        <v>55772</v>
      </c>
      <c r="Z31" s="3">
        <v>66040</v>
      </c>
      <c r="AA31" s="3">
        <v>64343</v>
      </c>
      <c r="AB31" s="3">
        <v>66525</v>
      </c>
      <c r="AC31" s="3">
        <v>72120</v>
      </c>
      <c r="AD31" s="3">
        <v>77032</v>
      </c>
      <c r="AE31" s="3">
        <v>80028</v>
      </c>
      <c r="AF31" s="3">
        <v>81788</v>
      </c>
      <c r="AG31" s="3">
        <v>84736</v>
      </c>
      <c r="AH31" s="3">
        <v>87597</v>
      </c>
      <c r="AI31" s="3">
        <v>90152</v>
      </c>
      <c r="AJ31" s="3">
        <v>93513</v>
      </c>
      <c r="AK31" s="3">
        <v>96772</v>
      </c>
    </row>
    <row r="32" spans="1:37" x14ac:dyDescent="0.3">
      <c r="A32" s="9" t="s">
        <v>148</v>
      </c>
      <c r="B32" s="3">
        <v>10834</v>
      </c>
      <c r="C32" s="3">
        <v>10702</v>
      </c>
      <c r="D32" s="3">
        <v>11439</v>
      </c>
      <c r="E32" s="3">
        <v>12200</v>
      </c>
      <c r="F32" s="3">
        <v>12835</v>
      </c>
      <c r="G32" s="3">
        <v>13508</v>
      </c>
      <c r="H32" s="3">
        <v>14225</v>
      </c>
      <c r="I32" s="3">
        <v>15300</v>
      </c>
      <c r="J32" s="3">
        <v>17778</v>
      </c>
      <c r="K32" s="3">
        <v>18172</v>
      </c>
      <c r="L32" s="3">
        <v>18768</v>
      </c>
      <c r="M32" s="3">
        <v>19789</v>
      </c>
      <c r="N32" s="3">
        <v>21841</v>
      </c>
      <c r="O32" s="3">
        <v>23219</v>
      </c>
      <c r="P32" s="3">
        <v>23876</v>
      </c>
      <c r="Q32" s="3">
        <v>25154</v>
      </c>
      <c r="R32" s="3">
        <v>25980</v>
      </c>
      <c r="S32" s="3">
        <v>26723</v>
      </c>
      <c r="T32" s="3">
        <v>27414</v>
      </c>
      <c r="U32" s="3">
        <v>24793</v>
      </c>
      <c r="V32" s="3">
        <v>25284</v>
      </c>
      <c r="W32" s="3">
        <v>25916</v>
      </c>
      <c r="X32" s="3">
        <v>26833</v>
      </c>
      <c r="Y32" s="3">
        <v>27893</v>
      </c>
      <c r="Z32" s="3">
        <v>27228</v>
      </c>
      <c r="AA32" s="3">
        <v>30425</v>
      </c>
      <c r="AB32" s="3">
        <v>31873</v>
      </c>
      <c r="AC32" s="3">
        <v>34776</v>
      </c>
      <c r="AD32" s="3">
        <v>37044</v>
      </c>
      <c r="AE32" s="3">
        <v>38886</v>
      </c>
      <c r="AF32" s="3">
        <v>40958</v>
      </c>
      <c r="AG32" s="3">
        <v>43105</v>
      </c>
      <c r="AH32" s="3">
        <v>45399</v>
      </c>
      <c r="AI32" s="3">
        <v>47194</v>
      </c>
      <c r="AJ32" s="3">
        <v>49340</v>
      </c>
      <c r="AK32" s="3">
        <v>51711</v>
      </c>
    </row>
    <row r="33" spans="1:37" x14ac:dyDescent="0.3">
      <c r="A33" s="7" t="s">
        <v>149</v>
      </c>
      <c r="B33" s="3">
        <v>96</v>
      </c>
      <c r="C33" s="3">
        <v>77</v>
      </c>
      <c r="D33" s="3">
        <v>72</v>
      </c>
      <c r="E33" s="3">
        <v>145</v>
      </c>
      <c r="F33" s="3">
        <v>136</v>
      </c>
      <c r="G33" s="3">
        <v>161</v>
      </c>
      <c r="H33" s="3">
        <v>136</v>
      </c>
      <c r="I33" s="3">
        <v>162</v>
      </c>
      <c r="J33" s="3">
        <v>233</v>
      </c>
      <c r="K33" s="3">
        <v>233</v>
      </c>
      <c r="L33" s="3">
        <v>249</v>
      </c>
      <c r="M33" s="3">
        <v>276</v>
      </c>
      <c r="N33" s="3">
        <v>319</v>
      </c>
      <c r="O33" s="3">
        <v>328</v>
      </c>
      <c r="P33" s="3">
        <v>394</v>
      </c>
      <c r="Q33" s="3">
        <v>377</v>
      </c>
      <c r="R33" s="3">
        <v>444</v>
      </c>
      <c r="S33" s="3">
        <v>469</v>
      </c>
      <c r="T33" s="3">
        <v>528</v>
      </c>
      <c r="U33" s="3">
        <v>436</v>
      </c>
      <c r="V33" s="3">
        <v>509</v>
      </c>
      <c r="W33" s="3">
        <v>531</v>
      </c>
      <c r="X33" s="3">
        <v>571</v>
      </c>
      <c r="Y33" s="3">
        <v>643</v>
      </c>
      <c r="Z33" s="3">
        <v>808</v>
      </c>
      <c r="AA33" s="3">
        <v>788</v>
      </c>
      <c r="AB33" s="3">
        <v>730</v>
      </c>
      <c r="AC33" s="3">
        <v>805</v>
      </c>
      <c r="AD33" s="3">
        <v>881</v>
      </c>
      <c r="AE33" s="3">
        <v>833</v>
      </c>
      <c r="AF33" s="3">
        <v>858</v>
      </c>
      <c r="AG33" s="3">
        <v>883</v>
      </c>
      <c r="AH33" s="3">
        <v>901</v>
      </c>
      <c r="AI33" s="3">
        <v>917</v>
      </c>
      <c r="AJ33" s="3">
        <v>932</v>
      </c>
      <c r="AK33" s="3">
        <v>947</v>
      </c>
    </row>
    <row r="34" spans="1:37" x14ac:dyDescent="0.3">
      <c r="A34" s="7" t="s">
        <v>150</v>
      </c>
      <c r="B34" s="3">
        <v>0</v>
      </c>
      <c r="C34" s="3">
        <v>0</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164</v>
      </c>
      <c r="AA34" s="3">
        <v>53</v>
      </c>
      <c r="AB34" s="3">
        <v>0</v>
      </c>
      <c r="AC34" s="3">
        <v>0</v>
      </c>
      <c r="AD34" s="3">
        <v>0</v>
      </c>
      <c r="AE34" s="3">
        <v>0</v>
      </c>
      <c r="AF34" s="3">
        <v>0</v>
      </c>
      <c r="AG34" s="3">
        <v>0</v>
      </c>
      <c r="AH34" s="3">
        <v>0</v>
      </c>
      <c r="AI34" s="3">
        <v>0</v>
      </c>
      <c r="AJ34" s="3">
        <v>0</v>
      </c>
      <c r="AK34" s="3">
        <v>0</v>
      </c>
    </row>
    <row r="35" spans="1:37" x14ac:dyDescent="0.3">
      <c r="A35" s="7" t="s">
        <v>151</v>
      </c>
      <c r="B35" s="3">
        <v>0</v>
      </c>
      <c r="C35" s="3">
        <v>0</v>
      </c>
      <c r="D35" s="3">
        <v>0</v>
      </c>
      <c r="E35" s="3">
        <v>0</v>
      </c>
      <c r="F35" s="3">
        <v>0</v>
      </c>
      <c r="G35" s="3">
        <v>0</v>
      </c>
      <c r="H35" s="3">
        <v>0</v>
      </c>
      <c r="I35" s="3">
        <v>0</v>
      </c>
      <c r="J35" s="3">
        <v>22</v>
      </c>
      <c r="K35" s="3">
        <v>19</v>
      </c>
      <c r="L35" s="3">
        <v>20</v>
      </c>
      <c r="M35" s="3">
        <v>53</v>
      </c>
      <c r="N35" s="3">
        <v>61</v>
      </c>
      <c r="O35" s="3">
        <v>20</v>
      </c>
      <c r="P35" s="3">
        <v>38</v>
      </c>
      <c r="Q35" s="3">
        <v>31</v>
      </c>
      <c r="R35" s="3">
        <v>27</v>
      </c>
      <c r="S35" s="3">
        <v>26</v>
      </c>
      <c r="T35" s="3">
        <v>22</v>
      </c>
      <c r="U35" s="3">
        <v>25</v>
      </c>
      <c r="V35" s="3">
        <v>31</v>
      </c>
      <c r="W35" s="3">
        <v>26</v>
      </c>
      <c r="X35" s="3">
        <v>22</v>
      </c>
      <c r="Y35" s="3">
        <v>25</v>
      </c>
      <c r="Z35" s="3">
        <v>11</v>
      </c>
      <c r="AA35" s="3">
        <v>17</v>
      </c>
      <c r="AB35" s="3">
        <v>13</v>
      </c>
      <c r="AC35" s="3">
        <v>12</v>
      </c>
      <c r="AD35" s="3">
        <v>16</v>
      </c>
      <c r="AE35" s="3">
        <v>19</v>
      </c>
      <c r="AF35" s="3">
        <v>22</v>
      </c>
      <c r="AG35" s="3">
        <v>23</v>
      </c>
      <c r="AH35" s="3">
        <v>24</v>
      </c>
      <c r="AI35" s="3">
        <v>25</v>
      </c>
      <c r="AJ35" s="3">
        <v>26</v>
      </c>
      <c r="AK35" s="3">
        <v>27</v>
      </c>
    </row>
    <row r="36" spans="1:37" x14ac:dyDescent="0.3">
      <c r="A36" s="14" t="s">
        <v>152</v>
      </c>
      <c r="B36" s="3">
        <v>218</v>
      </c>
      <c r="C36" s="3">
        <v>284</v>
      </c>
      <c r="D36" s="3">
        <v>363</v>
      </c>
      <c r="E36" s="3">
        <v>316</v>
      </c>
      <c r="F36" s="3">
        <v>465</v>
      </c>
      <c r="G36" s="3">
        <v>456</v>
      </c>
      <c r="H36" s="3">
        <v>285</v>
      </c>
      <c r="I36" s="3">
        <v>354</v>
      </c>
      <c r="J36" s="3">
        <v>387</v>
      </c>
      <c r="K36" s="3">
        <v>566</v>
      </c>
      <c r="L36" s="3">
        <v>510</v>
      </c>
      <c r="M36" s="3">
        <v>591</v>
      </c>
      <c r="N36" s="3">
        <v>645</v>
      </c>
      <c r="O36" s="3">
        <v>585</v>
      </c>
      <c r="P36" s="3">
        <v>920</v>
      </c>
      <c r="Q36" s="3">
        <v>743</v>
      </c>
      <c r="R36" s="3">
        <v>1152</v>
      </c>
      <c r="S36" s="3">
        <v>1310</v>
      </c>
      <c r="T36" s="3">
        <v>1455</v>
      </c>
      <c r="U36" s="3">
        <v>1078</v>
      </c>
      <c r="V36" s="3">
        <v>190</v>
      </c>
      <c r="W36" s="3">
        <v>180</v>
      </c>
      <c r="X36" s="3">
        <v>194</v>
      </c>
      <c r="Y36" s="3">
        <v>167</v>
      </c>
      <c r="Z36" s="3">
        <v>470</v>
      </c>
      <c r="AA36" s="3">
        <v>157</v>
      </c>
      <c r="AB36" s="3">
        <v>181</v>
      </c>
      <c r="AC36" s="3">
        <v>210</v>
      </c>
      <c r="AD36" s="3">
        <v>117</v>
      </c>
      <c r="AE36" s="3">
        <v>179</v>
      </c>
      <c r="AF36" s="3">
        <v>136</v>
      </c>
      <c r="AG36" s="3">
        <v>137</v>
      </c>
      <c r="AH36" s="3">
        <v>184</v>
      </c>
      <c r="AI36" s="3">
        <v>190</v>
      </c>
      <c r="AJ36" s="3">
        <v>140</v>
      </c>
      <c r="AK36" s="3">
        <v>143</v>
      </c>
    </row>
    <row r="37" spans="1:37" x14ac:dyDescent="0.3">
      <c r="A37" s="7" t="s">
        <v>153</v>
      </c>
      <c r="B37" s="3">
        <v>41</v>
      </c>
      <c r="C37" s="3">
        <v>43</v>
      </c>
      <c r="D37" s="3">
        <v>47</v>
      </c>
      <c r="E37" s="3">
        <v>57</v>
      </c>
      <c r="F37" s="3">
        <v>53</v>
      </c>
      <c r="G37" s="3">
        <v>123</v>
      </c>
      <c r="H37" s="3">
        <v>74</v>
      </c>
      <c r="I37" s="3">
        <v>88</v>
      </c>
      <c r="J37" s="3">
        <v>41</v>
      </c>
      <c r="K37" s="3">
        <v>50</v>
      </c>
      <c r="L37" s="3">
        <v>48</v>
      </c>
      <c r="M37" s="3">
        <v>59</v>
      </c>
      <c r="N37" s="3">
        <v>50</v>
      </c>
      <c r="O37" s="3">
        <v>59</v>
      </c>
      <c r="P37" s="3">
        <v>62</v>
      </c>
      <c r="Q37" s="3">
        <v>74</v>
      </c>
      <c r="R37" s="3">
        <v>76</v>
      </c>
      <c r="S37" s="3">
        <v>64</v>
      </c>
      <c r="T37" s="3">
        <v>82</v>
      </c>
      <c r="U37" s="3">
        <v>63</v>
      </c>
      <c r="V37" s="3">
        <v>70</v>
      </c>
      <c r="W37" s="3">
        <v>88</v>
      </c>
      <c r="X37" s="3">
        <v>84</v>
      </c>
      <c r="Y37" s="3">
        <v>83</v>
      </c>
      <c r="Z37" s="3">
        <v>154</v>
      </c>
      <c r="AA37" s="3">
        <v>84</v>
      </c>
      <c r="AB37" s="3">
        <v>89</v>
      </c>
      <c r="AC37" s="3">
        <v>128</v>
      </c>
      <c r="AD37" s="3">
        <v>84</v>
      </c>
      <c r="AE37" s="3">
        <v>95</v>
      </c>
      <c r="AF37" s="3">
        <v>103</v>
      </c>
      <c r="AG37" s="3">
        <v>105</v>
      </c>
      <c r="AH37" s="3">
        <v>152</v>
      </c>
      <c r="AI37" s="3">
        <v>158</v>
      </c>
      <c r="AJ37" s="3">
        <v>108</v>
      </c>
      <c r="AK37" s="3">
        <v>110</v>
      </c>
    </row>
    <row r="38" spans="1:37" x14ac:dyDescent="0.3">
      <c r="A38" s="7" t="s">
        <v>154</v>
      </c>
      <c r="B38" s="3">
        <v>4</v>
      </c>
      <c r="C38" s="3">
        <v>4</v>
      </c>
      <c r="D38" s="3">
        <v>42</v>
      </c>
      <c r="E38" s="3">
        <v>8</v>
      </c>
      <c r="F38" s="3">
        <v>5</v>
      </c>
      <c r="G38" s="3">
        <v>2</v>
      </c>
      <c r="H38" s="3">
        <v>2</v>
      </c>
      <c r="I38" s="3">
        <v>2</v>
      </c>
      <c r="J38" s="3">
        <v>2</v>
      </c>
      <c r="K38" s="3">
        <v>1</v>
      </c>
      <c r="L38" s="3">
        <v>30</v>
      </c>
      <c r="M38" s="3">
        <v>28</v>
      </c>
      <c r="N38" s="3">
        <v>34</v>
      </c>
      <c r="O38" s="3">
        <v>35</v>
      </c>
      <c r="P38" s="3">
        <v>42</v>
      </c>
      <c r="Q38" s="3">
        <v>40</v>
      </c>
      <c r="R38" s="3">
        <v>43</v>
      </c>
      <c r="S38" s="3">
        <v>52</v>
      </c>
      <c r="T38" s="3">
        <v>56</v>
      </c>
      <c r="U38" s="3">
        <v>56</v>
      </c>
      <c r="V38" s="3">
        <v>89</v>
      </c>
      <c r="W38" s="3">
        <v>63</v>
      </c>
      <c r="X38" s="3">
        <v>52</v>
      </c>
      <c r="Y38" s="3">
        <v>54</v>
      </c>
      <c r="Z38" s="3">
        <v>282</v>
      </c>
      <c r="AA38" s="3">
        <v>37</v>
      </c>
      <c r="AB38" s="3">
        <v>34</v>
      </c>
      <c r="AC38" s="3">
        <v>3</v>
      </c>
      <c r="AD38" s="3">
        <v>34</v>
      </c>
      <c r="AE38" s="3">
        <v>84</v>
      </c>
      <c r="AF38" s="3">
        <v>32</v>
      </c>
      <c r="AG38" s="3">
        <v>32</v>
      </c>
      <c r="AH38" s="3">
        <v>32</v>
      </c>
      <c r="AI38" s="3">
        <v>32</v>
      </c>
      <c r="AJ38" s="3">
        <v>32</v>
      </c>
      <c r="AK38" s="3">
        <v>32</v>
      </c>
    </row>
    <row r="39" spans="1:37" x14ac:dyDescent="0.3">
      <c r="A39" s="7" t="s">
        <v>155</v>
      </c>
      <c r="B39" s="3">
        <v>172</v>
      </c>
      <c r="C39" s="3">
        <v>237</v>
      </c>
      <c r="D39" s="3">
        <v>274</v>
      </c>
      <c r="E39" s="3">
        <v>252</v>
      </c>
      <c r="F39" s="3">
        <v>408</v>
      </c>
      <c r="G39" s="3">
        <v>332</v>
      </c>
      <c r="H39" s="3">
        <v>209</v>
      </c>
      <c r="I39" s="3">
        <v>264</v>
      </c>
      <c r="J39" s="3">
        <v>344</v>
      </c>
      <c r="K39" s="3">
        <v>515</v>
      </c>
      <c r="L39" s="3">
        <v>432</v>
      </c>
      <c r="M39" s="3">
        <v>503</v>
      </c>
      <c r="N39" s="3">
        <v>562</v>
      </c>
      <c r="O39" s="3">
        <v>492</v>
      </c>
      <c r="P39" s="3">
        <v>816</v>
      </c>
      <c r="Q39" s="3">
        <v>629</v>
      </c>
      <c r="R39" s="3">
        <v>1033</v>
      </c>
      <c r="S39" s="3">
        <v>1195</v>
      </c>
      <c r="T39" s="3">
        <v>1317</v>
      </c>
      <c r="U39" s="3">
        <v>958</v>
      </c>
      <c r="V39" s="3">
        <v>32</v>
      </c>
      <c r="W39" s="3">
        <v>29</v>
      </c>
      <c r="X39" s="3">
        <v>58</v>
      </c>
      <c r="Y39" s="3">
        <v>30</v>
      </c>
      <c r="Z39" s="3">
        <v>34</v>
      </c>
      <c r="AA39" s="3">
        <v>37</v>
      </c>
      <c r="AB39" s="3">
        <v>58</v>
      </c>
      <c r="AC39" s="3">
        <v>80</v>
      </c>
      <c r="AD39" s="3">
        <v>0</v>
      </c>
      <c r="AE39" s="3">
        <v>0</v>
      </c>
      <c r="AF39" s="3">
        <v>0</v>
      </c>
      <c r="AG39" s="3">
        <v>0</v>
      </c>
      <c r="AH39" s="3">
        <v>0</v>
      </c>
      <c r="AI39" s="3">
        <v>0</v>
      </c>
      <c r="AJ39" s="3">
        <v>0</v>
      </c>
      <c r="AK39" s="3">
        <v>0</v>
      </c>
    </row>
    <row r="40" spans="1:37" x14ac:dyDescent="0.3">
      <c r="A40" s="14" t="s">
        <v>156</v>
      </c>
      <c r="B40" s="3">
        <v>44</v>
      </c>
      <c r="C40" s="3">
        <v>50</v>
      </c>
      <c r="D40" s="3">
        <v>79</v>
      </c>
      <c r="E40" s="3">
        <v>143</v>
      </c>
      <c r="F40" s="3">
        <v>168</v>
      </c>
      <c r="G40" s="3">
        <v>329</v>
      </c>
      <c r="H40" s="3">
        <v>168</v>
      </c>
      <c r="I40" s="3">
        <v>146</v>
      </c>
      <c r="J40" s="3">
        <v>206</v>
      </c>
      <c r="K40" s="3">
        <v>211</v>
      </c>
      <c r="L40" s="3">
        <v>247</v>
      </c>
      <c r="M40" s="3">
        <v>188</v>
      </c>
      <c r="N40" s="3">
        <v>193</v>
      </c>
      <c r="O40" s="3">
        <v>220</v>
      </c>
      <c r="P40" s="3">
        <v>261</v>
      </c>
      <c r="Q40" s="3">
        <v>262</v>
      </c>
      <c r="R40" s="3">
        <v>250</v>
      </c>
      <c r="S40" s="3">
        <v>271</v>
      </c>
      <c r="T40" s="3">
        <v>313</v>
      </c>
      <c r="U40" s="3">
        <v>283</v>
      </c>
      <c r="V40" s="3">
        <v>9416</v>
      </c>
      <c r="W40" s="3">
        <v>9839</v>
      </c>
      <c r="X40" s="3">
        <v>10107</v>
      </c>
      <c r="Y40" s="3">
        <v>10448</v>
      </c>
      <c r="Z40" s="3">
        <v>10586</v>
      </c>
      <c r="AA40" s="3">
        <v>10980</v>
      </c>
      <c r="AB40" s="3">
        <v>11948</v>
      </c>
      <c r="AC40" s="3">
        <v>12857</v>
      </c>
      <c r="AD40" s="3">
        <v>13467</v>
      </c>
      <c r="AE40" s="3">
        <v>14583</v>
      </c>
      <c r="AF40" s="3">
        <v>14632</v>
      </c>
      <c r="AG40" s="3">
        <v>15194</v>
      </c>
      <c r="AH40" s="3">
        <v>15602</v>
      </c>
      <c r="AI40" s="3">
        <v>15937</v>
      </c>
      <c r="AJ40" s="3">
        <v>16310</v>
      </c>
      <c r="AK40" s="3">
        <v>16665</v>
      </c>
    </row>
    <row r="41" spans="1:37" x14ac:dyDescent="0.3">
      <c r="A41" s="7" t="s">
        <v>157</v>
      </c>
      <c r="B41" s="3">
        <v>44</v>
      </c>
      <c r="C41" s="3">
        <v>50</v>
      </c>
      <c r="D41" s="3">
        <v>79</v>
      </c>
      <c r="E41" s="3">
        <v>143</v>
      </c>
      <c r="F41" s="3">
        <v>168</v>
      </c>
      <c r="G41" s="3">
        <v>158</v>
      </c>
      <c r="H41" s="3">
        <v>168</v>
      </c>
      <c r="I41" s="3">
        <v>146</v>
      </c>
      <c r="J41" s="3">
        <v>206</v>
      </c>
      <c r="K41" s="3">
        <v>211</v>
      </c>
      <c r="L41" s="3">
        <v>153</v>
      </c>
      <c r="M41" s="3">
        <v>188</v>
      </c>
      <c r="N41" s="3">
        <v>193</v>
      </c>
      <c r="O41" s="3">
        <v>220</v>
      </c>
      <c r="P41" s="3">
        <v>261</v>
      </c>
      <c r="Q41" s="3">
        <v>262</v>
      </c>
      <c r="R41" s="3">
        <v>250</v>
      </c>
      <c r="S41" s="3">
        <v>271</v>
      </c>
      <c r="T41" s="3">
        <v>313</v>
      </c>
      <c r="U41" s="3">
        <v>283</v>
      </c>
      <c r="V41" s="3">
        <v>9416</v>
      </c>
      <c r="W41" s="3">
        <v>9839</v>
      </c>
      <c r="X41" s="3">
        <v>10107</v>
      </c>
      <c r="Y41" s="3">
        <v>10448</v>
      </c>
      <c r="Z41" s="3">
        <v>10586</v>
      </c>
      <c r="AA41" s="3">
        <v>10980</v>
      </c>
      <c r="AB41" s="3">
        <v>11948</v>
      </c>
      <c r="AC41" s="3">
        <v>12857</v>
      </c>
      <c r="AD41" s="3">
        <v>13467</v>
      </c>
      <c r="AE41" s="3">
        <v>14583</v>
      </c>
      <c r="AF41" s="3">
        <v>14632</v>
      </c>
      <c r="AG41" s="3">
        <v>15194</v>
      </c>
      <c r="AH41" s="3">
        <v>15602</v>
      </c>
      <c r="AI41" s="3">
        <v>15937</v>
      </c>
      <c r="AJ41" s="3">
        <v>16310</v>
      </c>
      <c r="AK41" s="3">
        <v>16665</v>
      </c>
    </row>
    <row r="42" spans="1:37" x14ac:dyDescent="0.3">
      <c r="A42" s="7" t="s">
        <v>158</v>
      </c>
      <c r="B42" s="3">
        <v>0</v>
      </c>
      <c r="C42" s="3">
        <v>0</v>
      </c>
      <c r="D42" s="3">
        <v>0</v>
      </c>
      <c r="E42" s="3">
        <v>0</v>
      </c>
      <c r="F42" s="3">
        <v>0</v>
      </c>
      <c r="G42" s="3">
        <v>171</v>
      </c>
      <c r="H42" s="3">
        <v>0</v>
      </c>
      <c r="I42" s="3">
        <v>0</v>
      </c>
      <c r="J42" s="3">
        <v>0</v>
      </c>
      <c r="K42" s="3">
        <v>0</v>
      </c>
      <c r="L42" s="3">
        <v>94</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row>
    <row r="43" spans="1:37" x14ac:dyDescent="0.3">
      <c r="A43" s="14" t="s">
        <v>159</v>
      </c>
      <c r="B43" s="3">
        <v>197</v>
      </c>
      <c r="C43" s="3">
        <v>239</v>
      </c>
      <c r="D43" s="3">
        <v>200</v>
      </c>
      <c r="E43" s="3">
        <v>218</v>
      </c>
      <c r="F43" s="3">
        <v>184</v>
      </c>
      <c r="G43" s="3">
        <v>116</v>
      </c>
      <c r="H43" s="3">
        <v>110</v>
      </c>
      <c r="I43" s="3">
        <v>109</v>
      </c>
      <c r="J43" s="3">
        <v>112</v>
      </c>
      <c r="K43" s="3">
        <v>106</v>
      </c>
      <c r="L43" s="3">
        <v>104</v>
      </c>
      <c r="M43" s="3">
        <v>106</v>
      </c>
      <c r="N43" s="3">
        <v>113</v>
      </c>
      <c r="O43" s="3">
        <v>115</v>
      </c>
      <c r="P43" s="3">
        <v>125</v>
      </c>
      <c r="Q43" s="3">
        <v>183</v>
      </c>
      <c r="R43" s="3">
        <v>140</v>
      </c>
      <c r="S43" s="3">
        <v>164</v>
      </c>
      <c r="T43" s="3">
        <v>185</v>
      </c>
      <c r="U43" s="3">
        <v>235</v>
      </c>
      <c r="V43" s="3">
        <v>23</v>
      </c>
      <c r="W43" s="3">
        <v>11</v>
      </c>
      <c r="X43" s="3">
        <v>-41</v>
      </c>
      <c r="Y43" s="3">
        <v>-40</v>
      </c>
      <c r="Z43" s="3">
        <v>-72</v>
      </c>
      <c r="AA43" s="3">
        <v>11</v>
      </c>
      <c r="AB43" s="3">
        <v>33</v>
      </c>
      <c r="AC43" s="3">
        <v>45</v>
      </c>
      <c r="AD43" s="3">
        <v>11</v>
      </c>
      <c r="AE43" s="3">
        <v>17</v>
      </c>
      <c r="AF43" s="3">
        <v>34</v>
      </c>
      <c r="AG43" s="3">
        <v>53</v>
      </c>
      <c r="AH43" s="3">
        <v>43</v>
      </c>
      <c r="AI43" s="3">
        <v>47</v>
      </c>
      <c r="AJ43" s="3">
        <v>47</v>
      </c>
      <c r="AK43" s="3">
        <v>63</v>
      </c>
    </row>
    <row r="44" spans="1:37" x14ac:dyDescent="0.3">
      <c r="A44" s="11" t="s">
        <v>160</v>
      </c>
      <c r="B44" s="11">
        <v>-768</v>
      </c>
      <c r="C44" s="11">
        <v>462</v>
      </c>
      <c r="D44" s="11">
        <v>506</v>
      </c>
      <c r="E44" s="11">
        <v>1071</v>
      </c>
      <c r="F44" s="11">
        <v>853</v>
      </c>
      <c r="G44" s="11">
        <v>1677</v>
      </c>
      <c r="H44" s="11">
        <v>998</v>
      </c>
      <c r="I44" s="11">
        <v>-1175</v>
      </c>
      <c r="J44" s="11">
        <v>-258</v>
      </c>
      <c r="K44" s="11">
        <v>-321</v>
      </c>
      <c r="L44" s="11">
        <v>778</v>
      </c>
      <c r="M44" s="11">
        <v>1455</v>
      </c>
      <c r="N44" s="11">
        <v>1209</v>
      </c>
      <c r="O44" s="11">
        <v>-2621</v>
      </c>
      <c r="P44" s="11">
        <v>-730</v>
      </c>
      <c r="Q44" s="11">
        <v>62</v>
      </c>
      <c r="R44" s="11">
        <v>-380</v>
      </c>
      <c r="S44" s="11">
        <v>-352</v>
      </c>
      <c r="T44" s="11">
        <v>-140</v>
      </c>
      <c r="U44" s="11">
        <v>800</v>
      </c>
      <c r="V44" s="11">
        <v>-268</v>
      </c>
      <c r="W44" s="11">
        <v>807</v>
      </c>
      <c r="X44" s="11">
        <v>-254</v>
      </c>
      <c r="Y44" s="11">
        <v>1046</v>
      </c>
      <c r="Z44" s="11">
        <v>1124</v>
      </c>
      <c r="AA44" s="11">
        <v>1411</v>
      </c>
      <c r="AB44" s="11">
        <v>-726</v>
      </c>
      <c r="AC44" s="11">
        <v>1941</v>
      </c>
      <c r="AD44" s="11">
        <v>383</v>
      </c>
      <c r="AE44" s="11">
        <v>279</v>
      </c>
      <c r="AF44" s="11">
        <v>-1586</v>
      </c>
      <c r="AG44" s="11">
        <v>580</v>
      </c>
      <c r="AH44" s="11">
        <v>-263</v>
      </c>
      <c r="AI44" s="11">
        <v>130</v>
      </c>
      <c r="AJ44" s="11">
        <v>-210</v>
      </c>
      <c r="AK44" s="11">
        <v>-950</v>
      </c>
    </row>
    <row r="45" spans="1:37" x14ac:dyDescent="0.3">
      <c r="A45" s="7" t="s">
        <v>161</v>
      </c>
      <c r="B45" s="3">
        <v>-537</v>
      </c>
      <c r="C45" s="3">
        <v>982</v>
      </c>
      <c r="D45" s="3">
        <v>911</v>
      </c>
      <c r="E45" s="3">
        <v>1043</v>
      </c>
      <c r="F45" s="3">
        <v>1406</v>
      </c>
      <c r="G45" s="3">
        <v>1051</v>
      </c>
      <c r="H45" s="3">
        <v>1501</v>
      </c>
      <c r="I45" s="3">
        <v>-632</v>
      </c>
      <c r="J45" s="3">
        <v>120</v>
      </c>
      <c r="K45" s="3">
        <v>443</v>
      </c>
      <c r="L45" s="3">
        <v>1413</v>
      </c>
      <c r="M45" s="3">
        <v>2059</v>
      </c>
      <c r="N45" s="3">
        <v>1674</v>
      </c>
      <c r="O45" s="3">
        <v>-2000</v>
      </c>
      <c r="P45" s="3">
        <v>316</v>
      </c>
      <c r="Q45" s="3">
        <v>946</v>
      </c>
      <c r="R45" s="3">
        <v>950</v>
      </c>
      <c r="S45" s="3">
        <v>1117</v>
      </c>
      <c r="T45" s="3">
        <v>1432</v>
      </c>
      <c r="U45" s="3">
        <v>1978</v>
      </c>
      <c r="V45" s="3">
        <v>37</v>
      </c>
      <c r="W45" s="3">
        <v>1050</v>
      </c>
      <c r="X45" s="3">
        <v>-25</v>
      </c>
      <c r="Y45" s="3">
        <v>1295</v>
      </c>
      <c r="Z45" s="3">
        <v>1651</v>
      </c>
      <c r="AA45" s="3">
        <v>1581</v>
      </c>
      <c r="AB45" s="3">
        <v>-702</v>
      </c>
      <c r="AC45" s="3">
        <v>1984</v>
      </c>
      <c r="AD45" s="3">
        <v>517</v>
      </c>
      <c r="AE45" s="3">
        <v>503</v>
      </c>
      <c r="AF45" s="3">
        <v>-1380</v>
      </c>
      <c r="AG45" s="3">
        <v>791</v>
      </c>
      <c r="AH45" s="3">
        <v>-1</v>
      </c>
      <c r="AI45" s="3">
        <v>401</v>
      </c>
      <c r="AJ45" s="3">
        <v>15</v>
      </c>
      <c r="AK45" s="3">
        <v>-719</v>
      </c>
    </row>
    <row r="46" spans="1:37" x14ac:dyDescent="0.3">
      <c r="A46" s="11" t="s">
        <v>162</v>
      </c>
      <c r="B46" s="11">
        <v>-571</v>
      </c>
      <c r="C46" s="11">
        <v>701</v>
      </c>
      <c r="D46" s="11">
        <v>705</v>
      </c>
      <c r="E46" s="11">
        <v>1289</v>
      </c>
      <c r="F46" s="11">
        <v>1037</v>
      </c>
      <c r="G46" s="11">
        <v>1793</v>
      </c>
      <c r="H46" s="11">
        <v>1107</v>
      </c>
      <c r="I46" s="11">
        <v>-1066</v>
      </c>
      <c r="J46" s="11">
        <v>-145</v>
      </c>
      <c r="K46" s="11">
        <v>-215</v>
      </c>
      <c r="L46" s="11">
        <v>882</v>
      </c>
      <c r="M46" s="11">
        <v>1561</v>
      </c>
      <c r="N46" s="11">
        <v>1322</v>
      </c>
      <c r="O46" s="11">
        <v>-2506</v>
      </c>
      <c r="P46" s="11">
        <v>-604</v>
      </c>
      <c r="Q46" s="11">
        <v>245</v>
      </c>
      <c r="R46" s="11">
        <v>-240</v>
      </c>
      <c r="S46" s="11">
        <v>-188</v>
      </c>
      <c r="T46" s="11">
        <v>44</v>
      </c>
      <c r="U46" s="11">
        <v>1035</v>
      </c>
      <c r="V46" s="11">
        <v>-245</v>
      </c>
      <c r="W46" s="11">
        <v>818</v>
      </c>
      <c r="X46" s="11">
        <v>-295</v>
      </c>
      <c r="Y46" s="11">
        <v>1007</v>
      </c>
      <c r="Z46" s="11">
        <v>1052</v>
      </c>
      <c r="AA46" s="11">
        <v>1422</v>
      </c>
      <c r="AB46" s="11">
        <v>-693</v>
      </c>
      <c r="AC46" s="11">
        <v>1986</v>
      </c>
      <c r="AD46" s="11">
        <v>394</v>
      </c>
      <c r="AE46" s="11">
        <v>296</v>
      </c>
      <c r="AF46" s="11">
        <v>-1551</v>
      </c>
      <c r="AG46" s="11">
        <v>633</v>
      </c>
      <c r="AH46" s="11">
        <v>-220</v>
      </c>
      <c r="AI46" s="11">
        <v>177</v>
      </c>
      <c r="AJ46" s="11">
        <v>-163</v>
      </c>
      <c r="AK46" s="11">
        <v>-887</v>
      </c>
    </row>
    <row r="47" spans="1:37" x14ac:dyDescent="0.3">
      <c r="A47" s="3" t="s">
        <v>163</v>
      </c>
      <c r="B47" s="3">
        <v>12263</v>
      </c>
      <c r="C47" s="3">
        <v>12141</v>
      </c>
      <c r="D47" s="3">
        <v>12913</v>
      </c>
      <c r="E47" s="3">
        <v>13701</v>
      </c>
      <c r="F47" s="3">
        <v>14348</v>
      </c>
      <c r="G47" s="3">
        <v>15105</v>
      </c>
      <c r="H47" s="3">
        <v>15952</v>
      </c>
      <c r="I47" s="3">
        <v>17116</v>
      </c>
      <c r="J47" s="3">
        <v>19631</v>
      </c>
      <c r="K47" s="3">
        <v>20092</v>
      </c>
      <c r="L47" s="3">
        <v>20754</v>
      </c>
      <c r="M47" s="3">
        <v>21829</v>
      </c>
      <c r="N47" s="3">
        <v>23972</v>
      </c>
      <c r="O47" s="3">
        <v>25449</v>
      </c>
      <c r="P47" s="3">
        <v>26136</v>
      </c>
      <c r="Q47" s="3">
        <v>27458</v>
      </c>
      <c r="R47" s="3">
        <v>28330</v>
      </c>
      <c r="S47" s="3">
        <v>29089</v>
      </c>
      <c r="T47" s="3">
        <v>29853</v>
      </c>
      <c r="U47" s="3">
        <v>27120</v>
      </c>
      <c r="V47" s="3">
        <v>27619</v>
      </c>
      <c r="W47" s="3">
        <v>28272</v>
      </c>
      <c r="X47" s="3">
        <v>29244</v>
      </c>
      <c r="Y47" s="3">
        <v>30163</v>
      </c>
      <c r="Z47" s="3">
        <v>29544</v>
      </c>
      <c r="AA47" s="3">
        <v>32806</v>
      </c>
      <c r="AB47" s="3">
        <v>34322</v>
      </c>
      <c r="AC47" s="3">
        <v>37340</v>
      </c>
      <c r="AD47" s="3">
        <v>39740</v>
      </c>
      <c r="AE47" s="3">
        <v>41722</v>
      </c>
      <c r="AF47" s="3">
        <v>43883</v>
      </c>
      <c r="AG47" s="3">
        <v>46047</v>
      </c>
      <c r="AH47" s="3">
        <v>48318</v>
      </c>
      <c r="AI47" s="3">
        <v>50119</v>
      </c>
      <c r="AJ47" s="3">
        <v>52296</v>
      </c>
      <c r="AK47" s="3">
        <v>54721</v>
      </c>
    </row>
  </sheetData>
  <mergeCells count="1">
    <mergeCell ref="A1:AK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991D-DD18-468C-9E09-129146B0B99A}">
  <dimension ref="A1:AK58"/>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19" width="6" style="1" bestFit="1" customWidth="1"/>
    <col min="20" max="37" width="7" style="1" bestFit="1" customWidth="1"/>
    <col min="38" max="16384" width="9.109375" style="1"/>
  </cols>
  <sheetData>
    <row r="1" spans="1:37" ht="15" customHeight="1" x14ac:dyDescent="0.3">
      <c r="A1" s="28" t="s">
        <v>77</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 t="s">
        <v>78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79</v>
      </c>
      <c r="B4" s="12">
        <v>46940</v>
      </c>
      <c r="C4" s="12">
        <v>47914</v>
      </c>
      <c r="D4" s="12">
        <v>49308</v>
      </c>
      <c r="E4" s="12">
        <v>50938</v>
      </c>
      <c r="F4" s="12">
        <v>52713</v>
      </c>
      <c r="G4" s="12">
        <v>55115</v>
      </c>
      <c r="H4" s="12">
        <v>58782</v>
      </c>
      <c r="I4" s="12">
        <v>61928</v>
      </c>
      <c r="J4" s="12">
        <v>65117</v>
      </c>
      <c r="K4" s="12">
        <v>67344</v>
      </c>
      <c r="L4" s="12">
        <v>69626</v>
      </c>
      <c r="M4" s="12">
        <v>73366</v>
      </c>
      <c r="N4" s="12">
        <v>79012</v>
      </c>
      <c r="O4" s="12">
        <v>84789</v>
      </c>
      <c r="P4" s="12">
        <v>87273</v>
      </c>
      <c r="Q4" s="12">
        <v>91415</v>
      </c>
      <c r="R4" s="12">
        <v>95816</v>
      </c>
      <c r="S4" s="12">
        <v>99105</v>
      </c>
      <c r="T4" s="12">
        <v>100909</v>
      </c>
      <c r="U4" s="12">
        <v>102919</v>
      </c>
      <c r="V4" s="12">
        <v>106036</v>
      </c>
      <c r="W4" s="12">
        <v>109170</v>
      </c>
      <c r="X4" s="12">
        <v>112720</v>
      </c>
      <c r="Y4" s="12">
        <v>116595</v>
      </c>
      <c r="Z4" s="12">
        <v>127761</v>
      </c>
      <c r="AA4" s="12">
        <v>131071</v>
      </c>
      <c r="AB4" s="12">
        <v>139137</v>
      </c>
      <c r="AC4" s="12">
        <v>149416</v>
      </c>
      <c r="AD4" s="12">
        <v>158453</v>
      </c>
      <c r="AE4" s="12">
        <v>164977</v>
      </c>
      <c r="AF4" s="12">
        <v>170656</v>
      </c>
      <c r="AG4" s="12">
        <v>177800</v>
      </c>
      <c r="AH4" s="12">
        <v>184702</v>
      </c>
      <c r="AI4" s="12">
        <v>190621</v>
      </c>
      <c r="AJ4" s="12">
        <v>197693</v>
      </c>
      <c r="AK4" s="12">
        <v>204469</v>
      </c>
    </row>
    <row r="5" spans="1:37" x14ac:dyDescent="0.3">
      <c r="A5" s="14" t="s">
        <v>80</v>
      </c>
      <c r="B5" s="3">
        <v>33909</v>
      </c>
      <c r="C5" s="3">
        <v>34952</v>
      </c>
      <c r="D5" s="3">
        <v>35649</v>
      </c>
      <c r="E5" s="3">
        <v>36292</v>
      </c>
      <c r="F5" s="3">
        <v>37232</v>
      </c>
      <c r="G5" s="3">
        <v>38790</v>
      </c>
      <c r="H5" s="3">
        <v>41466</v>
      </c>
      <c r="I5" s="3">
        <v>43353</v>
      </c>
      <c r="J5" s="3">
        <v>45024</v>
      </c>
      <c r="K5" s="3">
        <v>46678</v>
      </c>
      <c r="L5" s="3">
        <v>48278</v>
      </c>
      <c r="M5" s="3">
        <v>50803</v>
      </c>
      <c r="N5" s="3">
        <v>54067</v>
      </c>
      <c r="O5" s="3">
        <v>58197</v>
      </c>
      <c r="P5" s="3">
        <v>59699</v>
      </c>
      <c r="Q5" s="3">
        <v>62176</v>
      </c>
      <c r="R5" s="3">
        <v>65426</v>
      </c>
      <c r="S5" s="3">
        <v>68235</v>
      </c>
      <c r="T5" s="3">
        <v>69236</v>
      </c>
      <c r="U5" s="3">
        <v>70724</v>
      </c>
      <c r="V5" s="3">
        <v>72856</v>
      </c>
      <c r="W5" s="3">
        <v>75156</v>
      </c>
      <c r="X5" s="3">
        <v>77423</v>
      </c>
      <c r="Y5" s="3">
        <v>80059</v>
      </c>
      <c r="Z5" s="3">
        <v>91544</v>
      </c>
      <c r="AA5" s="3">
        <v>90569</v>
      </c>
      <c r="AB5" s="3">
        <v>94970</v>
      </c>
      <c r="AC5" s="3">
        <v>102771</v>
      </c>
      <c r="AD5" s="3">
        <v>109277</v>
      </c>
      <c r="AE5" s="3">
        <v>113460</v>
      </c>
      <c r="AF5" s="3">
        <v>116795</v>
      </c>
      <c r="AG5" s="3">
        <v>121308</v>
      </c>
      <c r="AH5" s="3">
        <v>125253</v>
      </c>
      <c r="AI5" s="3">
        <v>128767</v>
      </c>
      <c r="AJ5" s="3">
        <v>133216</v>
      </c>
      <c r="AK5" s="3">
        <v>137081</v>
      </c>
    </row>
    <row r="6" spans="1:37" ht="15" thickBot="1" x14ac:dyDescent="0.35">
      <c r="A6" s="14" t="s">
        <v>81</v>
      </c>
      <c r="B6" s="3">
        <v>13032</v>
      </c>
      <c r="C6" s="3">
        <v>12962</v>
      </c>
      <c r="D6" s="3">
        <v>13659</v>
      </c>
      <c r="E6" s="3">
        <v>14646</v>
      </c>
      <c r="F6" s="3">
        <v>15481</v>
      </c>
      <c r="G6" s="3">
        <v>16325</v>
      </c>
      <c r="H6" s="3">
        <v>17316</v>
      </c>
      <c r="I6" s="3">
        <v>18575</v>
      </c>
      <c r="J6" s="3">
        <v>20092</v>
      </c>
      <c r="K6" s="3">
        <v>20666</v>
      </c>
      <c r="L6" s="3">
        <v>21347</v>
      </c>
      <c r="M6" s="3">
        <v>22563</v>
      </c>
      <c r="N6" s="3">
        <v>24945</v>
      </c>
      <c r="O6" s="3">
        <v>26592</v>
      </c>
      <c r="P6" s="3">
        <v>27574</v>
      </c>
      <c r="Q6" s="3">
        <v>29239</v>
      </c>
      <c r="R6" s="3">
        <v>30390</v>
      </c>
      <c r="S6" s="3">
        <v>30870</v>
      </c>
      <c r="T6" s="3">
        <v>31674</v>
      </c>
      <c r="U6" s="3">
        <v>32195</v>
      </c>
      <c r="V6" s="3">
        <v>33179</v>
      </c>
      <c r="W6" s="3">
        <v>34014</v>
      </c>
      <c r="X6" s="3">
        <v>35297</v>
      </c>
      <c r="Y6" s="3">
        <v>36536</v>
      </c>
      <c r="Z6" s="3">
        <v>36217</v>
      </c>
      <c r="AA6" s="3">
        <v>40503</v>
      </c>
      <c r="AB6" s="3">
        <v>44166</v>
      </c>
      <c r="AC6" s="3">
        <v>46645</v>
      </c>
      <c r="AD6" s="3">
        <v>49175</v>
      </c>
      <c r="AE6" s="3">
        <v>51518</v>
      </c>
      <c r="AF6" s="3">
        <v>53862</v>
      </c>
      <c r="AG6" s="3">
        <v>56492</v>
      </c>
      <c r="AH6" s="3">
        <v>59449</v>
      </c>
      <c r="AI6" s="3">
        <v>61854</v>
      </c>
      <c r="AJ6" s="3">
        <v>64478</v>
      </c>
      <c r="AK6" s="3">
        <v>67388</v>
      </c>
    </row>
    <row r="7" spans="1:37" x14ac:dyDescent="0.3">
      <c r="A7" s="12" t="s">
        <v>82</v>
      </c>
      <c r="B7" s="12">
        <v>37048</v>
      </c>
      <c r="C7" s="12">
        <v>37454</v>
      </c>
      <c r="D7" s="12">
        <v>38646</v>
      </c>
      <c r="E7" s="12">
        <v>39847</v>
      </c>
      <c r="F7" s="12">
        <v>40960</v>
      </c>
      <c r="G7" s="12">
        <v>42830</v>
      </c>
      <c r="H7" s="12">
        <v>45403</v>
      </c>
      <c r="I7" s="12">
        <v>48068</v>
      </c>
      <c r="J7" s="12">
        <v>51484</v>
      </c>
      <c r="K7" s="12">
        <v>53111</v>
      </c>
      <c r="L7" s="12">
        <v>54681</v>
      </c>
      <c r="M7" s="12">
        <v>56706</v>
      </c>
      <c r="N7" s="12">
        <v>61119</v>
      </c>
      <c r="O7" s="12">
        <v>65600</v>
      </c>
      <c r="P7" s="12">
        <v>67581</v>
      </c>
      <c r="Q7" s="12">
        <v>70545</v>
      </c>
      <c r="R7" s="12">
        <v>74228</v>
      </c>
      <c r="S7" s="12">
        <v>77110</v>
      </c>
      <c r="T7" s="12">
        <v>78548</v>
      </c>
      <c r="U7" s="12">
        <v>70931</v>
      </c>
      <c r="V7" s="12">
        <v>76508</v>
      </c>
      <c r="W7" s="12">
        <v>78466</v>
      </c>
      <c r="X7" s="12">
        <v>81031</v>
      </c>
      <c r="Y7" s="12">
        <v>83665</v>
      </c>
      <c r="Z7" s="12">
        <v>93268</v>
      </c>
      <c r="AA7" s="12">
        <v>94768</v>
      </c>
      <c r="AB7" s="12">
        <v>98398</v>
      </c>
      <c r="AC7" s="12">
        <v>106897</v>
      </c>
      <c r="AD7" s="12">
        <v>114076</v>
      </c>
      <c r="AE7" s="12">
        <v>118914</v>
      </c>
      <c r="AF7" s="12">
        <v>122746</v>
      </c>
      <c r="AG7" s="12">
        <v>127841</v>
      </c>
      <c r="AH7" s="12">
        <v>132996</v>
      </c>
      <c r="AI7" s="12">
        <v>137346</v>
      </c>
      <c r="AJ7" s="12">
        <v>142853</v>
      </c>
      <c r="AK7" s="12">
        <v>148484</v>
      </c>
    </row>
    <row r="8" spans="1:37" x14ac:dyDescent="0.3">
      <c r="A8" s="15" t="s">
        <v>83</v>
      </c>
      <c r="B8" s="11">
        <v>26214</v>
      </c>
      <c r="C8" s="11">
        <v>26752</v>
      </c>
      <c r="D8" s="11">
        <v>27207</v>
      </c>
      <c r="E8" s="11">
        <v>27647</v>
      </c>
      <c r="F8" s="11">
        <v>28126</v>
      </c>
      <c r="G8" s="11">
        <v>29322</v>
      </c>
      <c r="H8" s="11">
        <v>31179</v>
      </c>
      <c r="I8" s="11">
        <v>32768</v>
      </c>
      <c r="J8" s="11">
        <v>33707</v>
      </c>
      <c r="K8" s="11">
        <v>34939</v>
      </c>
      <c r="L8" s="11">
        <v>35914</v>
      </c>
      <c r="M8" s="11">
        <v>36917</v>
      </c>
      <c r="N8" s="11">
        <v>39278</v>
      </c>
      <c r="O8" s="11">
        <v>42381</v>
      </c>
      <c r="P8" s="11">
        <v>43705</v>
      </c>
      <c r="Q8" s="11">
        <v>45391</v>
      </c>
      <c r="R8" s="11">
        <v>48248</v>
      </c>
      <c r="S8" s="11">
        <v>50386</v>
      </c>
      <c r="T8" s="11">
        <v>51134</v>
      </c>
      <c r="U8" s="11">
        <v>46138</v>
      </c>
      <c r="V8" s="11">
        <v>51223</v>
      </c>
      <c r="W8" s="11">
        <v>52550</v>
      </c>
      <c r="X8" s="11">
        <v>54198</v>
      </c>
      <c r="Y8" s="11">
        <v>55772</v>
      </c>
      <c r="Z8" s="11">
        <v>66040</v>
      </c>
      <c r="AA8" s="11">
        <v>64343</v>
      </c>
      <c r="AB8" s="11">
        <v>66525</v>
      </c>
      <c r="AC8" s="11">
        <v>72120</v>
      </c>
      <c r="AD8" s="11">
        <v>77032</v>
      </c>
      <c r="AE8" s="11">
        <v>80028</v>
      </c>
      <c r="AF8" s="11">
        <v>81788</v>
      </c>
      <c r="AG8" s="11">
        <v>84736</v>
      </c>
      <c r="AH8" s="11">
        <v>87597</v>
      </c>
      <c r="AI8" s="11">
        <v>90152</v>
      </c>
      <c r="AJ8" s="11">
        <v>93513</v>
      </c>
      <c r="AK8" s="11">
        <v>96772</v>
      </c>
    </row>
    <row r="9" spans="1:37" x14ac:dyDescent="0.3">
      <c r="A9" s="14" t="s">
        <v>84</v>
      </c>
      <c r="B9" s="3">
        <v>13452</v>
      </c>
      <c r="C9" s="3">
        <v>13846</v>
      </c>
      <c r="D9" s="3">
        <v>14248</v>
      </c>
      <c r="E9" s="3">
        <v>14607</v>
      </c>
      <c r="F9" s="3">
        <v>15032</v>
      </c>
      <c r="G9" s="3">
        <v>15618</v>
      </c>
      <c r="H9" s="3">
        <v>16250</v>
      </c>
      <c r="I9" s="3">
        <v>16820</v>
      </c>
      <c r="J9" s="3">
        <v>17250</v>
      </c>
      <c r="K9" s="3">
        <v>18099</v>
      </c>
      <c r="L9" s="3">
        <v>18660</v>
      </c>
      <c r="M9" s="3">
        <v>19306</v>
      </c>
      <c r="N9" s="3">
        <v>20807</v>
      </c>
      <c r="O9" s="3">
        <v>22060</v>
      </c>
      <c r="P9" s="3">
        <v>22824</v>
      </c>
      <c r="Q9" s="3">
        <v>24130</v>
      </c>
      <c r="R9" s="3">
        <v>26032</v>
      </c>
      <c r="S9" s="3">
        <v>27321</v>
      </c>
      <c r="T9" s="3">
        <v>28104</v>
      </c>
      <c r="U9" s="3">
        <v>29079</v>
      </c>
      <c r="V9" s="3">
        <v>34342</v>
      </c>
      <c r="W9" s="3">
        <v>35904</v>
      </c>
      <c r="X9" s="3">
        <v>37414</v>
      </c>
      <c r="Y9" s="3">
        <v>38992</v>
      </c>
      <c r="Z9" s="3">
        <v>40639</v>
      </c>
      <c r="AA9" s="3">
        <v>42245</v>
      </c>
      <c r="AB9" s="3">
        <v>47120</v>
      </c>
      <c r="AC9" s="3">
        <v>51665</v>
      </c>
      <c r="AD9" s="3">
        <v>55061</v>
      </c>
      <c r="AE9" s="3">
        <v>57083</v>
      </c>
      <c r="AF9" s="3">
        <v>59257</v>
      </c>
      <c r="AG9" s="3">
        <v>61992</v>
      </c>
      <c r="AH9" s="3">
        <v>64387</v>
      </c>
      <c r="AI9" s="3">
        <v>66624</v>
      </c>
      <c r="AJ9" s="3">
        <v>69328</v>
      </c>
      <c r="AK9" s="3">
        <v>71803</v>
      </c>
    </row>
    <row r="10" spans="1:37" x14ac:dyDescent="0.3">
      <c r="A10" s="7" t="s">
        <v>85</v>
      </c>
      <c r="B10" s="3">
        <v>13110</v>
      </c>
      <c r="C10" s="3">
        <v>13458</v>
      </c>
      <c r="D10" s="3">
        <v>13810</v>
      </c>
      <c r="E10" s="3">
        <v>14149</v>
      </c>
      <c r="F10" s="3">
        <v>14549</v>
      </c>
      <c r="G10" s="3">
        <v>15110</v>
      </c>
      <c r="H10" s="3">
        <v>15722</v>
      </c>
      <c r="I10" s="3">
        <v>16253</v>
      </c>
      <c r="J10" s="3">
        <v>16664</v>
      </c>
      <c r="K10" s="3">
        <v>17321</v>
      </c>
      <c r="L10" s="3">
        <v>17823</v>
      </c>
      <c r="M10" s="3">
        <v>18441</v>
      </c>
      <c r="N10" s="3">
        <v>19807</v>
      </c>
      <c r="O10" s="3">
        <v>20900</v>
      </c>
      <c r="P10" s="3">
        <v>21507</v>
      </c>
      <c r="Q10" s="3">
        <v>22724</v>
      </c>
      <c r="R10" s="3">
        <v>24194</v>
      </c>
      <c r="S10" s="3">
        <v>25311</v>
      </c>
      <c r="T10" s="3">
        <v>26029</v>
      </c>
      <c r="U10" s="3">
        <v>26824</v>
      </c>
      <c r="V10" s="3">
        <v>27982</v>
      </c>
      <c r="W10" s="3">
        <v>29306</v>
      </c>
      <c r="X10" s="3">
        <v>30682</v>
      </c>
      <c r="Y10" s="3">
        <v>32091</v>
      </c>
      <c r="Z10" s="3">
        <v>33556</v>
      </c>
      <c r="AA10" s="3">
        <v>34993</v>
      </c>
      <c r="AB10" s="3">
        <v>39143</v>
      </c>
      <c r="AC10" s="3">
        <v>43110</v>
      </c>
      <c r="AD10" s="3">
        <v>46178</v>
      </c>
      <c r="AE10" s="3">
        <v>47951</v>
      </c>
      <c r="AF10" s="3">
        <v>49667</v>
      </c>
      <c r="AG10" s="3">
        <v>52010</v>
      </c>
      <c r="AH10" s="3">
        <v>54107</v>
      </c>
      <c r="AI10" s="3">
        <v>56114</v>
      </c>
      <c r="AJ10" s="3">
        <v>58562</v>
      </c>
      <c r="AK10" s="3">
        <v>60784</v>
      </c>
    </row>
    <row r="11" spans="1:37" x14ac:dyDescent="0.3">
      <c r="A11" s="7" t="s">
        <v>86</v>
      </c>
      <c r="B11" s="3">
        <v>11146</v>
      </c>
      <c r="C11" s="3">
        <v>11469</v>
      </c>
      <c r="D11" s="3">
        <v>11805</v>
      </c>
      <c r="E11" s="3">
        <v>12129</v>
      </c>
      <c r="F11" s="3">
        <v>12483</v>
      </c>
      <c r="G11" s="3">
        <v>12974</v>
      </c>
      <c r="H11" s="3">
        <v>13545</v>
      </c>
      <c r="I11" s="3">
        <v>14013</v>
      </c>
      <c r="J11" s="3">
        <v>14354</v>
      </c>
      <c r="K11" s="3">
        <v>14921</v>
      </c>
      <c r="L11" s="3">
        <v>15325</v>
      </c>
      <c r="M11" s="3">
        <v>15822</v>
      </c>
      <c r="N11" s="3">
        <v>16948</v>
      </c>
      <c r="O11" s="3">
        <v>17876</v>
      </c>
      <c r="P11" s="3">
        <v>18373</v>
      </c>
      <c r="Q11" s="3">
        <v>19434</v>
      </c>
      <c r="R11" s="3">
        <v>20759</v>
      </c>
      <c r="S11" s="3">
        <v>21759</v>
      </c>
      <c r="T11" s="3">
        <v>22411</v>
      </c>
      <c r="U11" s="3">
        <v>23132</v>
      </c>
      <c r="V11" s="3">
        <v>24150</v>
      </c>
      <c r="W11" s="3">
        <v>25323</v>
      </c>
      <c r="X11" s="3">
        <v>26564</v>
      </c>
      <c r="Y11" s="3">
        <v>27867</v>
      </c>
      <c r="Z11" s="3">
        <v>29232</v>
      </c>
      <c r="AA11" s="3">
        <v>30508</v>
      </c>
      <c r="AB11" s="3">
        <v>34138</v>
      </c>
      <c r="AC11" s="3">
        <v>37585</v>
      </c>
      <c r="AD11" s="3">
        <v>40258</v>
      </c>
      <c r="AE11" s="3">
        <v>41866</v>
      </c>
      <c r="AF11" s="3">
        <v>43434</v>
      </c>
      <c r="AG11" s="3">
        <v>45427</v>
      </c>
      <c r="AH11" s="3">
        <v>47219</v>
      </c>
      <c r="AI11" s="3">
        <v>48946</v>
      </c>
      <c r="AJ11" s="3">
        <v>51087</v>
      </c>
      <c r="AK11" s="3">
        <v>53025</v>
      </c>
    </row>
    <row r="12" spans="1:37" x14ac:dyDescent="0.3">
      <c r="A12" s="7" t="s">
        <v>87</v>
      </c>
      <c r="B12" s="3">
        <v>1716</v>
      </c>
      <c r="C12" s="3">
        <v>1735</v>
      </c>
      <c r="D12" s="3">
        <v>1747</v>
      </c>
      <c r="E12" s="3">
        <v>1760</v>
      </c>
      <c r="F12" s="3">
        <v>1804</v>
      </c>
      <c r="G12" s="3">
        <v>1868</v>
      </c>
      <c r="H12" s="3">
        <v>1905</v>
      </c>
      <c r="I12" s="3">
        <v>1959</v>
      </c>
      <c r="J12" s="3">
        <v>2023</v>
      </c>
      <c r="K12" s="3">
        <v>2109</v>
      </c>
      <c r="L12" s="3">
        <v>2197</v>
      </c>
      <c r="M12" s="3">
        <v>2311</v>
      </c>
      <c r="N12" s="3">
        <v>2537</v>
      </c>
      <c r="O12" s="3">
        <v>2694</v>
      </c>
      <c r="P12" s="3">
        <v>2805</v>
      </c>
      <c r="Q12" s="3">
        <v>2952</v>
      </c>
      <c r="R12" s="3">
        <v>3096</v>
      </c>
      <c r="S12" s="3">
        <v>3214</v>
      </c>
      <c r="T12" s="3">
        <v>3289</v>
      </c>
      <c r="U12" s="3">
        <v>3356</v>
      </c>
      <c r="V12" s="3">
        <v>3506</v>
      </c>
      <c r="W12" s="3">
        <v>3664</v>
      </c>
      <c r="X12" s="3">
        <v>3802</v>
      </c>
      <c r="Y12" s="3">
        <v>3914</v>
      </c>
      <c r="Z12" s="3">
        <v>4020</v>
      </c>
      <c r="AA12" s="3">
        <v>4190</v>
      </c>
      <c r="AB12" s="3">
        <v>4699</v>
      </c>
      <c r="AC12" s="3">
        <v>5211</v>
      </c>
      <c r="AD12" s="3">
        <v>5607</v>
      </c>
      <c r="AE12" s="3">
        <v>5773</v>
      </c>
      <c r="AF12" s="3">
        <v>5907</v>
      </c>
      <c r="AG12" s="3">
        <v>6246</v>
      </c>
      <c r="AH12" s="3">
        <v>6541</v>
      </c>
      <c r="AI12" s="3">
        <v>6815</v>
      </c>
      <c r="AJ12" s="3">
        <v>7116</v>
      </c>
      <c r="AK12" s="3">
        <v>7393</v>
      </c>
    </row>
    <row r="13" spans="1:37" x14ac:dyDescent="0.3">
      <c r="A13" s="7" t="s">
        <v>88</v>
      </c>
      <c r="B13" s="3" t="s">
        <v>89</v>
      </c>
      <c r="C13" s="3">
        <v>254</v>
      </c>
      <c r="D13" s="3">
        <v>259</v>
      </c>
      <c r="E13" s="3">
        <v>260</v>
      </c>
      <c r="F13" s="3">
        <v>263</v>
      </c>
      <c r="G13" s="3">
        <v>268</v>
      </c>
      <c r="H13" s="3">
        <v>272</v>
      </c>
      <c r="I13" s="3">
        <v>281</v>
      </c>
      <c r="J13" s="3">
        <v>287</v>
      </c>
      <c r="K13" s="3">
        <v>290</v>
      </c>
      <c r="L13" s="3">
        <v>300</v>
      </c>
      <c r="M13" s="3">
        <v>309</v>
      </c>
      <c r="N13" s="3">
        <v>322</v>
      </c>
      <c r="O13" s="3">
        <v>331</v>
      </c>
      <c r="P13" s="3">
        <v>328</v>
      </c>
      <c r="Q13" s="3">
        <v>338</v>
      </c>
      <c r="R13" s="3">
        <v>338</v>
      </c>
      <c r="S13" s="3">
        <v>338</v>
      </c>
      <c r="T13" s="3">
        <v>330</v>
      </c>
      <c r="U13" s="3">
        <v>336</v>
      </c>
      <c r="V13" s="3">
        <v>326</v>
      </c>
      <c r="W13" s="3">
        <v>318</v>
      </c>
      <c r="X13" s="3">
        <v>316</v>
      </c>
      <c r="Y13" s="3">
        <v>310</v>
      </c>
      <c r="Z13" s="3">
        <v>304</v>
      </c>
      <c r="AA13" s="3">
        <v>295</v>
      </c>
      <c r="AB13" s="3">
        <v>307</v>
      </c>
      <c r="AC13" s="3">
        <v>314</v>
      </c>
      <c r="AD13" s="3">
        <v>313</v>
      </c>
      <c r="AE13" s="3">
        <v>312</v>
      </c>
      <c r="AF13" s="3">
        <v>326</v>
      </c>
      <c r="AG13" s="3">
        <v>337</v>
      </c>
      <c r="AH13" s="3">
        <v>346</v>
      </c>
      <c r="AI13" s="3">
        <v>352</v>
      </c>
      <c r="AJ13" s="3">
        <v>359</v>
      </c>
      <c r="AK13" s="3">
        <v>366</v>
      </c>
    </row>
    <row r="14" spans="1:37" x14ac:dyDescent="0.3">
      <c r="A14" s="7" t="s">
        <v>90</v>
      </c>
      <c r="B14" s="3">
        <v>342</v>
      </c>
      <c r="C14" s="3">
        <v>388</v>
      </c>
      <c r="D14" s="3">
        <v>438</v>
      </c>
      <c r="E14" s="3">
        <v>458</v>
      </c>
      <c r="F14" s="3">
        <v>483</v>
      </c>
      <c r="G14" s="3">
        <v>509</v>
      </c>
      <c r="H14" s="3">
        <v>528</v>
      </c>
      <c r="I14" s="3">
        <v>567</v>
      </c>
      <c r="J14" s="3">
        <v>586</v>
      </c>
      <c r="K14" s="3">
        <v>778</v>
      </c>
      <c r="L14" s="3">
        <v>837</v>
      </c>
      <c r="M14" s="3">
        <v>865</v>
      </c>
      <c r="N14" s="3">
        <v>1000</v>
      </c>
      <c r="O14" s="3">
        <v>1159</v>
      </c>
      <c r="P14" s="3">
        <v>1317</v>
      </c>
      <c r="Q14" s="3">
        <v>1406</v>
      </c>
      <c r="R14" s="3">
        <v>1839</v>
      </c>
      <c r="S14" s="3">
        <v>2010</v>
      </c>
      <c r="T14" s="3">
        <v>2075</v>
      </c>
      <c r="U14" s="3">
        <v>2254</v>
      </c>
      <c r="V14" s="3">
        <v>6360</v>
      </c>
      <c r="W14" s="3">
        <v>6598</v>
      </c>
      <c r="X14" s="3">
        <v>6732</v>
      </c>
      <c r="Y14" s="3">
        <v>6901</v>
      </c>
      <c r="Z14" s="3">
        <v>7083</v>
      </c>
      <c r="AA14" s="3">
        <v>7252</v>
      </c>
      <c r="AB14" s="3">
        <v>7977</v>
      </c>
      <c r="AC14" s="3">
        <v>8555</v>
      </c>
      <c r="AD14" s="3">
        <v>8883</v>
      </c>
      <c r="AE14" s="3">
        <v>9132</v>
      </c>
      <c r="AF14" s="3">
        <v>9590</v>
      </c>
      <c r="AG14" s="3">
        <v>9982</v>
      </c>
      <c r="AH14" s="3">
        <v>10280</v>
      </c>
      <c r="AI14" s="3">
        <v>10511</v>
      </c>
      <c r="AJ14" s="3">
        <v>10765</v>
      </c>
      <c r="AK14" s="3">
        <v>11019</v>
      </c>
    </row>
    <row r="15" spans="1:37" x14ac:dyDescent="0.3">
      <c r="A15" s="14" t="s">
        <v>91</v>
      </c>
      <c r="B15" s="3">
        <v>2543</v>
      </c>
      <c r="C15" s="3">
        <v>2547</v>
      </c>
      <c r="D15" s="3">
        <v>2635</v>
      </c>
      <c r="E15" s="3">
        <v>2722</v>
      </c>
      <c r="F15" s="3">
        <v>2840</v>
      </c>
      <c r="G15" s="3">
        <v>3023</v>
      </c>
      <c r="H15" s="3">
        <v>3208</v>
      </c>
      <c r="I15" s="3">
        <v>3366</v>
      </c>
      <c r="J15" s="3">
        <v>3485</v>
      </c>
      <c r="K15" s="3">
        <v>3636</v>
      </c>
      <c r="L15" s="3">
        <v>3838</v>
      </c>
      <c r="M15" s="3">
        <v>4144</v>
      </c>
      <c r="N15" s="3">
        <v>4554</v>
      </c>
      <c r="O15" s="3">
        <v>4922</v>
      </c>
      <c r="P15" s="3">
        <v>5335</v>
      </c>
      <c r="Q15" s="3">
        <v>5802</v>
      </c>
      <c r="R15" s="3">
        <v>6172</v>
      </c>
      <c r="S15" s="3">
        <v>6622</v>
      </c>
      <c r="T15" s="3">
        <v>7042</v>
      </c>
      <c r="U15" s="3">
        <v>7449</v>
      </c>
      <c r="V15" s="3">
        <v>7842</v>
      </c>
      <c r="W15" s="3">
        <v>8212</v>
      </c>
      <c r="X15" s="3">
        <v>8794</v>
      </c>
      <c r="Y15" s="3">
        <v>9350</v>
      </c>
      <c r="Z15" s="3">
        <v>10060</v>
      </c>
      <c r="AA15" s="3">
        <v>10736</v>
      </c>
      <c r="AB15" s="3">
        <v>11954</v>
      </c>
      <c r="AC15" s="3">
        <v>13038</v>
      </c>
      <c r="AD15" s="3">
        <v>14340</v>
      </c>
      <c r="AE15" s="3">
        <v>15076</v>
      </c>
      <c r="AF15" s="3">
        <v>15893</v>
      </c>
      <c r="AG15" s="3">
        <v>16654</v>
      </c>
      <c r="AH15" s="3">
        <v>17165</v>
      </c>
      <c r="AI15" s="3">
        <v>17445</v>
      </c>
      <c r="AJ15" s="3">
        <v>17992</v>
      </c>
      <c r="AK15" s="3">
        <v>18683</v>
      </c>
    </row>
    <row r="16" spans="1:37" x14ac:dyDescent="0.3">
      <c r="A16" s="7" t="s">
        <v>86</v>
      </c>
      <c r="B16" s="3">
        <v>2404</v>
      </c>
      <c r="C16" s="3">
        <v>2410</v>
      </c>
      <c r="D16" s="3">
        <v>2498</v>
      </c>
      <c r="E16" s="3">
        <v>2585</v>
      </c>
      <c r="F16" s="3">
        <v>2699</v>
      </c>
      <c r="G16" s="3">
        <v>2870</v>
      </c>
      <c r="H16" s="3">
        <v>3042</v>
      </c>
      <c r="I16" s="3">
        <v>3179</v>
      </c>
      <c r="J16" s="3">
        <v>3290</v>
      </c>
      <c r="K16" s="3">
        <v>3434</v>
      </c>
      <c r="L16" s="3">
        <v>3617</v>
      </c>
      <c r="M16" s="3">
        <v>3892</v>
      </c>
      <c r="N16" s="3">
        <v>4275</v>
      </c>
      <c r="O16" s="3">
        <v>4622</v>
      </c>
      <c r="P16" s="3">
        <v>5014</v>
      </c>
      <c r="Q16" s="3">
        <v>5459</v>
      </c>
      <c r="R16" s="3">
        <v>5812</v>
      </c>
      <c r="S16" s="3">
        <v>6241</v>
      </c>
      <c r="T16" s="3">
        <v>6647</v>
      </c>
      <c r="U16" s="3">
        <v>7039</v>
      </c>
      <c r="V16" s="3">
        <v>7409</v>
      </c>
      <c r="W16" s="3">
        <v>7754</v>
      </c>
      <c r="X16" s="3">
        <v>8292</v>
      </c>
      <c r="Y16" s="3">
        <v>8802</v>
      </c>
      <c r="Z16" s="3">
        <v>9468</v>
      </c>
      <c r="AA16" s="3">
        <v>10112</v>
      </c>
      <c r="AB16" s="3">
        <v>11232</v>
      </c>
      <c r="AC16" s="3">
        <v>12216</v>
      </c>
      <c r="AD16" s="3">
        <v>13429</v>
      </c>
      <c r="AE16" s="3">
        <v>14077</v>
      </c>
      <c r="AF16" s="3">
        <v>14829</v>
      </c>
      <c r="AG16" s="3">
        <v>15544</v>
      </c>
      <c r="AH16" s="3">
        <v>16021</v>
      </c>
      <c r="AI16" s="3">
        <v>16286</v>
      </c>
      <c r="AJ16" s="3">
        <v>16798</v>
      </c>
      <c r="AK16" s="3">
        <v>17441</v>
      </c>
    </row>
    <row r="17" spans="1:37" x14ac:dyDescent="0.3">
      <c r="A17" s="7" t="s">
        <v>87</v>
      </c>
      <c r="B17" s="3">
        <v>139</v>
      </c>
      <c r="C17" s="3">
        <v>136</v>
      </c>
      <c r="D17" s="3">
        <v>137</v>
      </c>
      <c r="E17" s="3">
        <v>137</v>
      </c>
      <c r="F17" s="3">
        <v>140</v>
      </c>
      <c r="G17" s="3">
        <v>153</v>
      </c>
      <c r="H17" s="3">
        <v>166</v>
      </c>
      <c r="I17" s="3">
        <v>187</v>
      </c>
      <c r="J17" s="3">
        <v>196</v>
      </c>
      <c r="K17" s="3">
        <v>202</v>
      </c>
      <c r="L17" s="3">
        <v>222</v>
      </c>
      <c r="M17" s="3">
        <v>252</v>
      </c>
      <c r="N17" s="3">
        <v>278</v>
      </c>
      <c r="O17" s="3">
        <v>300</v>
      </c>
      <c r="P17" s="3">
        <v>321</v>
      </c>
      <c r="Q17" s="3">
        <v>343</v>
      </c>
      <c r="R17" s="3">
        <v>359</v>
      </c>
      <c r="S17" s="3">
        <v>380</v>
      </c>
      <c r="T17" s="3">
        <v>395</v>
      </c>
      <c r="U17" s="3">
        <v>411</v>
      </c>
      <c r="V17" s="3">
        <v>433</v>
      </c>
      <c r="W17" s="3">
        <v>459</v>
      </c>
      <c r="X17" s="3">
        <v>503</v>
      </c>
      <c r="Y17" s="3">
        <v>548</v>
      </c>
      <c r="Z17" s="3">
        <v>592</v>
      </c>
      <c r="AA17" s="3">
        <v>624</v>
      </c>
      <c r="AB17" s="3">
        <v>723</v>
      </c>
      <c r="AC17" s="3">
        <v>822</v>
      </c>
      <c r="AD17" s="3">
        <v>911</v>
      </c>
      <c r="AE17" s="3">
        <v>999</v>
      </c>
      <c r="AF17" s="3">
        <v>1064</v>
      </c>
      <c r="AG17" s="3">
        <v>1109</v>
      </c>
      <c r="AH17" s="3">
        <v>1143</v>
      </c>
      <c r="AI17" s="3">
        <v>1159</v>
      </c>
      <c r="AJ17" s="3">
        <v>1195</v>
      </c>
      <c r="AK17" s="3">
        <v>1241</v>
      </c>
    </row>
    <row r="18" spans="1:37" x14ac:dyDescent="0.3">
      <c r="A18" s="14" t="s">
        <v>92</v>
      </c>
      <c r="B18" s="3">
        <v>3531</v>
      </c>
      <c r="C18" s="3">
        <v>3577</v>
      </c>
      <c r="D18" s="3">
        <v>3618</v>
      </c>
      <c r="E18" s="3">
        <v>3620</v>
      </c>
      <c r="F18" s="3">
        <v>3676</v>
      </c>
      <c r="G18" s="3">
        <v>3763</v>
      </c>
      <c r="H18" s="3">
        <v>3878</v>
      </c>
      <c r="I18" s="3">
        <v>3960</v>
      </c>
      <c r="J18" s="3">
        <v>4039</v>
      </c>
      <c r="K18" s="3">
        <v>4153</v>
      </c>
      <c r="L18" s="3">
        <v>4302</v>
      </c>
      <c r="M18" s="3">
        <v>4422</v>
      </c>
      <c r="N18" s="3">
        <v>4647</v>
      </c>
      <c r="O18" s="3">
        <v>4876</v>
      </c>
      <c r="P18" s="3">
        <v>4955</v>
      </c>
      <c r="Q18" s="3">
        <v>5186</v>
      </c>
      <c r="R18" s="3">
        <v>5381</v>
      </c>
      <c r="S18" s="3">
        <v>5537</v>
      </c>
      <c r="T18" s="3">
        <v>5628</v>
      </c>
      <c r="U18" s="3">
        <v>0</v>
      </c>
      <c r="V18" s="3">
        <v>0</v>
      </c>
      <c r="W18" s="3">
        <v>0</v>
      </c>
      <c r="X18" s="3">
        <v>0</v>
      </c>
      <c r="Y18" s="3">
        <v>0</v>
      </c>
      <c r="Z18" s="3">
        <v>0</v>
      </c>
      <c r="AA18" s="3">
        <v>0</v>
      </c>
      <c r="AB18" s="3">
        <v>0</v>
      </c>
      <c r="AC18" s="3">
        <v>0</v>
      </c>
      <c r="AD18" s="3">
        <v>0</v>
      </c>
      <c r="AE18" s="3">
        <v>0</v>
      </c>
      <c r="AF18" s="3">
        <v>0</v>
      </c>
      <c r="AG18" s="3">
        <v>0</v>
      </c>
      <c r="AH18" s="3">
        <v>0</v>
      </c>
      <c r="AI18" s="3">
        <v>0</v>
      </c>
      <c r="AJ18" s="3">
        <v>0</v>
      </c>
      <c r="AK18" s="3">
        <v>0</v>
      </c>
    </row>
    <row r="19" spans="1:37" x14ac:dyDescent="0.3">
      <c r="A19" s="14" t="s">
        <v>93</v>
      </c>
      <c r="B19" s="3">
        <v>5877</v>
      </c>
      <c r="C19" s="3">
        <v>5920</v>
      </c>
      <c r="D19" s="3">
        <v>5934</v>
      </c>
      <c r="E19" s="3">
        <v>5916</v>
      </c>
      <c r="F19" s="3">
        <v>5779</v>
      </c>
      <c r="G19" s="3">
        <v>6064</v>
      </c>
      <c r="H19" s="3">
        <v>6851</v>
      </c>
      <c r="I19" s="3">
        <v>7361</v>
      </c>
      <c r="J19" s="3">
        <v>7749</v>
      </c>
      <c r="K19" s="3">
        <v>7914</v>
      </c>
      <c r="L19" s="3">
        <v>7948</v>
      </c>
      <c r="M19" s="3">
        <v>7750</v>
      </c>
      <c r="N19" s="3">
        <v>7913</v>
      </c>
      <c r="O19" s="3">
        <v>9146</v>
      </c>
      <c r="P19" s="3">
        <v>9173</v>
      </c>
      <c r="Q19" s="3">
        <v>9043</v>
      </c>
      <c r="R19" s="3">
        <v>9265</v>
      </c>
      <c r="S19" s="3">
        <v>9516</v>
      </c>
      <c r="T19" s="3">
        <v>8998</v>
      </c>
      <c r="U19" s="3">
        <v>8226</v>
      </c>
      <c r="V19" s="3">
        <v>7815</v>
      </c>
      <c r="W19" s="3">
        <v>7247</v>
      </c>
      <c r="X19" s="3">
        <v>6789</v>
      </c>
      <c r="Y19" s="3">
        <v>6277</v>
      </c>
      <c r="Z19" s="3">
        <v>10732</v>
      </c>
      <c r="AA19" s="3">
        <v>8085</v>
      </c>
      <c r="AB19" s="3">
        <v>6414</v>
      </c>
      <c r="AC19" s="3">
        <v>6215</v>
      </c>
      <c r="AD19" s="3">
        <v>6349</v>
      </c>
      <c r="AE19" s="3">
        <v>6510</v>
      </c>
      <c r="AF19" s="3">
        <v>5177</v>
      </c>
      <c r="AG19" s="3">
        <v>4731</v>
      </c>
      <c r="AH19" s="3">
        <v>4650</v>
      </c>
      <c r="AI19" s="3">
        <v>4654</v>
      </c>
      <c r="AJ19" s="3">
        <v>4724</v>
      </c>
      <c r="AK19" s="3">
        <v>4775</v>
      </c>
    </row>
    <row r="20" spans="1:37" x14ac:dyDescent="0.3">
      <c r="A20" s="7" t="s">
        <v>94</v>
      </c>
      <c r="B20" s="3">
        <v>4442</v>
      </c>
      <c r="C20" s="3">
        <v>4475</v>
      </c>
      <c r="D20" s="3">
        <v>4520</v>
      </c>
      <c r="E20" s="3">
        <v>4504</v>
      </c>
      <c r="F20" s="3">
        <v>4381</v>
      </c>
      <c r="G20" s="3">
        <v>4637</v>
      </c>
      <c r="H20" s="3">
        <v>5355</v>
      </c>
      <c r="I20" s="3">
        <v>5745</v>
      </c>
      <c r="J20" s="3">
        <v>6022</v>
      </c>
      <c r="K20" s="3">
        <v>6102</v>
      </c>
      <c r="L20" s="3">
        <v>6058</v>
      </c>
      <c r="M20" s="3">
        <v>5745</v>
      </c>
      <c r="N20" s="3">
        <v>5770</v>
      </c>
      <c r="O20" s="3">
        <v>6894</v>
      </c>
      <c r="P20" s="3">
        <v>6799</v>
      </c>
      <c r="Q20" s="3">
        <v>6592</v>
      </c>
      <c r="R20" s="3">
        <v>6806</v>
      </c>
      <c r="S20" s="3">
        <v>7073</v>
      </c>
      <c r="T20" s="3">
        <v>6619</v>
      </c>
      <c r="U20" s="3">
        <v>6027</v>
      </c>
      <c r="V20" s="3">
        <v>5731</v>
      </c>
      <c r="W20" s="3">
        <v>5319</v>
      </c>
      <c r="X20" s="3">
        <v>5001</v>
      </c>
      <c r="Y20" s="3">
        <v>4747</v>
      </c>
      <c r="Z20" s="3">
        <v>5138</v>
      </c>
      <c r="AA20" s="3">
        <v>4987</v>
      </c>
      <c r="AB20" s="3">
        <v>4827</v>
      </c>
      <c r="AC20" s="3">
        <v>5224</v>
      </c>
      <c r="AD20" s="3">
        <v>5435</v>
      </c>
      <c r="AE20" s="3">
        <v>5602</v>
      </c>
      <c r="AF20" s="3">
        <v>4255</v>
      </c>
      <c r="AG20" s="3">
        <v>3832</v>
      </c>
      <c r="AH20" s="3">
        <v>3773</v>
      </c>
      <c r="AI20" s="3">
        <v>3796</v>
      </c>
      <c r="AJ20" s="3">
        <v>3840</v>
      </c>
      <c r="AK20" s="3">
        <v>3864</v>
      </c>
    </row>
    <row r="21" spans="1:37" x14ac:dyDescent="0.3">
      <c r="A21" s="7" t="s">
        <v>95</v>
      </c>
      <c r="B21" s="3">
        <v>0</v>
      </c>
      <c r="C21" s="3">
        <v>0</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4248</v>
      </c>
      <c r="AA21" s="3">
        <v>1979</v>
      </c>
      <c r="AB21" s="3">
        <v>519</v>
      </c>
      <c r="AC21" s="3">
        <v>0</v>
      </c>
      <c r="AD21" s="3">
        <v>0</v>
      </c>
      <c r="AE21" s="3">
        <v>0</v>
      </c>
      <c r="AF21" s="3">
        <v>0</v>
      </c>
      <c r="AG21" s="3">
        <v>0</v>
      </c>
      <c r="AH21" s="3">
        <v>0</v>
      </c>
      <c r="AI21" s="3">
        <v>0</v>
      </c>
      <c r="AJ21" s="3">
        <v>0</v>
      </c>
      <c r="AK21" s="3">
        <v>0</v>
      </c>
    </row>
    <row r="22" spans="1:37" x14ac:dyDescent="0.3">
      <c r="A22" s="7" t="s">
        <v>96</v>
      </c>
      <c r="B22" s="3">
        <v>1305</v>
      </c>
      <c r="C22" s="3">
        <v>1308</v>
      </c>
      <c r="D22" s="3">
        <v>1254</v>
      </c>
      <c r="E22" s="3">
        <v>1215</v>
      </c>
      <c r="F22" s="3">
        <v>1163</v>
      </c>
      <c r="G22" s="3">
        <v>1153</v>
      </c>
      <c r="H22" s="3">
        <v>1144</v>
      </c>
      <c r="I22" s="3">
        <v>1184</v>
      </c>
      <c r="J22" s="3">
        <v>1239</v>
      </c>
      <c r="K22" s="3">
        <v>1257</v>
      </c>
      <c r="L22" s="3">
        <v>1301</v>
      </c>
      <c r="M22" s="3">
        <v>1359</v>
      </c>
      <c r="N22" s="3">
        <v>1443</v>
      </c>
      <c r="O22" s="3">
        <v>1502</v>
      </c>
      <c r="P22" s="3">
        <v>1592</v>
      </c>
      <c r="Q22" s="3">
        <v>1637</v>
      </c>
      <c r="R22" s="3">
        <v>1626</v>
      </c>
      <c r="S22" s="3">
        <v>1611</v>
      </c>
      <c r="T22" s="3">
        <v>1548</v>
      </c>
      <c r="U22" s="3">
        <v>1477</v>
      </c>
      <c r="V22" s="3">
        <v>1405</v>
      </c>
      <c r="W22" s="3">
        <v>1269</v>
      </c>
      <c r="X22" s="3">
        <v>1149</v>
      </c>
      <c r="Y22" s="3">
        <v>891</v>
      </c>
      <c r="Z22" s="3">
        <v>682</v>
      </c>
      <c r="AA22" s="3">
        <v>520</v>
      </c>
      <c r="AB22" s="3">
        <v>405</v>
      </c>
      <c r="AC22" s="3">
        <v>288</v>
      </c>
      <c r="AD22" s="3">
        <v>199</v>
      </c>
      <c r="AE22" s="3">
        <v>167</v>
      </c>
      <c r="AF22" s="3">
        <v>164</v>
      </c>
      <c r="AG22" s="3">
        <v>121</v>
      </c>
      <c r="AH22" s="3">
        <v>82</v>
      </c>
      <c r="AI22" s="3">
        <v>53</v>
      </c>
      <c r="AJ22" s="3">
        <v>54</v>
      </c>
      <c r="AK22" s="3">
        <v>50</v>
      </c>
    </row>
    <row r="23" spans="1:37" x14ac:dyDescent="0.3">
      <c r="A23" s="7" t="s">
        <v>97</v>
      </c>
      <c r="B23" s="3">
        <v>130</v>
      </c>
      <c r="C23" s="3">
        <v>138</v>
      </c>
      <c r="D23" s="3">
        <v>160</v>
      </c>
      <c r="E23" s="3">
        <v>197</v>
      </c>
      <c r="F23" s="3">
        <v>236</v>
      </c>
      <c r="G23" s="3">
        <v>274</v>
      </c>
      <c r="H23" s="3">
        <v>352</v>
      </c>
      <c r="I23" s="3">
        <v>432</v>
      </c>
      <c r="J23" s="3">
        <v>488</v>
      </c>
      <c r="K23" s="3">
        <v>556</v>
      </c>
      <c r="L23" s="3">
        <v>590</v>
      </c>
      <c r="M23" s="3">
        <v>646</v>
      </c>
      <c r="N23" s="3">
        <v>700</v>
      </c>
      <c r="O23" s="3">
        <v>750</v>
      </c>
      <c r="P23" s="3">
        <v>783</v>
      </c>
      <c r="Q23" s="3">
        <v>814</v>
      </c>
      <c r="R23" s="3">
        <v>832</v>
      </c>
      <c r="S23" s="3">
        <v>833</v>
      </c>
      <c r="T23" s="3">
        <v>831</v>
      </c>
      <c r="U23" s="3">
        <v>721</v>
      </c>
      <c r="V23" s="3">
        <v>680</v>
      </c>
      <c r="W23" s="3">
        <v>659</v>
      </c>
      <c r="X23" s="3">
        <v>639</v>
      </c>
      <c r="Y23" s="3">
        <v>640</v>
      </c>
      <c r="Z23" s="3">
        <v>665</v>
      </c>
      <c r="AA23" s="3">
        <v>599</v>
      </c>
      <c r="AB23" s="3">
        <v>664</v>
      </c>
      <c r="AC23" s="3">
        <v>704</v>
      </c>
      <c r="AD23" s="3">
        <v>716</v>
      </c>
      <c r="AE23" s="3">
        <v>740</v>
      </c>
      <c r="AF23" s="3">
        <v>759</v>
      </c>
      <c r="AG23" s="3">
        <v>777</v>
      </c>
      <c r="AH23" s="3">
        <v>795</v>
      </c>
      <c r="AI23" s="3">
        <v>805</v>
      </c>
      <c r="AJ23" s="3">
        <v>831</v>
      </c>
      <c r="AK23" s="3">
        <v>861</v>
      </c>
    </row>
    <row r="24" spans="1:37" x14ac:dyDescent="0.3">
      <c r="A24" s="14" t="s">
        <v>98</v>
      </c>
      <c r="B24" s="3">
        <v>153</v>
      </c>
      <c r="C24" s="3">
        <v>153</v>
      </c>
      <c r="D24" s="3">
        <v>158</v>
      </c>
      <c r="E24" s="3">
        <v>168</v>
      </c>
      <c r="F24" s="3">
        <v>162</v>
      </c>
      <c r="G24" s="3">
        <v>164</v>
      </c>
      <c r="H24" s="3">
        <v>169</v>
      </c>
      <c r="I24" s="3">
        <v>164</v>
      </c>
      <c r="J24" s="3">
        <v>169</v>
      </c>
      <c r="K24" s="3">
        <v>176</v>
      </c>
      <c r="L24" s="3">
        <v>178</v>
      </c>
      <c r="M24" s="3">
        <v>183</v>
      </c>
      <c r="N24" s="3">
        <v>190</v>
      </c>
      <c r="O24" s="3">
        <v>189</v>
      </c>
      <c r="P24" s="3">
        <v>194</v>
      </c>
      <c r="Q24" s="3">
        <v>200</v>
      </c>
      <c r="R24" s="3">
        <v>204</v>
      </c>
      <c r="S24" s="3">
        <v>216</v>
      </c>
      <c r="T24" s="3">
        <v>220</v>
      </c>
      <c r="U24" s="3">
        <v>218</v>
      </c>
      <c r="V24" s="3">
        <v>225</v>
      </c>
      <c r="W24" s="3">
        <v>231</v>
      </c>
      <c r="X24" s="3">
        <v>259</v>
      </c>
      <c r="Y24" s="3">
        <v>278</v>
      </c>
      <c r="Z24" s="3">
        <v>280</v>
      </c>
      <c r="AA24" s="3">
        <v>280</v>
      </c>
      <c r="AB24" s="3">
        <v>296</v>
      </c>
      <c r="AC24" s="3">
        <v>320</v>
      </c>
      <c r="AD24" s="3">
        <v>332</v>
      </c>
      <c r="AE24" s="3">
        <v>338</v>
      </c>
      <c r="AF24" s="3">
        <v>351</v>
      </c>
      <c r="AG24" s="3">
        <v>355</v>
      </c>
      <c r="AH24" s="3">
        <v>360</v>
      </c>
      <c r="AI24" s="3">
        <v>365</v>
      </c>
      <c r="AJ24" s="3">
        <v>373</v>
      </c>
      <c r="AK24" s="3">
        <v>381</v>
      </c>
    </row>
    <row r="25" spans="1:37" x14ac:dyDescent="0.3">
      <c r="A25" s="14" t="s">
        <v>99</v>
      </c>
      <c r="B25" s="3">
        <v>349</v>
      </c>
      <c r="C25" s="3">
        <v>336</v>
      </c>
      <c r="D25" s="3">
        <v>336</v>
      </c>
      <c r="E25" s="3">
        <v>316</v>
      </c>
      <c r="F25" s="3">
        <v>324</v>
      </c>
      <c r="G25" s="3">
        <v>325</v>
      </c>
      <c r="H25" s="3">
        <v>326</v>
      </c>
      <c r="I25" s="3">
        <v>330</v>
      </c>
      <c r="J25" s="3">
        <v>326</v>
      </c>
      <c r="K25" s="3">
        <v>327</v>
      </c>
      <c r="L25" s="3">
        <v>325</v>
      </c>
      <c r="M25" s="3">
        <v>326</v>
      </c>
      <c r="N25" s="3">
        <v>341</v>
      </c>
      <c r="O25" s="3">
        <v>330</v>
      </c>
      <c r="P25" s="3">
        <v>326</v>
      </c>
      <c r="Q25" s="3">
        <v>281</v>
      </c>
      <c r="R25" s="3">
        <v>282</v>
      </c>
      <c r="S25" s="3">
        <v>289</v>
      </c>
      <c r="T25" s="3">
        <v>279</v>
      </c>
      <c r="U25" s="3">
        <v>272</v>
      </c>
      <c r="V25" s="3">
        <v>262</v>
      </c>
      <c r="W25" s="3">
        <v>258</v>
      </c>
      <c r="X25" s="3">
        <v>251</v>
      </c>
      <c r="Y25" s="3">
        <v>245</v>
      </c>
      <c r="Z25" s="3">
        <v>244</v>
      </c>
      <c r="AA25" s="3">
        <v>243</v>
      </c>
      <c r="AB25" s="3">
        <v>252</v>
      </c>
      <c r="AC25" s="3">
        <v>255</v>
      </c>
      <c r="AD25" s="3">
        <v>249</v>
      </c>
      <c r="AE25" s="3">
        <v>247</v>
      </c>
      <c r="AF25" s="3">
        <v>246</v>
      </c>
      <c r="AG25" s="3">
        <v>245</v>
      </c>
      <c r="AH25" s="3">
        <v>242</v>
      </c>
      <c r="AI25" s="3">
        <v>237</v>
      </c>
      <c r="AJ25" s="3">
        <v>235</v>
      </c>
      <c r="AK25" s="3">
        <v>233</v>
      </c>
    </row>
    <row r="26" spans="1:37" x14ac:dyDescent="0.3">
      <c r="A26" s="14" t="s">
        <v>100</v>
      </c>
      <c r="B26" s="3">
        <v>0</v>
      </c>
      <c r="C26" s="3">
        <v>0</v>
      </c>
      <c r="D26" s="3">
        <v>0</v>
      </c>
      <c r="E26" s="3">
        <v>0</v>
      </c>
      <c r="F26" s="3">
        <v>0</v>
      </c>
      <c r="G26" s="3">
        <v>0</v>
      </c>
      <c r="H26" s="3">
        <v>68</v>
      </c>
      <c r="I26" s="3">
        <v>133</v>
      </c>
      <c r="J26" s="3">
        <v>169</v>
      </c>
      <c r="K26" s="3">
        <v>186</v>
      </c>
      <c r="L26" s="3">
        <v>198</v>
      </c>
      <c r="M26" s="3">
        <v>218</v>
      </c>
      <c r="N26" s="3">
        <v>245</v>
      </c>
      <c r="O26" s="3">
        <v>279</v>
      </c>
      <c r="P26" s="3">
        <v>291</v>
      </c>
      <c r="Q26" s="3">
        <v>303</v>
      </c>
      <c r="R26" s="3">
        <v>316</v>
      </c>
      <c r="S26" s="3">
        <v>330</v>
      </c>
      <c r="T26" s="3">
        <v>337</v>
      </c>
      <c r="U26" s="3">
        <v>344</v>
      </c>
      <c r="V26" s="3">
        <v>0</v>
      </c>
      <c r="W26" s="3">
        <v>0</v>
      </c>
      <c r="X26" s="3">
        <v>0</v>
      </c>
      <c r="Y26" s="3">
        <v>0</v>
      </c>
      <c r="Z26" s="3">
        <v>0</v>
      </c>
      <c r="AA26" s="3">
        <v>0</v>
      </c>
      <c r="AB26" s="3">
        <v>0</v>
      </c>
      <c r="AC26" s="3">
        <v>0</v>
      </c>
      <c r="AD26" s="3">
        <v>0</v>
      </c>
      <c r="AE26" s="3">
        <v>0</v>
      </c>
      <c r="AF26" s="3">
        <v>0</v>
      </c>
      <c r="AG26" s="3">
        <v>0</v>
      </c>
      <c r="AH26" s="3">
        <v>0</v>
      </c>
      <c r="AI26" s="3">
        <v>0</v>
      </c>
      <c r="AJ26" s="3">
        <v>0</v>
      </c>
      <c r="AK26" s="3">
        <v>0</v>
      </c>
    </row>
    <row r="27" spans="1:37" x14ac:dyDescent="0.3">
      <c r="A27" s="14" t="s">
        <v>101</v>
      </c>
      <c r="B27" s="3">
        <v>0</v>
      </c>
      <c r="C27" s="3">
        <v>0</v>
      </c>
      <c r="D27" s="3">
        <v>0</v>
      </c>
      <c r="E27" s="3">
        <v>0</v>
      </c>
      <c r="F27" s="3">
        <v>0</v>
      </c>
      <c r="G27" s="3">
        <v>0</v>
      </c>
      <c r="H27" s="3">
        <v>1</v>
      </c>
      <c r="I27" s="3">
        <v>2</v>
      </c>
      <c r="J27" s="3">
        <v>2</v>
      </c>
      <c r="K27" s="3">
        <v>2</v>
      </c>
      <c r="L27" s="3">
        <v>2</v>
      </c>
      <c r="M27" s="3">
        <v>2</v>
      </c>
      <c r="N27" s="3">
        <v>4</v>
      </c>
      <c r="O27" s="3">
        <v>9</v>
      </c>
      <c r="P27" s="3">
        <v>18</v>
      </c>
      <c r="Q27" s="3">
        <v>13</v>
      </c>
      <c r="R27" s="3">
        <v>10</v>
      </c>
      <c r="S27" s="3">
        <v>7</v>
      </c>
      <c r="T27" s="3">
        <v>8</v>
      </c>
      <c r="U27" s="3">
        <v>8</v>
      </c>
      <c r="V27" s="3">
        <v>7</v>
      </c>
      <c r="W27" s="3">
        <v>6</v>
      </c>
      <c r="X27" s="3">
        <v>5</v>
      </c>
      <c r="Y27" s="3">
        <v>5</v>
      </c>
      <c r="Z27" s="3">
        <v>3388</v>
      </c>
      <c r="AA27" s="3">
        <v>2089</v>
      </c>
      <c r="AB27" s="3">
        <v>146</v>
      </c>
      <c r="AC27" s="3">
        <v>8</v>
      </c>
      <c r="AD27" s="3">
        <v>44</v>
      </c>
      <c r="AE27" s="3">
        <v>86</v>
      </c>
      <c r="AF27" s="3">
        <v>52</v>
      </c>
      <c r="AG27" s="3">
        <v>54</v>
      </c>
      <c r="AH27" s="3">
        <v>55</v>
      </c>
      <c r="AI27" s="3">
        <v>56</v>
      </c>
      <c r="AJ27" s="3">
        <v>58</v>
      </c>
      <c r="AK27" s="3">
        <v>60</v>
      </c>
    </row>
    <row r="28" spans="1:37" x14ac:dyDescent="0.3">
      <c r="A28" s="14" t="s">
        <v>102</v>
      </c>
      <c r="B28" s="3">
        <v>309</v>
      </c>
      <c r="C28" s="3">
        <v>373</v>
      </c>
      <c r="D28" s="3">
        <v>278</v>
      </c>
      <c r="E28" s="3">
        <v>298</v>
      </c>
      <c r="F28" s="3">
        <v>313</v>
      </c>
      <c r="G28" s="3">
        <v>364</v>
      </c>
      <c r="H28" s="3">
        <v>428</v>
      </c>
      <c r="I28" s="3">
        <v>632</v>
      </c>
      <c r="J28" s="3">
        <v>518</v>
      </c>
      <c r="K28" s="3">
        <v>445</v>
      </c>
      <c r="L28" s="3">
        <v>461</v>
      </c>
      <c r="M28" s="3">
        <v>568</v>
      </c>
      <c r="N28" s="3">
        <v>578</v>
      </c>
      <c r="O28" s="3">
        <v>572</v>
      </c>
      <c r="P28" s="3">
        <v>590</v>
      </c>
      <c r="Q28" s="3">
        <v>432</v>
      </c>
      <c r="R28" s="3">
        <v>586</v>
      </c>
      <c r="S28" s="3">
        <v>548</v>
      </c>
      <c r="T28" s="3">
        <v>518</v>
      </c>
      <c r="U28" s="3">
        <v>544</v>
      </c>
      <c r="V28" s="3">
        <v>729</v>
      </c>
      <c r="W28" s="3">
        <v>692</v>
      </c>
      <c r="X28" s="3">
        <v>686</v>
      </c>
      <c r="Y28" s="3">
        <v>625</v>
      </c>
      <c r="Z28" s="3">
        <v>696</v>
      </c>
      <c r="AA28" s="3">
        <v>664</v>
      </c>
      <c r="AB28" s="3">
        <v>342</v>
      </c>
      <c r="AC28" s="3">
        <v>620</v>
      </c>
      <c r="AD28" s="3">
        <v>657</v>
      </c>
      <c r="AE28" s="3">
        <v>687</v>
      </c>
      <c r="AF28" s="3">
        <v>812</v>
      </c>
      <c r="AG28" s="3">
        <v>705</v>
      </c>
      <c r="AH28" s="3">
        <v>739</v>
      </c>
      <c r="AI28" s="3">
        <v>771</v>
      </c>
      <c r="AJ28" s="3">
        <v>803</v>
      </c>
      <c r="AK28" s="3">
        <v>838</v>
      </c>
    </row>
    <row r="29" spans="1:37" x14ac:dyDescent="0.3">
      <c r="A29" s="15" t="s">
        <v>103</v>
      </c>
      <c r="B29" s="11">
        <v>10834</v>
      </c>
      <c r="C29" s="11">
        <v>10702</v>
      </c>
      <c r="D29" s="11">
        <v>11439</v>
      </c>
      <c r="E29" s="11">
        <v>12200</v>
      </c>
      <c r="F29" s="11">
        <v>12835</v>
      </c>
      <c r="G29" s="11">
        <v>13508</v>
      </c>
      <c r="H29" s="11">
        <v>14225</v>
      </c>
      <c r="I29" s="11">
        <v>15300</v>
      </c>
      <c r="J29" s="11">
        <v>17778</v>
      </c>
      <c r="K29" s="11">
        <v>18172</v>
      </c>
      <c r="L29" s="11">
        <v>18768</v>
      </c>
      <c r="M29" s="11">
        <v>19789</v>
      </c>
      <c r="N29" s="11">
        <v>21841</v>
      </c>
      <c r="O29" s="11">
        <v>23219</v>
      </c>
      <c r="P29" s="11">
        <v>23876</v>
      </c>
      <c r="Q29" s="11">
        <v>25154</v>
      </c>
      <c r="R29" s="11">
        <v>25980</v>
      </c>
      <c r="S29" s="11">
        <v>26723</v>
      </c>
      <c r="T29" s="11">
        <v>27414</v>
      </c>
      <c r="U29" s="11">
        <v>24793</v>
      </c>
      <c r="V29" s="11">
        <v>25284</v>
      </c>
      <c r="W29" s="11">
        <v>25916</v>
      </c>
      <c r="X29" s="11">
        <v>26833</v>
      </c>
      <c r="Y29" s="11">
        <v>27893</v>
      </c>
      <c r="Z29" s="11">
        <v>27228</v>
      </c>
      <c r="AA29" s="11">
        <v>30425</v>
      </c>
      <c r="AB29" s="11">
        <v>31873</v>
      </c>
      <c r="AC29" s="11">
        <v>34776</v>
      </c>
      <c r="AD29" s="11">
        <v>37044</v>
      </c>
      <c r="AE29" s="11">
        <v>38886</v>
      </c>
      <c r="AF29" s="11">
        <v>40958</v>
      </c>
      <c r="AG29" s="11">
        <v>43105</v>
      </c>
      <c r="AH29" s="11">
        <v>45399</v>
      </c>
      <c r="AI29" s="11">
        <v>47194</v>
      </c>
      <c r="AJ29" s="11">
        <v>49340</v>
      </c>
      <c r="AK29" s="11">
        <v>51711</v>
      </c>
    </row>
    <row r="30" spans="1:37" x14ac:dyDescent="0.3">
      <c r="A30" s="14" t="s">
        <v>104</v>
      </c>
      <c r="B30" s="3">
        <v>10790</v>
      </c>
      <c r="C30" s="3">
        <v>10640</v>
      </c>
      <c r="D30" s="3">
        <v>11388</v>
      </c>
      <c r="E30" s="3">
        <v>12151</v>
      </c>
      <c r="F30" s="3">
        <v>12781</v>
      </c>
      <c r="G30" s="3">
        <v>13452</v>
      </c>
      <c r="H30" s="3">
        <v>14164</v>
      </c>
      <c r="I30" s="3">
        <v>15238</v>
      </c>
      <c r="J30" s="3">
        <v>17714</v>
      </c>
      <c r="K30" s="3">
        <v>18107</v>
      </c>
      <c r="L30" s="3">
        <v>18702</v>
      </c>
      <c r="M30" s="3">
        <v>19723</v>
      </c>
      <c r="N30" s="3">
        <v>21774</v>
      </c>
      <c r="O30" s="3">
        <v>23144</v>
      </c>
      <c r="P30" s="3">
        <v>23802</v>
      </c>
      <c r="Q30" s="3">
        <v>25081</v>
      </c>
      <c r="R30" s="3">
        <v>25904</v>
      </c>
      <c r="S30" s="3">
        <v>26652</v>
      </c>
      <c r="T30" s="3">
        <v>27313</v>
      </c>
      <c r="U30" s="3">
        <v>24782</v>
      </c>
      <c r="V30" s="3">
        <v>25274</v>
      </c>
      <c r="W30" s="3">
        <v>25906</v>
      </c>
      <c r="X30" s="3">
        <v>26822</v>
      </c>
      <c r="Y30" s="3">
        <v>27885</v>
      </c>
      <c r="Z30" s="3">
        <v>27221</v>
      </c>
      <c r="AA30" s="3">
        <v>30418</v>
      </c>
      <c r="AB30" s="3">
        <v>31866</v>
      </c>
      <c r="AC30" s="3">
        <v>34770</v>
      </c>
      <c r="AD30" s="3">
        <v>37037</v>
      </c>
      <c r="AE30" s="3">
        <v>38872</v>
      </c>
      <c r="AF30" s="3">
        <v>40944</v>
      </c>
      <c r="AG30" s="3">
        <v>43091</v>
      </c>
      <c r="AH30" s="3">
        <v>45385</v>
      </c>
      <c r="AI30" s="3">
        <v>47180</v>
      </c>
      <c r="AJ30" s="3">
        <v>49325</v>
      </c>
      <c r="AK30" s="3">
        <v>51697</v>
      </c>
    </row>
    <row r="31" spans="1:37" ht="15" thickBot="1" x14ac:dyDescent="0.35">
      <c r="A31" s="14" t="s">
        <v>105</v>
      </c>
      <c r="B31" s="3">
        <v>44</v>
      </c>
      <c r="C31" s="3">
        <v>62</v>
      </c>
      <c r="D31" s="3">
        <v>52</v>
      </c>
      <c r="E31" s="3">
        <v>49</v>
      </c>
      <c r="F31" s="3">
        <v>53</v>
      </c>
      <c r="G31" s="3">
        <v>57</v>
      </c>
      <c r="H31" s="3">
        <v>60</v>
      </c>
      <c r="I31" s="3">
        <v>62</v>
      </c>
      <c r="J31" s="3">
        <v>64</v>
      </c>
      <c r="K31" s="3">
        <v>65</v>
      </c>
      <c r="L31" s="3">
        <v>66</v>
      </c>
      <c r="M31" s="3">
        <v>66</v>
      </c>
      <c r="N31" s="3">
        <v>67</v>
      </c>
      <c r="O31" s="3">
        <v>75</v>
      </c>
      <c r="P31" s="3">
        <v>73</v>
      </c>
      <c r="Q31" s="3">
        <v>73</v>
      </c>
      <c r="R31" s="3">
        <v>76</v>
      </c>
      <c r="S31" s="3">
        <v>72</v>
      </c>
      <c r="T31" s="3">
        <v>101</v>
      </c>
      <c r="U31" s="3">
        <v>11</v>
      </c>
      <c r="V31" s="3">
        <v>10</v>
      </c>
      <c r="W31" s="3">
        <v>10</v>
      </c>
      <c r="X31" s="3">
        <v>11</v>
      </c>
      <c r="Y31" s="3">
        <v>8</v>
      </c>
      <c r="Z31" s="3">
        <v>7</v>
      </c>
      <c r="AA31" s="3">
        <v>7</v>
      </c>
      <c r="AB31" s="3">
        <v>7</v>
      </c>
      <c r="AC31" s="3">
        <v>6</v>
      </c>
      <c r="AD31" s="3">
        <v>7</v>
      </c>
      <c r="AE31" s="3">
        <v>14</v>
      </c>
      <c r="AF31" s="3">
        <v>14</v>
      </c>
      <c r="AG31" s="3">
        <v>14</v>
      </c>
      <c r="AH31" s="3">
        <v>14</v>
      </c>
      <c r="AI31" s="3">
        <v>14</v>
      </c>
      <c r="AJ31" s="3">
        <v>15</v>
      </c>
      <c r="AK31" s="3">
        <v>15</v>
      </c>
    </row>
    <row r="32" spans="1:37" x14ac:dyDescent="0.3">
      <c r="A32" s="12" t="s">
        <v>106</v>
      </c>
      <c r="B32" s="12">
        <v>5276</v>
      </c>
      <c r="C32" s="12">
        <v>5610</v>
      </c>
      <c r="D32" s="12">
        <v>5659</v>
      </c>
      <c r="E32" s="12">
        <v>5752</v>
      </c>
      <c r="F32" s="12">
        <v>5905</v>
      </c>
      <c r="G32" s="12">
        <v>5989</v>
      </c>
      <c r="H32" s="12">
        <v>6155</v>
      </c>
      <c r="I32" s="12">
        <v>6565</v>
      </c>
      <c r="J32" s="12">
        <v>5856</v>
      </c>
      <c r="K32" s="12">
        <v>6065</v>
      </c>
      <c r="L32" s="12">
        <v>6257</v>
      </c>
      <c r="M32" s="12">
        <v>7342</v>
      </c>
      <c r="N32" s="12">
        <v>7874</v>
      </c>
      <c r="O32" s="12">
        <v>8450</v>
      </c>
      <c r="P32" s="12">
        <v>8609</v>
      </c>
      <c r="Q32" s="12">
        <v>9085</v>
      </c>
      <c r="R32" s="12">
        <v>9184</v>
      </c>
      <c r="S32" s="12">
        <v>9399</v>
      </c>
      <c r="T32" s="12">
        <v>9567</v>
      </c>
      <c r="U32" s="12">
        <v>9062</v>
      </c>
      <c r="V32" s="12">
        <v>5407</v>
      </c>
      <c r="W32" s="12">
        <v>5667</v>
      </c>
      <c r="X32" s="12">
        <v>5912</v>
      </c>
      <c r="Y32" s="12">
        <v>6267</v>
      </c>
      <c r="Z32" s="12">
        <v>6808</v>
      </c>
      <c r="AA32" s="12">
        <v>7851</v>
      </c>
      <c r="AB32" s="12">
        <v>9901</v>
      </c>
      <c r="AC32" s="12">
        <v>9132</v>
      </c>
      <c r="AD32" s="12">
        <v>9149</v>
      </c>
      <c r="AE32" s="12">
        <v>9796</v>
      </c>
      <c r="AF32" s="12">
        <v>10161</v>
      </c>
      <c r="AG32" s="12">
        <v>10510</v>
      </c>
      <c r="AH32" s="12">
        <v>10842</v>
      </c>
      <c r="AI32" s="12">
        <v>11251</v>
      </c>
      <c r="AJ32" s="12">
        <v>11620</v>
      </c>
      <c r="AK32" s="12">
        <v>11869</v>
      </c>
    </row>
    <row r="33" spans="1:37" x14ac:dyDescent="0.3">
      <c r="A33" s="15" t="s">
        <v>83</v>
      </c>
      <c r="B33" s="11">
        <v>4172</v>
      </c>
      <c r="C33" s="11">
        <v>4533</v>
      </c>
      <c r="D33" s="11">
        <v>4606</v>
      </c>
      <c r="E33" s="11">
        <v>4661</v>
      </c>
      <c r="F33" s="11">
        <v>4799</v>
      </c>
      <c r="G33" s="11">
        <v>4844</v>
      </c>
      <c r="H33" s="11">
        <v>5016</v>
      </c>
      <c r="I33" s="11">
        <v>5305</v>
      </c>
      <c r="J33" s="11">
        <v>5791</v>
      </c>
      <c r="K33" s="11">
        <v>6005</v>
      </c>
      <c r="L33" s="11">
        <v>6177</v>
      </c>
      <c r="M33" s="11">
        <v>7246</v>
      </c>
      <c r="N33" s="11">
        <v>7720</v>
      </c>
      <c r="O33" s="11">
        <v>8252</v>
      </c>
      <c r="P33" s="11">
        <v>8301</v>
      </c>
      <c r="Q33" s="11">
        <v>8656</v>
      </c>
      <c r="R33" s="11">
        <v>8696</v>
      </c>
      <c r="S33" s="11">
        <v>9079</v>
      </c>
      <c r="T33" s="11">
        <v>9264</v>
      </c>
      <c r="U33" s="11">
        <v>8765</v>
      </c>
      <c r="V33" s="11">
        <v>5014</v>
      </c>
      <c r="W33" s="11">
        <v>5310</v>
      </c>
      <c r="X33" s="11">
        <v>5540</v>
      </c>
      <c r="Y33" s="11">
        <v>5869</v>
      </c>
      <c r="Z33" s="11">
        <v>6334</v>
      </c>
      <c r="AA33" s="11">
        <v>6602</v>
      </c>
      <c r="AB33" s="11">
        <v>7280</v>
      </c>
      <c r="AC33" s="11">
        <v>8115</v>
      </c>
      <c r="AD33" s="11">
        <v>8514</v>
      </c>
      <c r="AE33" s="11">
        <v>9138</v>
      </c>
      <c r="AF33" s="11">
        <v>9438</v>
      </c>
      <c r="AG33" s="11">
        <v>9856</v>
      </c>
      <c r="AH33" s="11">
        <v>10194</v>
      </c>
      <c r="AI33" s="11">
        <v>10630</v>
      </c>
      <c r="AJ33" s="11">
        <v>10983</v>
      </c>
      <c r="AK33" s="11">
        <v>11216</v>
      </c>
    </row>
    <row r="34" spans="1:37" x14ac:dyDescent="0.3">
      <c r="A34" s="14" t="s">
        <v>107</v>
      </c>
      <c r="B34" s="3">
        <v>2257</v>
      </c>
      <c r="C34" s="3">
        <v>2596</v>
      </c>
      <c r="D34" s="3">
        <v>2652</v>
      </c>
      <c r="E34" s="3">
        <v>2713</v>
      </c>
      <c r="F34" s="3">
        <v>2820</v>
      </c>
      <c r="G34" s="3">
        <v>2855</v>
      </c>
      <c r="H34" s="3">
        <v>2992</v>
      </c>
      <c r="I34" s="3">
        <v>3103</v>
      </c>
      <c r="J34" s="3">
        <v>3394</v>
      </c>
      <c r="K34" s="3">
        <v>3545</v>
      </c>
      <c r="L34" s="3">
        <v>3700</v>
      </c>
      <c r="M34" s="3">
        <v>4641</v>
      </c>
      <c r="N34" s="3">
        <v>4886</v>
      </c>
      <c r="O34" s="3">
        <v>5124</v>
      </c>
      <c r="P34" s="3">
        <v>5274</v>
      </c>
      <c r="Q34" s="3">
        <v>5576</v>
      </c>
      <c r="R34" s="3">
        <v>5619</v>
      </c>
      <c r="S34" s="3">
        <v>5845</v>
      </c>
      <c r="T34" s="3">
        <v>5969</v>
      </c>
      <c r="U34" s="3">
        <v>6114</v>
      </c>
      <c r="V34" s="3">
        <v>2319</v>
      </c>
      <c r="W34" s="3">
        <v>2387</v>
      </c>
      <c r="X34" s="3">
        <v>2509</v>
      </c>
      <c r="Y34" s="3">
        <v>2582</v>
      </c>
      <c r="Z34" s="3">
        <v>2664</v>
      </c>
      <c r="AA34" s="3">
        <v>2746</v>
      </c>
      <c r="AB34" s="3">
        <v>3006</v>
      </c>
      <c r="AC34" s="3">
        <v>3236</v>
      </c>
      <c r="AD34" s="3">
        <v>3319</v>
      </c>
      <c r="AE34" s="3">
        <v>3646</v>
      </c>
      <c r="AF34" s="3">
        <v>3766</v>
      </c>
      <c r="AG34" s="3">
        <v>3878</v>
      </c>
      <c r="AH34" s="3">
        <v>3939</v>
      </c>
      <c r="AI34" s="3">
        <v>3981</v>
      </c>
      <c r="AJ34" s="3">
        <v>4026</v>
      </c>
      <c r="AK34" s="3">
        <v>4068</v>
      </c>
    </row>
    <row r="35" spans="1:37" x14ac:dyDescent="0.3">
      <c r="A35" s="14" t="s">
        <v>108</v>
      </c>
      <c r="B35" s="3">
        <v>868</v>
      </c>
      <c r="C35" s="3">
        <v>882</v>
      </c>
      <c r="D35" s="3">
        <v>902</v>
      </c>
      <c r="E35" s="3">
        <v>952</v>
      </c>
      <c r="F35" s="3">
        <v>990</v>
      </c>
      <c r="G35" s="3">
        <v>1026</v>
      </c>
      <c r="H35" s="3">
        <v>1107</v>
      </c>
      <c r="I35" s="3">
        <v>1295</v>
      </c>
      <c r="J35" s="3">
        <v>1356</v>
      </c>
      <c r="K35" s="3">
        <v>1397</v>
      </c>
      <c r="L35" s="3">
        <v>1427</v>
      </c>
      <c r="M35" s="3">
        <v>1484</v>
      </c>
      <c r="N35" s="3">
        <v>1595</v>
      </c>
      <c r="O35" s="3">
        <v>1725</v>
      </c>
      <c r="P35" s="3">
        <v>1772</v>
      </c>
      <c r="Q35" s="3">
        <v>1790</v>
      </c>
      <c r="R35" s="3">
        <v>1850</v>
      </c>
      <c r="S35" s="3">
        <v>1917</v>
      </c>
      <c r="T35" s="3">
        <v>1915</v>
      </c>
      <c r="U35" s="3">
        <v>1442</v>
      </c>
      <c r="V35" s="3">
        <v>1505</v>
      </c>
      <c r="W35" s="3">
        <v>1551</v>
      </c>
      <c r="X35" s="3">
        <v>1678</v>
      </c>
      <c r="Y35" s="3">
        <v>1790</v>
      </c>
      <c r="Z35" s="3">
        <v>1922</v>
      </c>
      <c r="AA35" s="3">
        <v>2156</v>
      </c>
      <c r="AB35" s="3">
        <v>2447</v>
      </c>
      <c r="AC35" s="3">
        <v>2728</v>
      </c>
      <c r="AD35" s="3">
        <v>2957</v>
      </c>
      <c r="AE35" s="3">
        <v>3081</v>
      </c>
      <c r="AF35" s="3">
        <v>3235</v>
      </c>
      <c r="AG35" s="3">
        <v>3425</v>
      </c>
      <c r="AH35" s="3">
        <v>3628</v>
      </c>
      <c r="AI35" s="3">
        <v>3776</v>
      </c>
      <c r="AJ35" s="3">
        <v>3963</v>
      </c>
      <c r="AK35" s="3">
        <v>4067</v>
      </c>
    </row>
    <row r="36" spans="1:37" x14ac:dyDescent="0.3">
      <c r="A36" s="14" t="s">
        <v>109</v>
      </c>
      <c r="B36" s="3">
        <v>0</v>
      </c>
      <c r="C36" s="3">
        <v>0</v>
      </c>
      <c r="D36" s="3">
        <v>0</v>
      </c>
      <c r="E36" s="3">
        <v>0</v>
      </c>
      <c r="F36" s="3">
        <v>0</v>
      </c>
      <c r="G36" s="3">
        <v>0</v>
      </c>
      <c r="H36" s="3">
        <v>0</v>
      </c>
      <c r="I36" s="3">
        <v>0</v>
      </c>
      <c r="J36" s="3">
        <v>164</v>
      </c>
      <c r="K36" s="3">
        <v>183</v>
      </c>
      <c r="L36" s="3">
        <v>222</v>
      </c>
      <c r="M36" s="3">
        <v>226</v>
      </c>
      <c r="N36" s="3">
        <v>252</v>
      </c>
      <c r="O36" s="3">
        <v>411</v>
      </c>
      <c r="P36" s="3">
        <v>314</v>
      </c>
      <c r="Q36" s="3">
        <v>341</v>
      </c>
      <c r="R36" s="3">
        <v>345</v>
      </c>
      <c r="S36" s="3">
        <v>358</v>
      </c>
      <c r="T36" s="3">
        <v>378</v>
      </c>
      <c r="U36" s="3">
        <v>446</v>
      </c>
      <c r="V36" s="3">
        <v>509</v>
      </c>
      <c r="W36" s="3">
        <v>651</v>
      </c>
      <c r="X36" s="3">
        <v>650</v>
      </c>
      <c r="Y36" s="3">
        <v>769</v>
      </c>
      <c r="Z36" s="3">
        <v>906</v>
      </c>
      <c r="AA36" s="3">
        <v>720</v>
      </c>
      <c r="AB36" s="3">
        <v>813</v>
      </c>
      <c r="AC36" s="3">
        <v>1006</v>
      </c>
      <c r="AD36" s="3">
        <v>1006</v>
      </c>
      <c r="AE36" s="3">
        <v>1150</v>
      </c>
      <c r="AF36" s="3">
        <v>1161</v>
      </c>
      <c r="AG36" s="3">
        <v>1239</v>
      </c>
      <c r="AH36" s="3">
        <v>1283</v>
      </c>
      <c r="AI36" s="3">
        <v>1510</v>
      </c>
      <c r="AJ36" s="3">
        <v>1635</v>
      </c>
      <c r="AK36" s="3">
        <v>1668</v>
      </c>
    </row>
    <row r="37" spans="1:37" x14ac:dyDescent="0.3">
      <c r="A37" s="14" t="s">
        <v>110</v>
      </c>
      <c r="B37" s="3">
        <v>231</v>
      </c>
      <c r="C37" s="3">
        <v>233</v>
      </c>
      <c r="D37" s="3">
        <v>231</v>
      </c>
      <c r="E37" s="3">
        <v>227</v>
      </c>
      <c r="F37" s="3">
        <v>249</v>
      </c>
      <c r="G37" s="3">
        <v>258</v>
      </c>
      <c r="H37" s="3">
        <v>258</v>
      </c>
      <c r="I37" s="3">
        <v>264</v>
      </c>
      <c r="J37" s="3">
        <v>283</v>
      </c>
      <c r="K37" s="3">
        <v>276</v>
      </c>
      <c r="L37" s="3">
        <v>269</v>
      </c>
      <c r="M37" s="3">
        <v>340</v>
      </c>
      <c r="N37" s="3">
        <v>430</v>
      </c>
      <c r="O37" s="3">
        <v>390</v>
      </c>
      <c r="P37" s="3">
        <v>436</v>
      </c>
      <c r="Q37" s="3">
        <v>450</v>
      </c>
      <c r="R37" s="3">
        <v>456</v>
      </c>
      <c r="S37" s="3">
        <v>500</v>
      </c>
      <c r="T37" s="3">
        <v>541</v>
      </c>
      <c r="U37" s="3">
        <v>545</v>
      </c>
      <c r="V37" s="3">
        <v>536</v>
      </c>
      <c r="W37" s="3">
        <v>572</v>
      </c>
      <c r="X37" s="3">
        <v>577</v>
      </c>
      <c r="Y37" s="3">
        <v>598</v>
      </c>
      <c r="Z37" s="3">
        <v>679</v>
      </c>
      <c r="AA37" s="3">
        <v>767</v>
      </c>
      <c r="AB37" s="3">
        <v>824</v>
      </c>
      <c r="AC37" s="3">
        <v>941</v>
      </c>
      <c r="AD37" s="3">
        <v>1015</v>
      </c>
      <c r="AE37" s="3">
        <v>1025</v>
      </c>
      <c r="AF37" s="3">
        <v>1034</v>
      </c>
      <c r="AG37" s="3">
        <v>1065</v>
      </c>
      <c r="AH37" s="3">
        <v>1091</v>
      </c>
      <c r="AI37" s="3">
        <v>1107</v>
      </c>
      <c r="AJ37" s="3">
        <v>1100</v>
      </c>
      <c r="AK37" s="3">
        <v>1151</v>
      </c>
    </row>
    <row r="38" spans="1:37" x14ac:dyDescent="0.3">
      <c r="A38" s="14" t="s">
        <v>111</v>
      </c>
      <c r="B38" s="3">
        <v>817</v>
      </c>
      <c r="C38" s="3">
        <v>822</v>
      </c>
      <c r="D38" s="3">
        <v>822</v>
      </c>
      <c r="E38" s="3">
        <v>770</v>
      </c>
      <c r="F38" s="3">
        <v>740</v>
      </c>
      <c r="G38" s="3">
        <v>706</v>
      </c>
      <c r="H38" s="3">
        <v>658</v>
      </c>
      <c r="I38" s="3">
        <v>643</v>
      </c>
      <c r="J38" s="3">
        <v>593</v>
      </c>
      <c r="K38" s="3">
        <v>604</v>
      </c>
      <c r="L38" s="3">
        <v>560</v>
      </c>
      <c r="M38" s="3">
        <v>554</v>
      </c>
      <c r="N38" s="3">
        <v>558</v>
      </c>
      <c r="O38" s="3">
        <v>603</v>
      </c>
      <c r="P38" s="3">
        <v>505</v>
      </c>
      <c r="Q38" s="3">
        <v>498</v>
      </c>
      <c r="R38" s="3">
        <v>425</v>
      </c>
      <c r="S38" s="3">
        <v>459</v>
      </c>
      <c r="T38" s="3">
        <v>460</v>
      </c>
      <c r="U38" s="3">
        <v>219</v>
      </c>
      <c r="V38" s="3">
        <v>145</v>
      </c>
      <c r="W38" s="3">
        <v>149</v>
      </c>
      <c r="X38" s="3">
        <v>126</v>
      </c>
      <c r="Y38" s="3">
        <v>131</v>
      </c>
      <c r="Z38" s="3">
        <v>163</v>
      </c>
      <c r="AA38" s="3">
        <v>212</v>
      </c>
      <c r="AB38" s="3">
        <v>190</v>
      </c>
      <c r="AC38" s="3">
        <v>204</v>
      </c>
      <c r="AD38" s="3">
        <v>217</v>
      </c>
      <c r="AE38" s="3">
        <v>237</v>
      </c>
      <c r="AF38" s="3">
        <v>242</v>
      </c>
      <c r="AG38" s="3">
        <v>248</v>
      </c>
      <c r="AH38" s="3">
        <v>253</v>
      </c>
      <c r="AI38" s="3">
        <v>256</v>
      </c>
      <c r="AJ38" s="3">
        <v>260</v>
      </c>
      <c r="AK38" s="3">
        <v>263</v>
      </c>
    </row>
    <row r="39" spans="1:37" x14ac:dyDescent="0.3">
      <c r="A39" s="15" t="s">
        <v>103</v>
      </c>
      <c r="B39" s="11">
        <v>1104</v>
      </c>
      <c r="C39" s="11">
        <v>1077</v>
      </c>
      <c r="D39" s="11">
        <v>1053</v>
      </c>
      <c r="E39" s="11">
        <v>1091</v>
      </c>
      <c r="F39" s="11">
        <v>1106</v>
      </c>
      <c r="G39" s="11">
        <v>1145</v>
      </c>
      <c r="H39" s="11">
        <v>1140</v>
      </c>
      <c r="I39" s="11">
        <v>1260</v>
      </c>
      <c r="J39" s="11">
        <v>65</v>
      </c>
      <c r="K39" s="11">
        <v>60</v>
      </c>
      <c r="L39" s="11">
        <v>80</v>
      </c>
      <c r="M39" s="11">
        <v>96</v>
      </c>
      <c r="N39" s="11">
        <v>153</v>
      </c>
      <c r="O39" s="11">
        <v>197</v>
      </c>
      <c r="P39" s="11">
        <v>308</v>
      </c>
      <c r="Q39" s="11">
        <v>429</v>
      </c>
      <c r="R39" s="11">
        <v>488</v>
      </c>
      <c r="S39" s="11">
        <v>319</v>
      </c>
      <c r="T39" s="11">
        <v>304</v>
      </c>
      <c r="U39" s="11">
        <v>297</v>
      </c>
      <c r="V39" s="11">
        <v>393</v>
      </c>
      <c r="W39" s="11">
        <v>357</v>
      </c>
      <c r="X39" s="11">
        <v>372</v>
      </c>
      <c r="Y39" s="11">
        <v>398</v>
      </c>
      <c r="Z39" s="11">
        <v>474</v>
      </c>
      <c r="AA39" s="11">
        <v>1250</v>
      </c>
      <c r="AB39" s="11">
        <v>2621</v>
      </c>
      <c r="AC39" s="11">
        <v>1016</v>
      </c>
      <c r="AD39" s="11">
        <v>635</v>
      </c>
      <c r="AE39" s="11">
        <v>658</v>
      </c>
      <c r="AF39" s="11">
        <v>723</v>
      </c>
      <c r="AG39" s="11">
        <v>654</v>
      </c>
      <c r="AH39" s="11">
        <v>647</v>
      </c>
      <c r="AI39" s="11">
        <v>621</v>
      </c>
      <c r="AJ39" s="11">
        <v>637</v>
      </c>
      <c r="AK39" s="11">
        <v>653</v>
      </c>
    </row>
    <row r="40" spans="1:37" x14ac:dyDescent="0.3">
      <c r="A40" s="14" t="s">
        <v>104</v>
      </c>
      <c r="B40" s="3">
        <v>1104</v>
      </c>
      <c r="C40" s="3">
        <v>1077</v>
      </c>
      <c r="D40" s="3">
        <v>1053</v>
      </c>
      <c r="E40" s="3">
        <v>1091</v>
      </c>
      <c r="F40" s="3">
        <v>1106</v>
      </c>
      <c r="G40" s="3">
        <v>1145</v>
      </c>
      <c r="H40" s="3">
        <v>1140</v>
      </c>
      <c r="I40" s="3">
        <v>1260</v>
      </c>
      <c r="J40" s="3">
        <v>56</v>
      </c>
      <c r="K40" s="3">
        <v>52</v>
      </c>
      <c r="L40" s="3">
        <v>44</v>
      </c>
      <c r="M40" s="3">
        <v>41</v>
      </c>
      <c r="N40" s="3">
        <v>34</v>
      </c>
      <c r="O40" s="3">
        <v>36</v>
      </c>
      <c r="P40" s="3">
        <v>24</v>
      </c>
      <c r="Q40" s="3">
        <v>30</v>
      </c>
      <c r="R40" s="3">
        <v>26</v>
      </c>
      <c r="S40" s="3">
        <v>20</v>
      </c>
      <c r="T40" s="3">
        <v>47</v>
      </c>
      <c r="U40" s="3">
        <v>62</v>
      </c>
      <c r="V40" s="3">
        <v>103</v>
      </c>
      <c r="W40" s="3">
        <v>83</v>
      </c>
      <c r="X40" s="3">
        <v>78</v>
      </c>
      <c r="Y40" s="3">
        <v>85</v>
      </c>
      <c r="Z40" s="3">
        <v>119</v>
      </c>
      <c r="AA40" s="3">
        <v>461</v>
      </c>
      <c r="AB40" s="3">
        <v>230</v>
      </c>
      <c r="AC40" s="3">
        <v>123</v>
      </c>
      <c r="AD40" s="3">
        <v>107</v>
      </c>
      <c r="AE40" s="3">
        <v>106</v>
      </c>
      <c r="AF40" s="3">
        <v>112</v>
      </c>
      <c r="AG40" s="3">
        <v>118</v>
      </c>
      <c r="AH40" s="3">
        <v>125</v>
      </c>
      <c r="AI40" s="3">
        <v>132</v>
      </c>
      <c r="AJ40" s="3">
        <v>138</v>
      </c>
      <c r="AK40" s="3">
        <v>145</v>
      </c>
    </row>
    <row r="41" spans="1:37" ht="15" thickBot="1" x14ac:dyDescent="0.35">
      <c r="A41" s="14" t="s">
        <v>105</v>
      </c>
      <c r="B41" s="3">
        <v>0</v>
      </c>
      <c r="C41" s="3">
        <v>0</v>
      </c>
      <c r="D41" s="3">
        <v>0</v>
      </c>
      <c r="E41" s="3">
        <v>0</v>
      </c>
      <c r="F41" s="3">
        <v>0</v>
      </c>
      <c r="G41" s="3">
        <v>0</v>
      </c>
      <c r="H41" s="3">
        <v>0</v>
      </c>
      <c r="I41" s="3">
        <v>0</v>
      </c>
      <c r="J41" s="3">
        <v>9</v>
      </c>
      <c r="K41" s="3">
        <v>9</v>
      </c>
      <c r="L41" s="3">
        <v>36</v>
      </c>
      <c r="M41" s="3">
        <v>55</v>
      </c>
      <c r="N41" s="3">
        <v>119</v>
      </c>
      <c r="O41" s="3">
        <v>162</v>
      </c>
      <c r="P41" s="3">
        <v>284</v>
      </c>
      <c r="Q41" s="3">
        <v>398</v>
      </c>
      <c r="R41" s="3">
        <v>462</v>
      </c>
      <c r="S41" s="3">
        <v>299</v>
      </c>
      <c r="T41" s="3">
        <v>256</v>
      </c>
      <c r="U41" s="3">
        <v>236</v>
      </c>
      <c r="V41" s="3">
        <v>290</v>
      </c>
      <c r="W41" s="3">
        <v>274</v>
      </c>
      <c r="X41" s="3">
        <v>294</v>
      </c>
      <c r="Y41" s="3">
        <v>314</v>
      </c>
      <c r="Z41" s="3">
        <v>355</v>
      </c>
      <c r="AA41" s="3">
        <v>789</v>
      </c>
      <c r="AB41" s="3">
        <v>2392</v>
      </c>
      <c r="AC41" s="3">
        <v>893</v>
      </c>
      <c r="AD41" s="3">
        <v>527</v>
      </c>
      <c r="AE41" s="3">
        <v>552</v>
      </c>
      <c r="AF41" s="3">
        <v>611</v>
      </c>
      <c r="AG41" s="3">
        <v>536</v>
      </c>
      <c r="AH41" s="3">
        <v>522</v>
      </c>
      <c r="AI41" s="3">
        <v>490</v>
      </c>
      <c r="AJ41" s="3">
        <v>499</v>
      </c>
      <c r="AK41" s="3">
        <v>507</v>
      </c>
    </row>
    <row r="42" spans="1:37" x14ac:dyDescent="0.3">
      <c r="A42" s="12" t="s">
        <v>112</v>
      </c>
      <c r="B42" s="12">
        <v>3206</v>
      </c>
      <c r="C42" s="12">
        <v>3427</v>
      </c>
      <c r="D42" s="12">
        <v>3571</v>
      </c>
      <c r="E42" s="12">
        <v>3883</v>
      </c>
      <c r="F42" s="12">
        <v>4221</v>
      </c>
      <c r="G42" s="12">
        <v>4606</v>
      </c>
      <c r="H42" s="12">
        <v>5357</v>
      </c>
      <c r="I42" s="12">
        <v>5368</v>
      </c>
      <c r="J42" s="12">
        <v>5829</v>
      </c>
      <c r="K42" s="12">
        <v>6242</v>
      </c>
      <c r="L42" s="12">
        <v>6537</v>
      </c>
      <c r="M42" s="12">
        <v>7086</v>
      </c>
      <c r="N42" s="12">
        <v>7596</v>
      </c>
      <c r="O42" s="12">
        <v>8200</v>
      </c>
      <c r="P42" s="12">
        <v>8463</v>
      </c>
      <c r="Q42" s="12">
        <v>8941</v>
      </c>
      <c r="R42" s="12">
        <v>9373</v>
      </c>
      <c r="S42" s="12">
        <v>9557</v>
      </c>
      <c r="T42" s="12">
        <v>9885</v>
      </c>
      <c r="U42" s="12">
        <v>19962</v>
      </c>
      <c r="V42" s="12">
        <v>20967</v>
      </c>
      <c r="W42" s="12">
        <v>21713</v>
      </c>
      <c r="X42" s="12">
        <v>22501</v>
      </c>
      <c r="Y42" s="12">
        <v>23320</v>
      </c>
      <c r="Z42" s="12">
        <v>24063</v>
      </c>
      <c r="AA42" s="12">
        <v>24631</v>
      </c>
      <c r="AB42" s="12">
        <v>26624</v>
      </c>
      <c r="AC42" s="12">
        <v>28842</v>
      </c>
      <c r="AD42" s="12">
        <v>30361</v>
      </c>
      <c r="AE42" s="12">
        <v>31307</v>
      </c>
      <c r="AF42" s="12">
        <v>31974</v>
      </c>
      <c r="AG42" s="12">
        <v>33290</v>
      </c>
      <c r="AH42" s="12">
        <v>34537</v>
      </c>
      <c r="AI42" s="12">
        <v>35631</v>
      </c>
      <c r="AJ42" s="12">
        <v>36595</v>
      </c>
      <c r="AK42" s="12">
        <v>37284</v>
      </c>
    </row>
    <row r="43" spans="1:37" x14ac:dyDescent="0.3">
      <c r="A43" s="15" t="s">
        <v>83</v>
      </c>
      <c r="B43" s="11">
        <v>2226</v>
      </c>
      <c r="C43" s="11">
        <v>2366</v>
      </c>
      <c r="D43" s="11">
        <v>2518</v>
      </c>
      <c r="E43" s="11">
        <v>2650</v>
      </c>
      <c r="F43" s="11">
        <v>2895</v>
      </c>
      <c r="G43" s="11">
        <v>3138</v>
      </c>
      <c r="H43" s="11">
        <v>3620</v>
      </c>
      <c r="I43" s="11">
        <v>3590</v>
      </c>
      <c r="J43" s="11">
        <v>3827</v>
      </c>
      <c r="K43" s="11">
        <v>4061</v>
      </c>
      <c r="L43" s="11">
        <v>4278</v>
      </c>
      <c r="M43" s="11">
        <v>4648</v>
      </c>
      <c r="N43" s="11">
        <v>4932</v>
      </c>
      <c r="O43" s="11">
        <v>5313</v>
      </c>
      <c r="P43" s="11">
        <v>5390</v>
      </c>
      <c r="Q43" s="11">
        <v>5625</v>
      </c>
      <c r="R43" s="11">
        <v>5829</v>
      </c>
      <c r="S43" s="11">
        <v>6085</v>
      </c>
      <c r="T43" s="11">
        <v>6252</v>
      </c>
      <c r="U43" s="11">
        <v>13135</v>
      </c>
      <c r="V43" s="11">
        <v>13746</v>
      </c>
      <c r="W43" s="11">
        <v>14220</v>
      </c>
      <c r="X43" s="11">
        <v>14616</v>
      </c>
      <c r="Y43" s="11">
        <v>15278</v>
      </c>
      <c r="Z43" s="11">
        <v>15770</v>
      </c>
      <c r="AA43" s="11">
        <v>16062</v>
      </c>
      <c r="AB43" s="11">
        <v>17288</v>
      </c>
      <c r="AC43" s="11">
        <v>18371</v>
      </c>
      <c r="AD43" s="11">
        <v>19242</v>
      </c>
      <c r="AE43" s="11">
        <v>19693</v>
      </c>
      <c r="AF43" s="11">
        <v>20180</v>
      </c>
      <c r="AG43" s="11">
        <v>20917</v>
      </c>
      <c r="AH43" s="11">
        <v>21511</v>
      </c>
      <c r="AI43" s="11">
        <v>21982</v>
      </c>
      <c r="AJ43" s="11">
        <v>22489</v>
      </c>
      <c r="AK43" s="11">
        <v>22662</v>
      </c>
    </row>
    <row r="44" spans="1:37" x14ac:dyDescent="0.3">
      <c r="A44" s="14" t="s">
        <v>107</v>
      </c>
      <c r="B44" s="3">
        <v>1645</v>
      </c>
      <c r="C44" s="3">
        <v>1766</v>
      </c>
      <c r="D44" s="3">
        <v>1902</v>
      </c>
      <c r="E44" s="3">
        <v>2039</v>
      </c>
      <c r="F44" s="3">
        <v>2220</v>
      </c>
      <c r="G44" s="3">
        <v>2458</v>
      </c>
      <c r="H44" s="3">
        <v>2709</v>
      </c>
      <c r="I44" s="3">
        <v>2862</v>
      </c>
      <c r="J44" s="3">
        <v>3056</v>
      </c>
      <c r="K44" s="3">
        <v>3251</v>
      </c>
      <c r="L44" s="3">
        <v>3445</v>
      </c>
      <c r="M44" s="3">
        <v>3638</v>
      </c>
      <c r="N44" s="3">
        <v>3917</v>
      </c>
      <c r="O44" s="3">
        <v>4169</v>
      </c>
      <c r="P44" s="3">
        <v>4336</v>
      </c>
      <c r="Q44" s="3">
        <v>4635</v>
      </c>
      <c r="R44" s="3">
        <v>4876</v>
      </c>
      <c r="S44" s="3">
        <v>5131</v>
      </c>
      <c r="T44" s="3">
        <v>5242</v>
      </c>
      <c r="U44" s="3">
        <v>5403</v>
      </c>
      <c r="V44" s="3">
        <v>5608</v>
      </c>
      <c r="W44" s="3">
        <v>5869</v>
      </c>
      <c r="X44" s="3">
        <v>5992</v>
      </c>
      <c r="Y44" s="3">
        <v>6112</v>
      </c>
      <c r="Z44" s="3">
        <v>6259</v>
      </c>
      <c r="AA44" s="3">
        <v>6407</v>
      </c>
      <c r="AB44" s="3">
        <v>7030</v>
      </c>
      <c r="AC44" s="3">
        <v>7650</v>
      </c>
      <c r="AD44" s="3">
        <v>8048</v>
      </c>
      <c r="AE44" s="3">
        <v>8388</v>
      </c>
      <c r="AF44" s="3">
        <v>8723</v>
      </c>
      <c r="AG44" s="3">
        <v>9079</v>
      </c>
      <c r="AH44" s="3">
        <v>9356</v>
      </c>
      <c r="AI44" s="3">
        <v>9588</v>
      </c>
      <c r="AJ44" s="3">
        <v>9847</v>
      </c>
      <c r="AK44" s="3">
        <v>10090</v>
      </c>
    </row>
    <row r="45" spans="1:37" x14ac:dyDescent="0.3">
      <c r="A45" s="14" t="s">
        <v>113</v>
      </c>
      <c r="B45" s="3">
        <v>0</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130</v>
      </c>
      <c r="V45" s="3">
        <v>138</v>
      </c>
      <c r="W45" s="3">
        <v>137</v>
      </c>
      <c r="X45" s="3">
        <v>110</v>
      </c>
      <c r="Y45" s="3">
        <v>100</v>
      </c>
      <c r="Z45" s="3">
        <v>88</v>
      </c>
      <c r="AA45" s="3">
        <v>76</v>
      </c>
      <c r="AB45" s="3">
        <v>69</v>
      </c>
      <c r="AC45" s="3">
        <v>68</v>
      </c>
      <c r="AD45" s="3">
        <v>58</v>
      </c>
      <c r="AE45" s="3">
        <v>51</v>
      </c>
      <c r="AF45" s="3">
        <v>51</v>
      </c>
      <c r="AG45" s="3">
        <v>52</v>
      </c>
      <c r="AH45" s="3">
        <v>52</v>
      </c>
      <c r="AI45" s="3">
        <v>53</v>
      </c>
      <c r="AJ45" s="3">
        <v>54</v>
      </c>
      <c r="AK45" s="3">
        <v>55</v>
      </c>
    </row>
    <row r="46" spans="1:37" x14ac:dyDescent="0.3">
      <c r="A46" s="14" t="s">
        <v>92</v>
      </c>
      <c r="B46" s="3">
        <v>0</v>
      </c>
      <c r="C46" s="3">
        <v>0</v>
      </c>
      <c r="D46" s="3">
        <v>0</v>
      </c>
      <c r="E46" s="3">
        <v>0</v>
      </c>
      <c r="F46" s="3">
        <v>0</v>
      </c>
      <c r="G46" s="3">
        <v>0</v>
      </c>
      <c r="H46" s="3">
        <v>0</v>
      </c>
      <c r="I46" s="3">
        <v>0</v>
      </c>
      <c r="J46" s="3">
        <v>0</v>
      </c>
      <c r="K46" s="3">
        <v>0</v>
      </c>
      <c r="L46" s="3">
        <v>0</v>
      </c>
      <c r="M46" s="3">
        <v>0</v>
      </c>
      <c r="N46" s="3">
        <v>0</v>
      </c>
      <c r="O46" s="3">
        <v>0</v>
      </c>
      <c r="P46" s="3">
        <v>0</v>
      </c>
      <c r="Q46" s="3">
        <v>0</v>
      </c>
      <c r="R46" s="3">
        <v>0</v>
      </c>
      <c r="S46" s="3">
        <v>0</v>
      </c>
      <c r="T46" s="3">
        <v>0</v>
      </c>
      <c r="U46" s="3">
        <v>6309</v>
      </c>
      <c r="V46" s="3">
        <v>6373</v>
      </c>
      <c r="W46" s="3">
        <v>6498</v>
      </c>
      <c r="X46" s="3">
        <v>6613</v>
      </c>
      <c r="Y46" s="3">
        <v>6888</v>
      </c>
      <c r="Z46" s="3">
        <v>7080</v>
      </c>
      <c r="AA46" s="3">
        <v>7305</v>
      </c>
      <c r="AB46" s="3">
        <v>7738</v>
      </c>
      <c r="AC46" s="3">
        <v>8192</v>
      </c>
      <c r="AD46" s="3">
        <v>8366</v>
      </c>
      <c r="AE46" s="3">
        <v>8579</v>
      </c>
      <c r="AF46" s="3">
        <v>8731</v>
      </c>
      <c r="AG46" s="3">
        <v>9005</v>
      </c>
      <c r="AH46" s="3">
        <v>9229</v>
      </c>
      <c r="AI46" s="3">
        <v>9386</v>
      </c>
      <c r="AJ46" s="3">
        <v>9550</v>
      </c>
      <c r="AK46" s="3">
        <v>9695</v>
      </c>
    </row>
    <row r="47" spans="1:37" x14ac:dyDescent="0.3">
      <c r="A47" s="14" t="s">
        <v>114</v>
      </c>
      <c r="B47" s="3">
        <v>0</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517</v>
      </c>
      <c r="V47" s="3">
        <v>516</v>
      </c>
      <c r="W47" s="3">
        <v>506</v>
      </c>
      <c r="X47" s="3">
        <v>515</v>
      </c>
      <c r="Y47" s="3">
        <v>514</v>
      </c>
      <c r="Z47" s="3">
        <v>489</v>
      </c>
      <c r="AA47" s="3">
        <v>453</v>
      </c>
      <c r="AB47" s="3">
        <v>460</v>
      </c>
      <c r="AC47" s="3">
        <v>465</v>
      </c>
      <c r="AD47" s="3">
        <v>492</v>
      </c>
      <c r="AE47" s="3">
        <v>503</v>
      </c>
      <c r="AF47" s="3">
        <v>525</v>
      </c>
      <c r="AG47" s="3">
        <v>553</v>
      </c>
      <c r="AH47" s="3">
        <v>580</v>
      </c>
      <c r="AI47" s="3">
        <v>601</v>
      </c>
      <c r="AJ47" s="3">
        <v>625</v>
      </c>
      <c r="AK47" s="3">
        <v>647</v>
      </c>
    </row>
    <row r="48" spans="1:37" x14ac:dyDescent="0.3">
      <c r="A48" s="14" t="s">
        <v>115</v>
      </c>
      <c r="B48" s="3">
        <v>0</v>
      </c>
      <c r="C48" s="3">
        <v>0</v>
      </c>
      <c r="D48" s="3">
        <v>0</v>
      </c>
      <c r="E48" s="3">
        <v>0</v>
      </c>
      <c r="F48" s="3">
        <v>0</v>
      </c>
      <c r="G48" s="3">
        <v>0</v>
      </c>
      <c r="H48" s="3">
        <v>222</v>
      </c>
      <c r="I48" s="3">
        <v>0</v>
      </c>
      <c r="J48" s="3">
        <v>0</v>
      </c>
      <c r="K48" s="3">
        <v>0</v>
      </c>
      <c r="L48" s="3">
        <v>0</v>
      </c>
      <c r="M48" s="3">
        <v>122</v>
      </c>
      <c r="N48" s="3">
        <v>175</v>
      </c>
      <c r="O48" s="3">
        <v>199</v>
      </c>
      <c r="P48" s="3">
        <v>160</v>
      </c>
      <c r="Q48" s="3">
        <v>50</v>
      </c>
      <c r="R48" s="3">
        <v>3</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row>
    <row r="49" spans="1:37" x14ac:dyDescent="0.3">
      <c r="A49" s="14" t="s">
        <v>116</v>
      </c>
      <c r="B49" s="3">
        <v>0</v>
      </c>
      <c r="C49" s="3">
        <v>0</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363</v>
      </c>
      <c r="W49" s="3">
        <v>404</v>
      </c>
      <c r="X49" s="3">
        <v>436</v>
      </c>
      <c r="Y49" s="3">
        <v>453</v>
      </c>
      <c r="Z49" s="3">
        <v>304</v>
      </c>
      <c r="AA49" s="3">
        <v>463</v>
      </c>
      <c r="AB49" s="3">
        <v>451</v>
      </c>
      <c r="AC49" s="3">
        <v>451</v>
      </c>
      <c r="AD49" s="3">
        <v>436</v>
      </c>
      <c r="AE49" s="3">
        <v>441</v>
      </c>
      <c r="AF49" s="3">
        <v>450</v>
      </c>
      <c r="AG49" s="3">
        <v>473</v>
      </c>
      <c r="AH49" s="3">
        <v>495</v>
      </c>
      <c r="AI49" s="3">
        <v>517</v>
      </c>
      <c r="AJ49" s="3">
        <v>539</v>
      </c>
      <c r="AK49" s="3">
        <v>562</v>
      </c>
    </row>
    <row r="50" spans="1:37" x14ac:dyDescent="0.3">
      <c r="A50" s="14" t="s">
        <v>117</v>
      </c>
      <c r="B50" s="3">
        <v>581</v>
      </c>
      <c r="C50" s="3">
        <v>600</v>
      </c>
      <c r="D50" s="3">
        <v>616</v>
      </c>
      <c r="E50" s="3">
        <v>611</v>
      </c>
      <c r="F50" s="3">
        <v>675</v>
      </c>
      <c r="G50" s="3">
        <v>680</v>
      </c>
      <c r="H50" s="3">
        <v>688</v>
      </c>
      <c r="I50" s="3">
        <v>727</v>
      </c>
      <c r="J50" s="3">
        <v>772</v>
      </c>
      <c r="K50" s="3">
        <v>810</v>
      </c>
      <c r="L50" s="3">
        <v>833</v>
      </c>
      <c r="M50" s="3">
        <v>888</v>
      </c>
      <c r="N50" s="3">
        <v>840</v>
      </c>
      <c r="O50" s="3">
        <v>945</v>
      </c>
      <c r="P50" s="3">
        <v>893</v>
      </c>
      <c r="Q50" s="3">
        <v>941</v>
      </c>
      <c r="R50" s="3">
        <v>950</v>
      </c>
      <c r="S50" s="3">
        <v>954</v>
      </c>
      <c r="T50" s="3">
        <v>1011</v>
      </c>
      <c r="U50" s="3">
        <v>775</v>
      </c>
      <c r="V50" s="3">
        <v>748</v>
      </c>
      <c r="W50" s="3">
        <v>806</v>
      </c>
      <c r="X50" s="3">
        <v>951</v>
      </c>
      <c r="Y50" s="3">
        <v>1211</v>
      </c>
      <c r="Z50" s="3">
        <v>1550</v>
      </c>
      <c r="AA50" s="3">
        <v>1358</v>
      </c>
      <c r="AB50" s="3">
        <v>1541</v>
      </c>
      <c r="AC50" s="3">
        <v>1544</v>
      </c>
      <c r="AD50" s="3">
        <v>1841</v>
      </c>
      <c r="AE50" s="3">
        <v>1730</v>
      </c>
      <c r="AF50" s="3">
        <v>1701</v>
      </c>
      <c r="AG50" s="3">
        <v>1755</v>
      </c>
      <c r="AH50" s="3">
        <v>1799</v>
      </c>
      <c r="AI50" s="3">
        <v>1837</v>
      </c>
      <c r="AJ50" s="3">
        <v>1874</v>
      </c>
      <c r="AK50" s="3">
        <v>1612</v>
      </c>
    </row>
    <row r="51" spans="1:37" x14ac:dyDescent="0.3">
      <c r="A51" s="15" t="s">
        <v>103</v>
      </c>
      <c r="B51" s="11">
        <v>980</v>
      </c>
      <c r="C51" s="11">
        <v>1061</v>
      </c>
      <c r="D51" s="11">
        <v>1053</v>
      </c>
      <c r="E51" s="11">
        <v>1233</v>
      </c>
      <c r="F51" s="11">
        <v>1326</v>
      </c>
      <c r="G51" s="11">
        <v>1467</v>
      </c>
      <c r="H51" s="11">
        <v>1738</v>
      </c>
      <c r="I51" s="11">
        <v>1779</v>
      </c>
      <c r="J51" s="11">
        <v>2002</v>
      </c>
      <c r="K51" s="11">
        <v>2181</v>
      </c>
      <c r="L51" s="11">
        <v>2259</v>
      </c>
      <c r="M51" s="11">
        <v>2437</v>
      </c>
      <c r="N51" s="11">
        <v>2664</v>
      </c>
      <c r="O51" s="11">
        <v>2887</v>
      </c>
      <c r="P51" s="11">
        <v>3073</v>
      </c>
      <c r="Q51" s="11">
        <v>3316</v>
      </c>
      <c r="R51" s="11">
        <v>3543</v>
      </c>
      <c r="S51" s="11">
        <v>3472</v>
      </c>
      <c r="T51" s="11">
        <v>3633</v>
      </c>
      <c r="U51" s="11">
        <v>6828</v>
      </c>
      <c r="V51" s="11">
        <v>7220</v>
      </c>
      <c r="W51" s="11">
        <v>7493</v>
      </c>
      <c r="X51" s="11">
        <v>7885</v>
      </c>
      <c r="Y51" s="11">
        <v>8042</v>
      </c>
      <c r="Z51" s="11">
        <v>8293</v>
      </c>
      <c r="AA51" s="11">
        <v>8570</v>
      </c>
      <c r="AB51" s="11">
        <v>9335</v>
      </c>
      <c r="AC51" s="11">
        <v>10471</v>
      </c>
      <c r="AD51" s="11">
        <v>11120</v>
      </c>
      <c r="AE51" s="11">
        <v>11615</v>
      </c>
      <c r="AF51" s="11">
        <v>11794</v>
      </c>
      <c r="AG51" s="11">
        <v>12373</v>
      </c>
      <c r="AH51" s="11">
        <v>13025</v>
      </c>
      <c r="AI51" s="11">
        <v>13650</v>
      </c>
      <c r="AJ51" s="11">
        <v>14106</v>
      </c>
      <c r="AK51" s="11">
        <v>14622</v>
      </c>
    </row>
    <row r="52" spans="1:37" x14ac:dyDescent="0.3">
      <c r="A52" s="14" t="s">
        <v>104</v>
      </c>
      <c r="B52" s="3">
        <v>0</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3067</v>
      </c>
      <c r="V52" s="3">
        <v>3135</v>
      </c>
      <c r="W52" s="3">
        <v>3283</v>
      </c>
      <c r="X52" s="3">
        <v>3427</v>
      </c>
      <c r="Y52" s="3">
        <v>3594</v>
      </c>
      <c r="Z52" s="3">
        <v>3652</v>
      </c>
      <c r="AA52" s="3">
        <v>3754</v>
      </c>
      <c r="AB52" s="3">
        <v>4226</v>
      </c>
      <c r="AC52" s="3">
        <v>4702</v>
      </c>
      <c r="AD52" s="3">
        <v>5336</v>
      </c>
      <c r="AE52" s="3">
        <v>5369</v>
      </c>
      <c r="AF52" s="3">
        <v>5382</v>
      </c>
      <c r="AG52" s="3">
        <v>5655</v>
      </c>
      <c r="AH52" s="3">
        <v>6018</v>
      </c>
      <c r="AI52" s="3">
        <v>6328</v>
      </c>
      <c r="AJ52" s="3">
        <v>6640</v>
      </c>
      <c r="AK52" s="3">
        <v>7017</v>
      </c>
    </row>
    <row r="53" spans="1:37" ht="15" thickBot="1" x14ac:dyDescent="0.35">
      <c r="A53" s="14" t="s">
        <v>105</v>
      </c>
      <c r="B53" s="3">
        <v>980</v>
      </c>
      <c r="C53" s="3">
        <v>1061</v>
      </c>
      <c r="D53" s="3">
        <v>1053</v>
      </c>
      <c r="E53" s="3">
        <v>1233</v>
      </c>
      <c r="F53" s="3">
        <v>1326</v>
      </c>
      <c r="G53" s="3">
        <v>1467</v>
      </c>
      <c r="H53" s="3">
        <v>1738</v>
      </c>
      <c r="I53" s="3">
        <v>1779</v>
      </c>
      <c r="J53" s="3">
        <v>2002</v>
      </c>
      <c r="K53" s="3">
        <v>2181</v>
      </c>
      <c r="L53" s="3">
        <v>2259</v>
      </c>
      <c r="M53" s="3">
        <v>2437</v>
      </c>
      <c r="N53" s="3">
        <v>2664</v>
      </c>
      <c r="O53" s="3">
        <v>2887</v>
      </c>
      <c r="P53" s="3">
        <v>3073</v>
      </c>
      <c r="Q53" s="3">
        <v>3316</v>
      </c>
      <c r="R53" s="3">
        <v>3543</v>
      </c>
      <c r="S53" s="3">
        <v>3472</v>
      </c>
      <c r="T53" s="3">
        <v>3633</v>
      </c>
      <c r="U53" s="3">
        <v>3760</v>
      </c>
      <c r="V53" s="3">
        <v>4085</v>
      </c>
      <c r="W53" s="3">
        <v>4209</v>
      </c>
      <c r="X53" s="3">
        <v>4457</v>
      </c>
      <c r="Y53" s="3">
        <v>4447</v>
      </c>
      <c r="Z53" s="3">
        <v>4642</v>
      </c>
      <c r="AA53" s="3">
        <v>4815</v>
      </c>
      <c r="AB53" s="3">
        <v>5109</v>
      </c>
      <c r="AC53" s="3">
        <v>5769</v>
      </c>
      <c r="AD53" s="3">
        <v>5784</v>
      </c>
      <c r="AE53" s="3">
        <v>6245</v>
      </c>
      <c r="AF53" s="3">
        <v>6412</v>
      </c>
      <c r="AG53" s="3">
        <v>6717</v>
      </c>
      <c r="AH53" s="3">
        <v>7007</v>
      </c>
      <c r="AI53" s="3">
        <v>7322</v>
      </c>
      <c r="AJ53" s="3">
        <v>7466</v>
      </c>
      <c r="AK53" s="3">
        <v>7605</v>
      </c>
    </row>
    <row r="54" spans="1:37" x14ac:dyDescent="0.3">
      <c r="A54" s="12" t="s">
        <v>118</v>
      </c>
      <c r="B54" s="12">
        <v>1410</v>
      </c>
      <c r="C54" s="12">
        <v>1423</v>
      </c>
      <c r="D54" s="12">
        <v>1431</v>
      </c>
      <c r="E54" s="12">
        <v>1457</v>
      </c>
      <c r="F54" s="12">
        <v>1627</v>
      </c>
      <c r="G54" s="12">
        <v>1690</v>
      </c>
      <c r="H54" s="12">
        <v>1866</v>
      </c>
      <c r="I54" s="12">
        <v>1927</v>
      </c>
      <c r="J54" s="12">
        <v>1947</v>
      </c>
      <c r="K54" s="12">
        <v>1925</v>
      </c>
      <c r="L54" s="12">
        <v>2150</v>
      </c>
      <c r="M54" s="12">
        <v>2232</v>
      </c>
      <c r="N54" s="12">
        <v>2424</v>
      </c>
      <c r="O54" s="12">
        <v>2539</v>
      </c>
      <c r="P54" s="12">
        <v>2620</v>
      </c>
      <c r="Q54" s="12">
        <v>2844</v>
      </c>
      <c r="R54" s="12">
        <v>3032</v>
      </c>
      <c r="S54" s="12">
        <v>3039</v>
      </c>
      <c r="T54" s="12">
        <v>2909</v>
      </c>
      <c r="U54" s="12">
        <v>2963</v>
      </c>
      <c r="V54" s="12">
        <v>3154</v>
      </c>
      <c r="W54" s="12">
        <v>3324</v>
      </c>
      <c r="X54" s="12">
        <v>3276</v>
      </c>
      <c r="Y54" s="12">
        <v>3343</v>
      </c>
      <c r="Z54" s="12">
        <v>3622</v>
      </c>
      <c r="AA54" s="12">
        <v>3820</v>
      </c>
      <c r="AB54" s="12">
        <v>4213</v>
      </c>
      <c r="AC54" s="12">
        <v>4546</v>
      </c>
      <c r="AD54" s="12">
        <v>4867</v>
      </c>
      <c r="AE54" s="12">
        <v>4960</v>
      </c>
      <c r="AF54" s="12">
        <v>5776</v>
      </c>
      <c r="AG54" s="12">
        <v>6159</v>
      </c>
      <c r="AH54" s="12">
        <v>6327</v>
      </c>
      <c r="AI54" s="12">
        <v>6393</v>
      </c>
      <c r="AJ54" s="12">
        <v>6626</v>
      </c>
      <c r="AK54" s="12">
        <v>6832</v>
      </c>
    </row>
    <row r="55" spans="1:37" x14ac:dyDescent="0.3">
      <c r="A55" s="15" t="s">
        <v>83</v>
      </c>
      <c r="B55" s="11">
        <v>1296</v>
      </c>
      <c r="C55" s="11">
        <v>1302</v>
      </c>
      <c r="D55" s="11">
        <v>1318</v>
      </c>
      <c r="E55" s="11">
        <v>1334</v>
      </c>
      <c r="F55" s="11">
        <v>1413</v>
      </c>
      <c r="G55" s="11">
        <v>1486</v>
      </c>
      <c r="H55" s="11">
        <v>1652</v>
      </c>
      <c r="I55" s="11">
        <v>1691</v>
      </c>
      <c r="J55" s="11">
        <v>1700</v>
      </c>
      <c r="K55" s="11">
        <v>1672</v>
      </c>
      <c r="L55" s="11">
        <v>1910</v>
      </c>
      <c r="M55" s="11">
        <v>1992</v>
      </c>
      <c r="N55" s="11">
        <v>2137</v>
      </c>
      <c r="O55" s="11">
        <v>2251</v>
      </c>
      <c r="P55" s="11">
        <v>2303</v>
      </c>
      <c r="Q55" s="11">
        <v>2504</v>
      </c>
      <c r="R55" s="11">
        <v>2652</v>
      </c>
      <c r="S55" s="11">
        <v>2684</v>
      </c>
      <c r="T55" s="11">
        <v>2586</v>
      </c>
      <c r="U55" s="11">
        <v>2686</v>
      </c>
      <c r="V55" s="11">
        <v>2873</v>
      </c>
      <c r="W55" s="11">
        <v>3075</v>
      </c>
      <c r="X55" s="11">
        <v>3069</v>
      </c>
      <c r="Y55" s="11">
        <v>3140</v>
      </c>
      <c r="Z55" s="11">
        <v>3400</v>
      </c>
      <c r="AA55" s="11">
        <v>3562</v>
      </c>
      <c r="AB55" s="11">
        <v>3877</v>
      </c>
      <c r="AC55" s="11">
        <v>4164</v>
      </c>
      <c r="AD55" s="11">
        <v>4490</v>
      </c>
      <c r="AE55" s="11">
        <v>4601</v>
      </c>
      <c r="AF55" s="11">
        <v>5389</v>
      </c>
      <c r="AG55" s="11">
        <v>5799</v>
      </c>
      <c r="AH55" s="11">
        <v>5950</v>
      </c>
      <c r="AI55" s="11">
        <v>6004</v>
      </c>
      <c r="AJ55" s="11">
        <v>6230</v>
      </c>
      <c r="AK55" s="11">
        <v>6430</v>
      </c>
    </row>
    <row r="56" spans="1:37" x14ac:dyDescent="0.3">
      <c r="A56" s="14" t="s">
        <v>107</v>
      </c>
      <c r="B56" s="3">
        <v>902</v>
      </c>
      <c r="C56" s="3">
        <v>880</v>
      </c>
      <c r="D56" s="3">
        <v>908</v>
      </c>
      <c r="E56" s="3">
        <v>891</v>
      </c>
      <c r="F56" s="3">
        <v>894</v>
      </c>
      <c r="G56" s="3">
        <v>934</v>
      </c>
      <c r="H56" s="3">
        <v>993</v>
      </c>
      <c r="I56" s="3">
        <v>1027</v>
      </c>
      <c r="J56" s="3">
        <v>1080</v>
      </c>
      <c r="K56" s="3">
        <v>1026</v>
      </c>
      <c r="L56" s="3">
        <v>1220</v>
      </c>
      <c r="M56" s="3">
        <v>1313</v>
      </c>
      <c r="N56" s="3">
        <v>1346</v>
      </c>
      <c r="O56" s="3">
        <v>1385</v>
      </c>
      <c r="P56" s="3">
        <v>1420</v>
      </c>
      <c r="Q56" s="3">
        <v>1491</v>
      </c>
      <c r="R56" s="3">
        <v>1553</v>
      </c>
      <c r="S56" s="3">
        <v>1558</v>
      </c>
      <c r="T56" s="3">
        <v>1480</v>
      </c>
      <c r="U56" s="3">
        <v>1483</v>
      </c>
      <c r="V56" s="3">
        <v>1499</v>
      </c>
      <c r="W56" s="3">
        <v>1554</v>
      </c>
      <c r="X56" s="3">
        <v>1554</v>
      </c>
      <c r="Y56" s="3">
        <v>1586</v>
      </c>
      <c r="Z56" s="3">
        <v>1663</v>
      </c>
      <c r="AA56" s="3">
        <v>1693</v>
      </c>
      <c r="AB56" s="3">
        <v>1829</v>
      </c>
      <c r="AC56" s="3">
        <v>1932</v>
      </c>
      <c r="AD56" s="3">
        <v>2006</v>
      </c>
      <c r="AE56" s="3">
        <v>2078</v>
      </c>
      <c r="AF56" s="3">
        <v>2156</v>
      </c>
      <c r="AG56" s="3">
        <v>2250</v>
      </c>
      <c r="AH56" s="3">
        <v>2318</v>
      </c>
      <c r="AI56" s="3">
        <v>2375</v>
      </c>
      <c r="AJ56" s="3">
        <v>2442</v>
      </c>
      <c r="AK56" s="3">
        <v>2509</v>
      </c>
    </row>
    <row r="57" spans="1:37" x14ac:dyDescent="0.3">
      <c r="A57" s="14" t="s">
        <v>119</v>
      </c>
      <c r="B57" s="3">
        <v>394</v>
      </c>
      <c r="C57" s="3">
        <v>422</v>
      </c>
      <c r="D57" s="3">
        <v>410</v>
      </c>
      <c r="E57" s="3">
        <v>443</v>
      </c>
      <c r="F57" s="3">
        <v>519</v>
      </c>
      <c r="G57" s="3">
        <v>552</v>
      </c>
      <c r="H57" s="3">
        <v>659</v>
      </c>
      <c r="I57" s="3">
        <v>663</v>
      </c>
      <c r="J57" s="3">
        <v>620</v>
      </c>
      <c r="K57" s="3">
        <v>646</v>
      </c>
      <c r="L57" s="3">
        <v>690</v>
      </c>
      <c r="M57" s="3">
        <v>679</v>
      </c>
      <c r="N57" s="3">
        <v>791</v>
      </c>
      <c r="O57" s="3">
        <v>866</v>
      </c>
      <c r="P57" s="3">
        <v>883</v>
      </c>
      <c r="Q57" s="3">
        <v>1013</v>
      </c>
      <c r="R57" s="3">
        <v>1100</v>
      </c>
      <c r="S57" s="3">
        <v>1126</v>
      </c>
      <c r="T57" s="3">
        <v>1106</v>
      </c>
      <c r="U57" s="3">
        <v>1203</v>
      </c>
      <c r="V57" s="3">
        <v>1374</v>
      </c>
      <c r="W57" s="3">
        <v>1521</v>
      </c>
      <c r="X57" s="3">
        <v>1515</v>
      </c>
      <c r="Y57" s="3">
        <v>1554</v>
      </c>
      <c r="Z57" s="3">
        <v>1737</v>
      </c>
      <c r="AA57" s="3">
        <v>1869</v>
      </c>
      <c r="AB57" s="3">
        <v>2048</v>
      </c>
      <c r="AC57" s="3">
        <v>2233</v>
      </c>
      <c r="AD57" s="3">
        <v>2483</v>
      </c>
      <c r="AE57" s="3">
        <v>2522</v>
      </c>
      <c r="AF57" s="3">
        <v>3233</v>
      </c>
      <c r="AG57" s="3">
        <v>3548</v>
      </c>
      <c r="AH57" s="3">
        <v>3631</v>
      </c>
      <c r="AI57" s="3">
        <v>3629</v>
      </c>
      <c r="AJ57" s="3">
        <v>3788</v>
      </c>
      <c r="AK57" s="3">
        <v>3920</v>
      </c>
    </row>
    <row r="58" spans="1:37" x14ac:dyDescent="0.3">
      <c r="A58" s="15" t="s">
        <v>103</v>
      </c>
      <c r="B58" s="11">
        <v>114</v>
      </c>
      <c r="C58" s="11">
        <v>122</v>
      </c>
      <c r="D58" s="11">
        <v>113</v>
      </c>
      <c r="E58" s="11">
        <v>122</v>
      </c>
      <c r="F58" s="11">
        <v>214</v>
      </c>
      <c r="G58" s="11">
        <v>204</v>
      </c>
      <c r="H58" s="11">
        <v>214</v>
      </c>
      <c r="I58" s="11">
        <v>236</v>
      </c>
      <c r="J58" s="11">
        <v>248</v>
      </c>
      <c r="K58" s="11">
        <v>253</v>
      </c>
      <c r="L58" s="11">
        <v>241</v>
      </c>
      <c r="M58" s="11">
        <v>240</v>
      </c>
      <c r="N58" s="11">
        <v>286</v>
      </c>
      <c r="O58" s="11">
        <v>289</v>
      </c>
      <c r="P58" s="11">
        <v>317</v>
      </c>
      <c r="Q58" s="11">
        <v>340</v>
      </c>
      <c r="R58" s="11">
        <v>380</v>
      </c>
      <c r="S58" s="11">
        <v>355</v>
      </c>
      <c r="T58" s="11">
        <v>324</v>
      </c>
      <c r="U58" s="11">
        <v>277</v>
      </c>
      <c r="V58" s="11">
        <v>281</v>
      </c>
      <c r="W58" s="11">
        <v>249</v>
      </c>
      <c r="X58" s="11">
        <v>207</v>
      </c>
      <c r="Y58" s="11">
        <v>203</v>
      </c>
      <c r="Z58" s="11">
        <v>222</v>
      </c>
      <c r="AA58" s="11">
        <v>258</v>
      </c>
      <c r="AB58" s="11">
        <v>336</v>
      </c>
      <c r="AC58" s="11">
        <v>382</v>
      </c>
      <c r="AD58" s="11">
        <v>377</v>
      </c>
      <c r="AE58" s="11">
        <v>359</v>
      </c>
      <c r="AF58" s="11">
        <v>386</v>
      </c>
      <c r="AG58" s="11">
        <v>360</v>
      </c>
      <c r="AH58" s="11">
        <v>378</v>
      </c>
      <c r="AI58" s="11">
        <v>389</v>
      </c>
      <c r="AJ58" s="11">
        <v>396</v>
      </c>
      <c r="AK58" s="11">
        <v>402</v>
      </c>
    </row>
  </sheetData>
  <mergeCells count="1">
    <mergeCell ref="A1:AK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61A5-E4A9-4067-953A-6887943C15A0}">
  <dimension ref="A1:AK15"/>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8" width="5" style="1" bestFit="1" customWidth="1"/>
    <col min="9" max="9" width="5.33203125" style="1" bestFit="1" customWidth="1"/>
    <col min="10" max="37" width="5" style="1" bestFit="1" customWidth="1"/>
    <col min="38" max="16384" width="9.109375" style="1"/>
  </cols>
  <sheetData>
    <row r="1" spans="1:37" ht="15" customHeight="1" x14ac:dyDescent="0.3">
      <c r="A1" s="28" t="s">
        <v>76</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38</v>
      </c>
      <c r="B4" s="6">
        <v>0</v>
      </c>
      <c r="C4" s="6">
        <v>2.9</v>
      </c>
      <c r="D4" s="6">
        <v>3.2</v>
      </c>
      <c r="E4" s="6">
        <v>0.7</v>
      </c>
      <c r="F4" s="6">
        <v>6.6</v>
      </c>
      <c r="G4" s="6">
        <v>-7.1</v>
      </c>
      <c r="H4" s="6">
        <v>10.4</v>
      </c>
      <c r="I4" s="6">
        <v>-3.3</v>
      </c>
      <c r="J4" s="6">
        <v>7.2</v>
      </c>
      <c r="K4" s="6">
        <v>-2.7</v>
      </c>
      <c r="L4" s="6">
        <v>8.9</v>
      </c>
      <c r="M4" s="6">
        <v>-0.3</v>
      </c>
      <c r="N4" s="6">
        <v>0.6</v>
      </c>
      <c r="O4" s="6">
        <v>4.9000000000000004</v>
      </c>
      <c r="P4" s="6">
        <v>8.5</v>
      </c>
      <c r="Q4" s="6">
        <v>0.5</v>
      </c>
      <c r="R4" s="6">
        <v>2</v>
      </c>
      <c r="S4" s="6">
        <v>-8.6</v>
      </c>
      <c r="T4" s="6">
        <v>7.6</v>
      </c>
      <c r="U4" s="6">
        <v>15.1</v>
      </c>
      <c r="V4" s="6">
        <v>-7.4</v>
      </c>
      <c r="W4" s="6">
        <v>4.9000000000000004</v>
      </c>
      <c r="X4" s="6">
        <v>-9.1</v>
      </c>
      <c r="Y4" s="6">
        <v>4.5</v>
      </c>
      <c r="Z4" s="6">
        <v>-3.8</v>
      </c>
      <c r="AA4" s="6">
        <v>-0.9</v>
      </c>
      <c r="AB4" s="6">
        <v>-3.1</v>
      </c>
      <c r="AC4" s="6">
        <v>8.4</v>
      </c>
      <c r="AD4" s="6">
        <v>3.2</v>
      </c>
      <c r="AE4" s="6">
        <v>-0.1</v>
      </c>
      <c r="AF4" s="6">
        <v>3.6</v>
      </c>
      <c r="AG4" s="6">
        <v>1.1000000000000001</v>
      </c>
      <c r="AH4" s="6">
        <v>1.3</v>
      </c>
      <c r="AI4" s="6">
        <v>1.5</v>
      </c>
      <c r="AJ4" s="6">
        <v>1.4</v>
      </c>
      <c r="AK4" s="6">
        <v>1.4</v>
      </c>
    </row>
    <row r="5" spans="1:37" x14ac:dyDescent="0.3">
      <c r="A5" s="11" t="s">
        <v>39</v>
      </c>
      <c r="B5" s="8">
        <v>3.6</v>
      </c>
      <c r="C5" s="8">
        <v>6.3</v>
      </c>
      <c r="D5" s="8">
        <v>2.2999999999999998</v>
      </c>
      <c r="E5" s="8">
        <v>0.9</v>
      </c>
      <c r="F5" s="8">
        <v>5.9</v>
      </c>
      <c r="G5" s="8">
        <v>0.4</v>
      </c>
      <c r="H5" s="8">
        <v>0.1</v>
      </c>
      <c r="I5" s="8">
        <v>0</v>
      </c>
      <c r="J5" s="8">
        <v>4.4000000000000004</v>
      </c>
      <c r="K5" s="8">
        <v>1.8</v>
      </c>
      <c r="L5" s="8">
        <v>-1.6</v>
      </c>
      <c r="M5" s="8">
        <v>5.7</v>
      </c>
      <c r="N5" s="8">
        <v>-2.9</v>
      </c>
      <c r="O5" s="8">
        <v>-5</v>
      </c>
      <c r="P5" s="8">
        <v>4.0999999999999996</v>
      </c>
      <c r="Q5" s="8">
        <v>0.9</v>
      </c>
      <c r="R5" s="8">
        <v>-2.8</v>
      </c>
      <c r="S5" s="8">
        <v>1.5</v>
      </c>
      <c r="T5" s="8">
        <v>1.6</v>
      </c>
      <c r="U5" s="8">
        <v>0.7</v>
      </c>
      <c r="V5" s="8">
        <v>-1.6</v>
      </c>
      <c r="W5" s="8">
        <v>1.6</v>
      </c>
      <c r="X5" s="8">
        <v>-0.5</v>
      </c>
      <c r="Y5" s="8">
        <v>3.8</v>
      </c>
      <c r="Z5" s="8">
        <v>-5.2</v>
      </c>
      <c r="AA5" s="8">
        <v>-5</v>
      </c>
      <c r="AB5" s="8">
        <v>9.6</v>
      </c>
      <c r="AC5" s="8">
        <v>1.8</v>
      </c>
      <c r="AD5" s="8">
        <v>-0.5</v>
      </c>
      <c r="AE5" s="8">
        <v>-0.1</v>
      </c>
      <c r="AF5" s="8">
        <v>-0.5</v>
      </c>
      <c r="AG5" s="8">
        <v>0.3</v>
      </c>
      <c r="AH5" s="8">
        <v>0.4</v>
      </c>
      <c r="AI5" s="8">
        <v>0.9</v>
      </c>
      <c r="AJ5" s="8">
        <v>0.4</v>
      </c>
      <c r="AK5" s="8">
        <v>0.6</v>
      </c>
    </row>
    <row r="6" spans="1:37" x14ac:dyDescent="0.3">
      <c r="A6" s="11" t="s">
        <v>40</v>
      </c>
      <c r="B6" s="8">
        <v>-2.2000000000000002</v>
      </c>
      <c r="C6" s="8">
        <v>4.4000000000000004</v>
      </c>
      <c r="D6" s="8">
        <v>-1.4</v>
      </c>
      <c r="E6" s="8">
        <v>4.7</v>
      </c>
      <c r="F6" s="8">
        <v>6.8</v>
      </c>
      <c r="G6" s="8">
        <v>0.6</v>
      </c>
      <c r="H6" s="8">
        <v>-0.4</v>
      </c>
      <c r="I6" s="8">
        <v>1.6</v>
      </c>
      <c r="J6" s="8">
        <v>6.9</v>
      </c>
      <c r="K6" s="8">
        <v>4.5999999999999996</v>
      </c>
      <c r="L6" s="8">
        <v>9.6</v>
      </c>
      <c r="M6" s="8">
        <v>1.7</v>
      </c>
      <c r="N6" s="8">
        <v>1.1000000000000001</v>
      </c>
      <c r="O6" s="8">
        <v>-1.8</v>
      </c>
      <c r="P6" s="8">
        <v>-0.3</v>
      </c>
      <c r="Q6" s="8">
        <v>4.9000000000000004</v>
      </c>
      <c r="R6" s="8">
        <v>-0.6</v>
      </c>
      <c r="S6" s="8">
        <v>-1.5</v>
      </c>
      <c r="T6" s="8">
        <v>0.8</v>
      </c>
      <c r="U6" s="8">
        <v>1.1000000000000001</v>
      </c>
      <c r="V6" s="8">
        <v>0.1</v>
      </c>
      <c r="W6" s="8">
        <v>-0.7</v>
      </c>
      <c r="X6" s="8">
        <v>3.9</v>
      </c>
      <c r="Y6" s="8">
        <v>2.6</v>
      </c>
      <c r="Z6" s="8">
        <v>-6.1</v>
      </c>
      <c r="AA6" s="8">
        <v>9.4</v>
      </c>
      <c r="AB6" s="8">
        <v>1.5</v>
      </c>
      <c r="AC6" s="8">
        <v>-0.2</v>
      </c>
      <c r="AD6" s="8">
        <v>1.3</v>
      </c>
      <c r="AE6" s="8">
        <v>3.6</v>
      </c>
      <c r="AF6" s="8">
        <v>1.5</v>
      </c>
      <c r="AG6" s="8">
        <v>1.2</v>
      </c>
      <c r="AH6" s="8">
        <v>1.8</v>
      </c>
      <c r="AI6" s="8">
        <v>1.8</v>
      </c>
      <c r="AJ6" s="8">
        <v>1.7</v>
      </c>
      <c r="AK6" s="8">
        <v>0.9</v>
      </c>
    </row>
    <row r="7" spans="1:37" x14ac:dyDescent="0.3">
      <c r="A7" s="11" t="s">
        <v>41</v>
      </c>
      <c r="B7" s="8">
        <v>0.4</v>
      </c>
      <c r="C7" s="8">
        <v>3.4</v>
      </c>
      <c r="D7" s="8">
        <v>2.5</v>
      </c>
      <c r="E7" s="8">
        <v>4.7</v>
      </c>
      <c r="F7" s="8">
        <v>2.7</v>
      </c>
      <c r="G7" s="8">
        <v>2.4</v>
      </c>
      <c r="H7" s="8">
        <v>2.2999999999999998</v>
      </c>
      <c r="I7" s="8">
        <v>1.5</v>
      </c>
      <c r="J7" s="8">
        <v>2.6</v>
      </c>
      <c r="K7" s="8">
        <v>2.8</v>
      </c>
      <c r="L7" s="8">
        <v>3.5</v>
      </c>
      <c r="M7" s="8">
        <v>3.9</v>
      </c>
      <c r="N7" s="8">
        <v>1.8</v>
      </c>
      <c r="O7" s="8">
        <v>-1.4</v>
      </c>
      <c r="P7" s="8">
        <v>2.8</v>
      </c>
      <c r="Q7" s="8">
        <v>2.9</v>
      </c>
      <c r="R7" s="8">
        <v>0.8</v>
      </c>
      <c r="S7" s="8">
        <v>0.1</v>
      </c>
      <c r="T7" s="8">
        <v>2.1</v>
      </c>
      <c r="U7" s="8">
        <v>2.1</v>
      </c>
      <c r="V7" s="8">
        <v>1.6</v>
      </c>
      <c r="W7" s="8">
        <v>1.8</v>
      </c>
      <c r="X7" s="8">
        <v>2.8</v>
      </c>
      <c r="Y7" s="8">
        <v>2.6</v>
      </c>
      <c r="Z7" s="8">
        <v>-4.7</v>
      </c>
      <c r="AA7" s="8">
        <v>9.1999999999999993</v>
      </c>
      <c r="AB7" s="8">
        <v>3.8</v>
      </c>
      <c r="AC7" s="8">
        <v>2.1</v>
      </c>
      <c r="AD7" s="8">
        <v>1.2</v>
      </c>
      <c r="AE7" s="8">
        <v>1</v>
      </c>
      <c r="AF7" s="8">
        <v>1.2</v>
      </c>
      <c r="AG7" s="8">
        <v>1.3</v>
      </c>
      <c r="AH7" s="8">
        <v>1.5</v>
      </c>
      <c r="AI7" s="8">
        <v>1.7</v>
      </c>
      <c r="AJ7" s="8">
        <v>1.6</v>
      </c>
      <c r="AK7" s="8">
        <v>1.5</v>
      </c>
    </row>
    <row r="8" spans="1:37" x14ac:dyDescent="0.3">
      <c r="A8" s="7" t="s">
        <v>42</v>
      </c>
      <c r="B8" s="8">
        <v>-2.7</v>
      </c>
      <c r="C8" s="8">
        <v>2.4</v>
      </c>
      <c r="D8" s="8">
        <v>4.4000000000000004</v>
      </c>
      <c r="E8" s="8">
        <v>2.2999999999999998</v>
      </c>
      <c r="F8" s="8">
        <v>7.4</v>
      </c>
      <c r="G8" s="8">
        <v>3.4</v>
      </c>
      <c r="H8" s="8">
        <v>1.1000000000000001</v>
      </c>
      <c r="I8" s="8">
        <v>1.9</v>
      </c>
      <c r="J8" s="8">
        <v>0.6</v>
      </c>
      <c r="K8" s="8">
        <v>3.3</v>
      </c>
      <c r="L8" s="8">
        <v>0.5</v>
      </c>
      <c r="M8" s="8">
        <v>2.9</v>
      </c>
      <c r="N8" s="8">
        <v>3.2</v>
      </c>
      <c r="O8" s="8">
        <v>-0.2</v>
      </c>
      <c r="P8" s="8">
        <v>2.9</v>
      </c>
      <c r="Q8" s="8">
        <v>-0.8</v>
      </c>
      <c r="R8" s="8">
        <v>1.9</v>
      </c>
      <c r="S8" s="8">
        <v>-1.7</v>
      </c>
      <c r="T8" s="8">
        <v>2.8</v>
      </c>
      <c r="U8" s="8">
        <v>4.9000000000000004</v>
      </c>
      <c r="V8" s="8">
        <v>-1.5</v>
      </c>
      <c r="W8" s="8">
        <v>2.2999999999999998</v>
      </c>
      <c r="X8" s="8">
        <v>3.1</v>
      </c>
      <c r="Y8" s="8">
        <v>1.2</v>
      </c>
      <c r="Z8" s="8">
        <v>-6.5</v>
      </c>
      <c r="AA8" s="8">
        <v>3.8</v>
      </c>
      <c r="AB8" s="8">
        <v>3.8</v>
      </c>
      <c r="AC8" s="8">
        <v>1.7</v>
      </c>
      <c r="AD8" s="8">
        <v>-1.7</v>
      </c>
      <c r="AE8" s="8">
        <v>0.1</v>
      </c>
      <c r="AF8" s="8">
        <v>0.9</v>
      </c>
      <c r="AG8" s="8">
        <v>0.8</v>
      </c>
      <c r="AH8" s="8">
        <v>0.9</v>
      </c>
      <c r="AI8" s="8">
        <v>1.2</v>
      </c>
      <c r="AJ8" s="8">
        <v>0.9</v>
      </c>
      <c r="AK8" s="8">
        <v>1</v>
      </c>
    </row>
    <row r="9" spans="1:37" x14ac:dyDescent="0.3">
      <c r="A9" s="7" t="s">
        <v>43</v>
      </c>
      <c r="B9" s="8">
        <v>-2.2000000000000002</v>
      </c>
      <c r="C9" s="8">
        <v>1.1000000000000001</v>
      </c>
      <c r="D9" s="8">
        <v>-4.3</v>
      </c>
      <c r="E9" s="8">
        <v>3.9</v>
      </c>
      <c r="F9" s="8">
        <v>-3.5</v>
      </c>
      <c r="G9" s="8">
        <v>3.2</v>
      </c>
      <c r="H9" s="8">
        <v>6.6</v>
      </c>
      <c r="I9" s="8">
        <v>5.4</v>
      </c>
      <c r="J9" s="8">
        <v>2.6</v>
      </c>
      <c r="K9" s="8">
        <v>-2.4</v>
      </c>
      <c r="L9" s="8">
        <v>2.5</v>
      </c>
      <c r="M9" s="8">
        <v>5.5</v>
      </c>
      <c r="N9" s="8">
        <v>1.5</v>
      </c>
      <c r="O9" s="8">
        <v>-7.2</v>
      </c>
      <c r="P9" s="8">
        <v>2.2000000000000002</v>
      </c>
      <c r="Q9" s="8">
        <v>2</v>
      </c>
      <c r="R9" s="8">
        <v>-2.5</v>
      </c>
      <c r="S9" s="8">
        <v>-0.8</v>
      </c>
      <c r="T9" s="8">
        <v>0.5</v>
      </c>
      <c r="U9" s="8">
        <v>0.5</v>
      </c>
      <c r="V9" s="8">
        <v>2</v>
      </c>
      <c r="W9" s="8">
        <v>-4.0999999999999996</v>
      </c>
      <c r="X9" s="8">
        <v>1.1000000000000001</v>
      </c>
      <c r="Y9" s="8">
        <v>2.2999999999999998</v>
      </c>
      <c r="Z9" s="8">
        <v>-9</v>
      </c>
      <c r="AA9" s="8">
        <v>15.2</v>
      </c>
      <c r="AB9" s="8">
        <v>2.9</v>
      </c>
      <c r="AC9" s="8">
        <v>0.4</v>
      </c>
      <c r="AD9" s="8">
        <v>0.1</v>
      </c>
      <c r="AE9" s="8">
        <v>-0.4</v>
      </c>
      <c r="AF9" s="8">
        <v>-0.1</v>
      </c>
      <c r="AG9" s="8">
        <v>0.7</v>
      </c>
      <c r="AH9" s="8">
        <v>1</v>
      </c>
      <c r="AI9" s="8">
        <v>1.3</v>
      </c>
      <c r="AJ9" s="8">
        <v>1.2</v>
      </c>
      <c r="AK9" s="8">
        <v>1.1000000000000001</v>
      </c>
    </row>
    <row r="10" spans="1:37" x14ac:dyDescent="0.3">
      <c r="A10" s="7" t="s">
        <v>44</v>
      </c>
      <c r="B10" s="8">
        <v>3.6</v>
      </c>
      <c r="C10" s="8">
        <v>5.9</v>
      </c>
      <c r="D10" s="8">
        <v>5</v>
      </c>
      <c r="E10" s="8">
        <v>13.6</v>
      </c>
      <c r="F10" s="8">
        <v>1</v>
      </c>
      <c r="G10" s="8">
        <v>-1.2</v>
      </c>
      <c r="H10" s="8">
        <v>5.4</v>
      </c>
      <c r="I10" s="8">
        <v>-10</v>
      </c>
      <c r="J10" s="8">
        <v>5.8</v>
      </c>
      <c r="K10" s="8">
        <v>3.3</v>
      </c>
      <c r="L10" s="8">
        <v>8.6</v>
      </c>
      <c r="M10" s="8">
        <v>-3.4</v>
      </c>
      <c r="N10" s="8">
        <v>-2.4</v>
      </c>
      <c r="O10" s="8">
        <v>11.9</v>
      </c>
      <c r="P10" s="8">
        <v>4.5999999999999996</v>
      </c>
      <c r="Q10" s="8">
        <v>-3.1</v>
      </c>
      <c r="R10" s="8">
        <v>9.1999999999999993</v>
      </c>
      <c r="S10" s="8">
        <v>-4.2</v>
      </c>
      <c r="T10" s="8">
        <v>3.2</v>
      </c>
      <c r="U10" s="8">
        <v>3.3</v>
      </c>
      <c r="V10" s="8">
        <v>-0.2</v>
      </c>
      <c r="W10" s="8">
        <v>2.6</v>
      </c>
      <c r="X10" s="8">
        <v>1.4</v>
      </c>
      <c r="Y10" s="8">
        <v>2.9</v>
      </c>
      <c r="Z10" s="8">
        <v>-3.2</v>
      </c>
      <c r="AA10" s="8">
        <v>2.7</v>
      </c>
      <c r="AB10" s="8">
        <v>-7.5</v>
      </c>
      <c r="AC10" s="8">
        <v>-0.4</v>
      </c>
      <c r="AD10" s="8">
        <v>-1.2</v>
      </c>
      <c r="AE10" s="8">
        <v>0.5</v>
      </c>
      <c r="AF10" s="8">
        <v>2.7</v>
      </c>
      <c r="AG10" s="8">
        <v>1.8</v>
      </c>
      <c r="AH10" s="8">
        <v>1.4</v>
      </c>
      <c r="AI10" s="8">
        <v>1.5</v>
      </c>
      <c r="AJ10" s="8">
        <v>1.4</v>
      </c>
      <c r="AK10" s="8">
        <v>1.3</v>
      </c>
    </row>
    <row r="11" spans="1:37" x14ac:dyDescent="0.3">
      <c r="A11" s="7" t="s">
        <v>45</v>
      </c>
      <c r="B11" s="8">
        <v>3.2</v>
      </c>
      <c r="C11" s="8">
        <v>4</v>
      </c>
      <c r="D11" s="8">
        <v>6.4</v>
      </c>
      <c r="E11" s="8">
        <v>6.1</v>
      </c>
      <c r="F11" s="8">
        <v>3.1</v>
      </c>
      <c r="G11" s="8">
        <v>1.4</v>
      </c>
      <c r="H11" s="8">
        <v>1.7</v>
      </c>
      <c r="I11" s="8">
        <v>2.7</v>
      </c>
      <c r="J11" s="8">
        <v>2.6</v>
      </c>
      <c r="K11" s="8">
        <v>-0.2</v>
      </c>
      <c r="L11" s="8">
        <v>-0.2</v>
      </c>
      <c r="M11" s="8">
        <v>2.4</v>
      </c>
      <c r="N11" s="8">
        <v>1.8</v>
      </c>
      <c r="O11" s="8">
        <v>1.9</v>
      </c>
      <c r="P11" s="8">
        <v>1.5</v>
      </c>
      <c r="Q11" s="8">
        <v>3.1</v>
      </c>
      <c r="R11" s="8">
        <v>3.3</v>
      </c>
      <c r="S11" s="8">
        <v>0</v>
      </c>
      <c r="T11" s="8">
        <v>1.1000000000000001</v>
      </c>
      <c r="U11" s="8">
        <v>-1.8</v>
      </c>
      <c r="V11" s="8">
        <v>1.7</v>
      </c>
      <c r="W11" s="8">
        <v>0.9</v>
      </c>
      <c r="X11" s="8">
        <v>3.1</v>
      </c>
      <c r="Y11" s="8">
        <v>0.9</v>
      </c>
      <c r="Z11" s="8">
        <v>-6</v>
      </c>
      <c r="AA11" s="8">
        <v>13.3</v>
      </c>
      <c r="AB11" s="8">
        <v>6.7</v>
      </c>
      <c r="AC11" s="8">
        <v>5.6</v>
      </c>
      <c r="AD11" s="8">
        <v>3</v>
      </c>
      <c r="AE11" s="8">
        <v>2.1</v>
      </c>
      <c r="AF11" s="8">
        <v>1.8</v>
      </c>
      <c r="AG11" s="8">
        <v>1.7</v>
      </c>
      <c r="AH11" s="8">
        <v>1.7</v>
      </c>
      <c r="AI11" s="8">
        <v>1.5</v>
      </c>
      <c r="AJ11" s="8">
        <v>1.7</v>
      </c>
      <c r="AK11" s="8">
        <v>1.8</v>
      </c>
    </row>
    <row r="12" spans="1:37" x14ac:dyDescent="0.3">
      <c r="A12" s="7" t="s">
        <v>46</v>
      </c>
      <c r="B12" s="8">
        <v>1.4</v>
      </c>
      <c r="C12" s="8">
        <v>4.2</v>
      </c>
      <c r="D12" s="8">
        <v>4.0999999999999996</v>
      </c>
      <c r="E12" s="8">
        <v>3.5</v>
      </c>
      <c r="F12" s="8">
        <v>5</v>
      </c>
      <c r="G12" s="8">
        <v>2.8</v>
      </c>
      <c r="H12" s="8">
        <v>-0.3</v>
      </c>
      <c r="I12" s="8">
        <v>1.5</v>
      </c>
      <c r="J12" s="8">
        <v>2.6</v>
      </c>
      <c r="K12" s="8">
        <v>6.5</v>
      </c>
      <c r="L12" s="8">
        <v>4.8</v>
      </c>
      <c r="M12" s="8">
        <v>5.3</v>
      </c>
      <c r="N12" s="8">
        <v>2.4</v>
      </c>
      <c r="O12" s="8">
        <v>-1.5</v>
      </c>
      <c r="P12" s="8">
        <v>3.1</v>
      </c>
      <c r="Q12" s="8">
        <v>5.7</v>
      </c>
      <c r="R12" s="8">
        <v>-0.1</v>
      </c>
      <c r="S12" s="8">
        <v>2.1</v>
      </c>
      <c r="T12" s="8">
        <v>2.8</v>
      </c>
      <c r="U12" s="8">
        <v>3</v>
      </c>
      <c r="V12" s="8">
        <v>2.6</v>
      </c>
      <c r="W12" s="8">
        <v>4.5999999999999996</v>
      </c>
      <c r="X12" s="8">
        <v>3.7</v>
      </c>
      <c r="Y12" s="8">
        <v>3.5</v>
      </c>
      <c r="Z12" s="8">
        <v>-2.4</v>
      </c>
      <c r="AA12" s="8">
        <v>8.3000000000000007</v>
      </c>
      <c r="AB12" s="8">
        <v>5.8</v>
      </c>
      <c r="AC12" s="8">
        <v>2.5</v>
      </c>
      <c r="AD12" s="8">
        <v>2.2999999999999998</v>
      </c>
      <c r="AE12" s="8">
        <v>1.7</v>
      </c>
      <c r="AF12" s="8">
        <v>1.3</v>
      </c>
      <c r="AG12" s="8">
        <v>1.5</v>
      </c>
      <c r="AH12" s="8">
        <v>1.7</v>
      </c>
      <c r="AI12" s="8">
        <v>2.1</v>
      </c>
      <c r="AJ12" s="8">
        <v>1.9</v>
      </c>
      <c r="AK12" s="8">
        <v>1.8</v>
      </c>
    </row>
    <row r="13" spans="1:37" x14ac:dyDescent="0.3">
      <c r="A13" s="11" t="s">
        <v>75</v>
      </c>
      <c r="B13" s="8">
        <v>-0.1</v>
      </c>
      <c r="C13" s="8">
        <v>0.1</v>
      </c>
      <c r="D13" s="8">
        <v>-0.2</v>
      </c>
      <c r="E13" s="8">
        <v>1.5</v>
      </c>
      <c r="F13" s="8">
        <v>2</v>
      </c>
      <c r="G13" s="8">
        <v>1</v>
      </c>
      <c r="H13" s="8">
        <v>1.4</v>
      </c>
      <c r="I13" s="8">
        <v>1.5</v>
      </c>
      <c r="J13" s="8">
        <v>2.1</v>
      </c>
      <c r="K13" s="8">
        <v>1.7</v>
      </c>
      <c r="L13" s="8">
        <v>1.1000000000000001</v>
      </c>
      <c r="M13" s="8">
        <v>1.2</v>
      </c>
      <c r="N13" s="8">
        <v>1.6</v>
      </c>
      <c r="O13" s="8">
        <v>-0.1</v>
      </c>
      <c r="P13" s="8">
        <v>1.5</v>
      </c>
      <c r="Q13" s="8">
        <v>0.4</v>
      </c>
      <c r="R13" s="8">
        <v>1.5</v>
      </c>
      <c r="S13" s="8">
        <v>0.5</v>
      </c>
      <c r="T13" s="8">
        <v>1.4</v>
      </c>
      <c r="U13" s="8">
        <v>-0.4</v>
      </c>
      <c r="V13" s="8">
        <v>1.3</v>
      </c>
      <c r="W13" s="8">
        <v>0.2</v>
      </c>
      <c r="X13" s="8">
        <v>1</v>
      </c>
      <c r="Y13" s="8">
        <v>1.2</v>
      </c>
      <c r="Z13" s="8">
        <v>-0.3</v>
      </c>
      <c r="AA13" s="8">
        <v>1.4</v>
      </c>
      <c r="AB13" s="8">
        <v>2.7</v>
      </c>
      <c r="AC13" s="8">
        <v>0.9</v>
      </c>
      <c r="AD13" s="8">
        <v>1.2</v>
      </c>
      <c r="AE13" s="8">
        <v>0.4</v>
      </c>
      <c r="AF13" s="8">
        <v>0.3</v>
      </c>
      <c r="AG13" s="8">
        <v>0.2</v>
      </c>
      <c r="AH13" s="8">
        <v>0.5</v>
      </c>
      <c r="AI13" s="8">
        <v>0.3</v>
      </c>
      <c r="AJ13" s="8">
        <v>0.7</v>
      </c>
      <c r="AK13" s="8">
        <v>0.6</v>
      </c>
    </row>
    <row r="14" spans="1:37" x14ac:dyDescent="0.3">
      <c r="A14" s="11" t="s">
        <v>13</v>
      </c>
      <c r="B14" s="8">
        <v>0.9</v>
      </c>
      <c r="C14" s="8">
        <v>3.6</v>
      </c>
      <c r="D14" s="8">
        <v>1.9</v>
      </c>
      <c r="E14" s="8">
        <v>3.3</v>
      </c>
      <c r="F14" s="8">
        <v>3.6</v>
      </c>
      <c r="G14" s="8">
        <v>1.5</v>
      </c>
      <c r="H14" s="8">
        <v>1.6</v>
      </c>
      <c r="I14" s="8">
        <v>1.1000000000000001</v>
      </c>
      <c r="J14" s="8">
        <v>3.2</v>
      </c>
      <c r="K14" s="8">
        <v>2.4</v>
      </c>
      <c r="L14" s="8">
        <v>2.5</v>
      </c>
      <c r="M14" s="8">
        <v>3.7</v>
      </c>
      <c r="N14" s="8">
        <v>0.8</v>
      </c>
      <c r="O14" s="8">
        <v>-1.8</v>
      </c>
      <c r="P14" s="8">
        <v>2.7</v>
      </c>
      <c r="Q14" s="8">
        <v>2.2999999999999998</v>
      </c>
      <c r="R14" s="8">
        <v>0.2</v>
      </c>
      <c r="S14" s="8">
        <v>0.2</v>
      </c>
      <c r="T14" s="8">
        <v>1.9</v>
      </c>
      <c r="U14" s="8">
        <v>1.5</v>
      </c>
      <c r="V14" s="8">
        <v>0.9</v>
      </c>
      <c r="W14" s="8">
        <v>1.4</v>
      </c>
      <c r="X14" s="8">
        <v>1.9</v>
      </c>
      <c r="Y14" s="8">
        <v>2.6</v>
      </c>
      <c r="Z14" s="8">
        <v>-4.2</v>
      </c>
      <c r="AA14" s="8">
        <v>5.7</v>
      </c>
      <c r="AB14" s="8">
        <v>4.3</v>
      </c>
      <c r="AC14" s="8">
        <v>1.8</v>
      </c>
      <c r="AD14" s="8">
        <v>1</v>
      </c>
      <c r="AE14" s="8">
        <v>0.9</v>
      </c>
      <c r="AF14" s="8">
        <v>0.8</v>
      </c>
      <c r="AG14" s="8">
        <v>1</v>
      </c>
      <c r="AH14" s="8">
        <v>1.2</v>
      </c>
      <c r="AI14" s="8">
        <v>1.4</v>
      </c>
      <c r="AJ14" s="8">
        <v>1.3</v>
      </c>
      <c r="AK14" s="8">
        <v>1.2</v>
      </c>
    </row>
    <row r="15" spans="1:37" x14ac:dyDescent="0.3">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sheetData>
  <mergeCells count="2">
    <mergeCell ref="A1:AK1"/>
    <mergeCell ref="A2:AK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20D30-1356-4C4F-9DE7-CA1F9EEF064D}">
  <dimension ref="A1:AK15"/>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5.5546875" style="1" bestFit="1" customWidth="1"/>
    <col min="38" max="16384" width="9.109375" style="1"/>
  </cols>
  <sheetData>
    <row r="1" spans="1:37" ht="15" customHeight="1" x14ac:dyDescent="0.3">
      <c r="A1" s="28" t="s">
        <v>73</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74</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38</v>
      </c>
      <c r="B4" s="6">
        <v>1.5</v>
      </c>
      <c r="C4" s="6">
        <v>1.5</v>
      </c>
      <c r="D4" s="6">
        <v>1.4</v>
      </c>
      <c r="E4" s="6">
        <v>1.2</v>
      </c>
      <c r="F4" s="6">
        <v>1.3</v>
      </c>
      <c r="G4" s="6">
        <v>1.2</v>
      </c>
      <c r="H4" s="6">
        <v>1.2</v>
      </c>
      <c r="I4" s="6">
        <v>1.1000000000000001</v>
      </c>
      <c r="J4" s="6">
        <v>1.1000000000000001</v>
      </c>
      <c r="K4" s="6">
        <v>0.9</v>
      </c>
      <c r="L4" s="6">
        <v>1</v>
      </c>
      <c r="M4" s="6">
        <v>1</v>
      </c>
      <c r="N4" s="6">
        <v>0.8</v>
      </c>
      <c r="O4" s="6">
        <v>0.8</v>
      </c>
      <c r="P4" s="6">
        <v>0.9</v>
      </c>
      <c r="Q4" s="6">
        <v>0.8</v>
      </c>
      <c r="R4" s="6">
        <v>0.9</v>
      </c>
      <c r="S4" s="6">
        <v>0.9</v>
      </c>
      <c r="T4" s="6">
        <v>0.8</v>
      </c>
      <c r="U4" s="6">
        <v>0.8</v>
      </c>
      <c r="V4" s="6">
        <v>0.8</v>
      </c>
      <c r="W4" s="6">
        <v>0.8</v>
      </c>
      <c r="X4" s="6">
        <v>0.7</v>
      </c>
      <c r="Y4" s="6">
        <v>0.8</v>
      </c>
      <c r="Z4" s="6">
        <v>0.8</v>
      </c>
      <c r="AA4" s="6">
        <v>0.7</v>
      </c>
      <c r="AB4" s="6">
        <v>0.7</v>
      </c>
      <c r="AC4" s="6">
        <v>0.9</v>
      </c>
      <c r="AD4" s="6">
        <v>0.9</v>
      </c>
      <c r="AE4" s="6">
        <v>0.8</v>
      </c>
      <c r="AF4" s="6">
        <v>0.8</v>
      </c>
      <c r="AG4" s="6">
        <v>0.8</v>
      </c>
      <c r="AH4" s="6">
        <v>0.8</v>
      </c>
      <c r="AI4" s="6">
        <v>0.8</v>
      </c>
      <c r="AJ4" s="6">
        <v>0.8</v>
      </c>
      <c r="AK4" s="6">
        <v>0.8</v>
      </c>
    </row>
    <row r="5" spans="1:37" x14ac:dyDescent="0.3">
      <c r="A5" s="11" t="s">
        <v>39</v>
      </c>
      <c r="B5" s="8">
        <v>23.7</v>
      </c>
      <c r="C5" s="8">
        <v>24.1</v>
      </c>
      <c r="D5" s="8">
        <v>23.6</v>
      </c>
      <c r="E5" s="8">
        <v>22.6</v>
      </c>
      <c r="F5" s="8">
        <v>22.8</v>
      </c>
      <c r="G5" s="8">
        <v>22.1</v>
      </c>
      <c r="H5" s="8">
        <v>21.7</v>
      </c>
      <c r="I5" s="8">
        <v>21</v>
      </c>
      <c r="J5" s="8">
        <v>20.8</v>
      </c>
      <c r="K5" s="8">
        <v>20.399999999999999</v>
      </c>
      <c r="L5" s="8">
        <v>19.5</v>
      </c>
      <c r="M5" s="8">
        <v>19.5</v>
      </c>
      <c r="N5" s="8">
        <v>18.5</v>
      </c>
      <c r="O5" s="8">
        <v>17.3</v>
      </c>
      <c r="P5" s="8">
        <v>17.7</v>
      </c>
      <c r="Q5" s="8">
        <v>17.600000000000001</v>
      </c>
      <c r="R5" s="8">
        <v>16.899999999999999</v>
      </c>
      <c r="S5" s="8">
        <v>17</v>
      </c>
      <c r="T5" s="8">
        <v>16.7</v>
      </c>
      <c r="U5" s="8">
        <v>16.600000000000001</v>
      </c>
      <c r="V5" s="8">
        <v>16.3</v>
      </c>
      <c r="W5" s="8">
        <v>16.5</v>
      </c>
      <c r="X5" s="8">
        <v>16.100000000000001</v>
      </c>
      <c r="Y5" s="8">
        <v>16.3</v>
      </c>
      <c r="Z5" s="8">
        <v>16</v>
      </c>
      <c r="AA5" s="8">
        <v>14.7</v>
      </c>
      <c r="AB5" s="8">
        <v>16.7</v>
      </c>
      <c r="AC5" s="8">
        <v>16</v>
      </c>
      <c r="AD5" s="8">
        <v>15.3</v>
      </c>
      <c r="AE5" s="8">
        <v>15.1</v>
      </c>
      <c r="AF5" s="8">
        <v>14.8</v>
      </c>
      <c r="AG5" s="8">
        <v>14.5</v>
      </c>
      <c r="AH5" s="8">
        <v>14.3</v>
      </c>
      <c r="AI5" s="8">
        <v>14.2</v>
      </c>
      <c r="AJ5" s="8">
        <v>14</v>
      </c>
      <c r="AK5" s="8">
        <v>13.8</v>
      </c>
    </row>
    <row r="6" spans="1:37" x14ac:dyDescent="0.3">
      <c r="A6" s="11" t="s">
        <v>40</v>
      </c>
      <c r="B6" s="8">
        <v>5.0999999999999996</v>
      </c>
      <c r="C6" s="8">
        <v>5.0999999999999996</v>
      </c>
      <c r="D6" s="8">
        <v>5</v>
      </c>
      <c r="E6" s="8">
        <v>5.2</v>
      </c>
      <c r="F6" s="8">
        <v>5.2</v>
      </c>
      <c r="G6" s="8">
        <v>5.0999999999999996</v>
      </c>
      <c r="H6" s="8">
        <v>4.9000000000000004</v>
      </c>
      <c r="I6" s="8">
        <v>4.9000000000000004</v>
      </c>
      <c r="J6" s="8">
        <v>5</v>
      </c>
      <c r="K6" s="8">
        <v>4.9000000000000004</v>
      </c>
      <c r="L6" s="8">
        <v>5.3</v>
      </c>
      <c r="M6" s="8">
        <v>5.4</v>
      </c>
      <c r="N6" s="8">
        <v>5.7</v>
      </c>
      <c r="O6" s="8">
        <v>5.6</v>
      </c>
      <c r="P6" s="8">
        <v>5.4</v>
      </c>
      <c r="Q6" s="8">
        <v>5.6</v>
      </c>
      <c r="R6" s="8">
        <v>5.4</v>
      </c>
      <c r="S6" s="8">
        <v>5.3</v>
      </c>
      <c r="T6" s="8">
        <v>5.2</v>
      </c>
      <c r="U6" s="8">
        <v>5.0999999999999996</v>
      </c>
      <c r="V6" s="8">
        <v>5.0999999999999996</v>
      </c>
      <c r="W6" s="8">
        <v>5</v>
      </c>
      <c r="X6" s="8">
        <v>5.0999999999999996</v>
      </c>
      <c r="Y6" s="8">
        <v>5.2</v>
      </c>
      <c r="Z6" s="8">
        <v>5.2</v>
      </c>
      <c r="AA6" s="8">
        <v>5.4</v>
      </c>
      <c r="AB6" s="8">
        <v>5.4</v>
      </c>
      <c r="AC6" s="8">
        <v>5.5</v>
      </c>
      <c r="AD6" s="8">
        <v>5.4</v>
      </c>
      <c r="AE6" s="8">
        <v>5.5</v>
      </c>
      <c r="AF6" s="8">
        <v>5.5</v>
      </c>
      <c r="AG6" s="8">
        <v>5.4</v>
      </c>
      <c r="AH6" s="8">
        <v>5.4</v>
      </c>
      <c r="AI6" s="8">
        <v>5.4</v>
      </c>
      <c r="AJ6" s="8">
        <v>5.4</v>
      </c>
      <c r="AK6" s="8">
        <v>5.4</v>
      </c>
    </row>
    <row r="7" spans="1:37" x14ac:dyDescent="0.3">
      <c r="A7" s="11" t="s">
        <v>41</v>
      </c>
      <c r="B7" s="8">
        <v>55.6</v>
      </c>
      <c r="C7" s="8">
        <v>55.4</v>
      </c>
      <c r="D7" s="8">
        <v>56.2</v>
      </c>
      <c r="E7" s="8">
        <v>57.2</v>
      </c>
      <c r="F7" s="8">
        <v>57.1</v>
      </c>
      <c r="G7" s="8">
        <v>57.9</v>
      </c>
      <c r="H7" s="8">
        <v>58.1</v>
      </c>
      <c r="I7" s="8">
        <v>58.6</v>
      </c>
      <c r="J7" s="8">
        <v>59.1</v>
      </c>
      <c r="K7" s="8">
        <v>59.7</v>
      </c>
      <c r="L7" s="8">
        <v>60.1</v>
      </c>
      <c r="M7" s="8">
        <v>60.2</v>
      </c>
      <c r="N7" s="8">
        <v>60.8</v>
      </c>
      <c r="O7" s="8">
        <v>61.4</v>
      </c>
      <c r="P7" s="8">
        <v>61.3</v>
      </c>
      <c r="Q7" s="8">
        <v>61.4</v>
      </c>
      <c r="R7" s="8">
        <v>61.8</v>
      </c>
      <c r="S7" s="8">
        <v>61.8</v>
      </c>
      <c r="T7" s="8">
        <v>62.4</v>
      </c>
      <c r="U7" s="8">
        <v>62.8</v>
      </c>
      <c r="V7" s="8">
        <v>63.2</v>
      </c>
      <c r="W7" s="8">
        <v>63.1</v>
      </c>
      <c r="X7" s="8">
        <v>63.5</v>
      </c>
      <c r="Y7" s="8">
        <v>63.4</v>
      </c>
      <c r="Z7" s="8">
        <v>62.9</v>
      </c>
      <c r="AA7" s="8">
        <v>64.5</v>
      </c>
      <c r="AB7" s="8">
        <v>62.8</v>
      </c>
      <c r="AC7" s="8">
        <v>63.3</v>
      </c>
      <c r="AD7" s="8">
        <v>63.8</v>
      </c>
      <c r="AE7" s="8">
        <v>64</v>
      </c>
      <c r="AF7" s="8">
        <v>64.3</v>
      </c>
      <c r="AG7" s="8">
        <v>64.599999999999994</v>
      </c>
      <c r="AH7" s="8">
        <v>64.900000000000006</v>
      </c>
      <c r="AI7" s="8">
        <v>65.2</v>
      </c>
      <c r="AJ7" s="8">
        <v>65.5</v>
      </c>
      <c r="AK7" s="8">
        <v>65.7</v>
      </c>
    </row>
    <row r="8" spans="1:37" x14ac:dyDescent="0.3">
      <c r="A8" s="7" t="s">
        <v>42</v>
      </c>
      <c r="B8" s="8">
        <v>7.7</v>
      </c>
      <c r="C8" s="8">
        <v>7.7</v>
      </c>
      <c r="D8" s="8">
        <v>8</v>
      </c>
      <c r="E8" s="8">
        <v>7.9</v>
      </c>
      <c r="F8" s="8">
        <v>7.7</v>
      </c>
      <c r="G8" s="8">
        <v>7.8</v>
      </c>
      <c r="H8" s="8">
        <v>7.7</v>
      </c>
      <c r="I8" s="8">
        <v>7.8</v>
      </c>
      <c r="J8" s="8">
        <v>7.8</v>
      </c>
      <c r="K8" s="8">
        <v>8.1</v>
      </c>
      <c r="L8" s="8">
        <v>8</v>
      </c>
      <c r="M8" s="8">
        <v>7.9</v>
      </c>
      <c r="N8" s="8">
        <v>8</v>
      </c>
      <c r="O8" s="8">
        <v>8</v>
      </c>
      <c r="P8" s="8">
        <v>7.8</v>
      </c>
      <c r="Q8" s="8">
        <v>7.5</v>
      </c>
      <c r="R8" s="8">
        <v>7.4</v>
      </c>
      <c r="S8" s="8">
        <v>7.1</v>
      </c>
      <c r="T8" s="8">
        <v>7</v>
      </c>
      <c r="U8" s="8">
        <v>7.2</v>
      </c>
      <c r="V8" s="8">
        <v>7</v>
      </c>
      <c r="W8" s="8">
        <v>7</v>
      </c>
      <c r="X8" s="8">
        <v>6.9</v>
      </c>
      <c r="Y8" s="8">
        <v>6.9</v>
      </c>
      <c r="Z8" s="8">
        <v>6.7</v>
      </c>
      <c r="AA8" s="8">
        <v>6.6</v>
      </c>
      <c r="AB8" s="8">
        <v>6.5</v>
      </c>
      <c r="AC8" s="8">
        <v>6.6</v>
      </c>
      <c r="AD8" s="8">
        <v>6.5</v>
      </c>
      <c r="AE8" s="8">
        <v>6.4</v>
      </c>
      <c r="AF8" s="8">
        <v>6.3</v>
      </c>
      <c r="AG8" s="8">
        <v>6.3</v>
      </c>
      <c r="AH8" s="8">
        <v>6.3</v>
      </c>
      <c r="AI8" s="8">
        <v>6.3</v>
      </c>
      <c r="AJ8" s="8">
        <v>6.2</v>
      </c>
      <c r="AK8" s="8">
        <v>6.2</v>
      </c>
    </row>
    <row r="9" spans="1:37" x14ac:dyDescent="0.3">
      <c r="A9" s="7" t="s">
        <v>43</v>
      </c>
      <c r="B9" s="8">
        <v>13.4</v>
      </c>
      <c r="C9" s="8">
        <v>13.3</v>
      </c>
      <c r="D9" s="8">
        <v>13.3</v>
      </c>
      <c r="E9" s="8">
        <v>13.3</v>
      </c>
      <c r="F9" s="8">
        <v>12.9</v>
      </c>
      <c r="G9" s="8">
        <v>13.3</v>
      </c>
      <c r="H9" s="8">
        <v>14.2</v>
      </c>
      <c r="I9" s="8">
        <v>14.9</v>
      </c>
      <c r="J9" s="8">
        <v>15.2</v>
      </c>
      <c r="K9" s="8">
        <v>15.1</v>
      </c>
      <c r="L9" s="8">
        <v>14.9</v>
      </c>
      <c r="M9" s="8">
        <v>15</v>
      </c>
      <c r="N9" s="8">
        <v>15.1</v>
      </c>
      <c r="O9" s="8">
        <v>14.4</v>
      </c>
      <c r="P9" s="8">
        <v>14.4</v>
      </c>
      <c r="Q9" s="8">
        <v>14.5</v>
      </c>
      <c r="R9" s="8">
        <v>14.1</v>
      </c>
      <c r="S9" s="8">
        <v>14</v>
      </c>
      <c r="T9" s="8">
        <v>13.9</v>
      </c>
      <c r="U9" s="8">
        <v>13.7</v>
      </c>
      <c r="V9" s="8">
        <v>14</v>
      </c>
      <c r="W9" s="8">
        <v>13.3</v>
      </c>
      <c r="X9" s="8">
        <v>13.2</v>
      </c>
      <c r="Y9" s="8">
        <v>13.1</v>
      </c>
      <c r="Z9" s="8">
        <v>12.6</v>
      </c>
      <c r="AA9" s="8">
        <v>13.6</v>
      </c>
      <c r="AB9" s="8">
        <v>13.3</v>
      </c>
      <c r="AC9" s="8">
        <v>13.2</v>
      </c>
      <c r="AD9" s="8">
        <v>13.1</v>
      </c>
      <c r="AE9" s="8">
        <v>12.9</v>
      </c>
      <c r="AF9" s="8">
        <v>12.8</v>
      </c>
      <c r="AG9" s="8">
        <v>12.8</v>
      </c>
      <c r="AH9" s="8">
        <v>12.8</v>
      </c>
      <c r="AI9" s="8">
        <v>12.9</v>
      </c>
      <c r="AJ9" s="8">
        <v>12.9</v>
      </c>
      <c r="AK9" s="8">
        <v>13</v>
      </c>
    </row>
    <row r="10" spans="1:37" x14ac:dyDescent="0.3">
      <c r="A10" s="7" t="s">
        <v>44</v>
      </c>
      <c r="B10" s="8">
        <v>6.2</v>
      </c>
      <c r="C10" s="8">
        <v>5.9</v>
      </c>
      <c r="D10" s="8">
        <v>5.6</v>
      </c>
      <c r="E10" s="8">
        <v>6.1</v>
      </c>
      <c r="F10" s="8">
        <v>6.2</v>
      </c>
      <c r="G10" s="8">
        <v>5.8</v>
      </c>
      <c r="H10" s="8">
        <v>5.9</v>
      </c>
      <c r="I10" s="8">
        <v>5.4</v>
      </c>
      <c r="J10" s="8">
        <v>5.8</v>
      </c>
      <c r="K10" s="8">
        <v>5.6</v>
      </c>
      <c r="L10" s="8">
        <v>5.5</v>
      </c>
      <c r="M10" s="8">
        <v>5.2</v>
      </c>
      <c r="N10" s="8">
        <v>4.7</v>
      </c>
      <c r="O10" s="8">
        <v>5.8</v>
      </c>
      <c r="P10" s="8">
        <v>5.9</v>
      </c>
      <c r="Q10" s="8">
        <v>5.5</v>
      </c>
      <c r="R10" s="8">
        <v>6.1</v>
      </c>
      <c r="S10" s="8">
        <v>5.8</v>
      </c>
      <c r="T10" s="8">
        <v>6.2</v>
      </c>
      <c r="U10" s="8">
        <v>6.4</v>
      </c>
      <c r="V10" s="8">
        <v>6.4</v>
      </c>
      <c r="W10" s="8">
        <v>6.5</v>
      </c>
      <c r="X10" s="8">
        <v>6.5</v>
      </c>
      <c r="Y10" s="8">
        <v>6.4</v>
      </c>
      <c r="Z10" s="8">
        <v>6.4</v>
      </c>
      <c r="AA10" s="8">
        <v>6.4</v>
      </c>
      <c r="AB10" s="8">
        <v>5.6</v>
      </c>
      <c r="AC10" s="8">
        <v>5.4</v>
      </c>
      <c r="AD10" s="8">
        <v>5.5</v>
      </c>
      <c r="AE10" s="8">
        <v>5.5</v>
      </c>
      <c r="AF10" s="8">
        <v>5.6</v>
      </c>
      <c r="AG10" s="8">
        <v>5.6</v>
      </c>
      <c r="AH10" s="8">
        <v>5.6</v>
      </c>
      <c r="AI10" s="8">
        <v>5.6</v>
      </c>
      <c r="AJ10" s="8">
        <v>5.6</v>
      </c>
      <c r="AK10" s="8">
        <v>5.6</v>
      </c>
    </row>
    <row r="11" spans="1:37" x14ac:dyDescent="0.3">
      <c r="A11" s="7" t="s">
        <v>45</v>
      </c>
      <c r="B11" s="8">
        <v>6</v>
      </c>
      <c r="C11" s="8">
        <v>5.9</v>
      </c>
      <c r="D11" s="8">
        <v>5.9</v>
      </c>
      <c r="E11" s="8">
        <v>6.3</v>
      </c>
      <c r="F11" s="8">
        <v>6.2</v>
      </c>
      <c r="G11" s="8">
        <v>6.3</v>
      </c>
      <c r="H11" s="8">
        <v>6.3</v>
      </c>
      <c r="I11" s="8">
        <v>6.4</v>
      </c>
      <c r="J11" s="8">
        <v>6.5</v>
      </c>
      <c r="K11" s="8">
        <v>6.4</v>
      </c>
      <c r="L11" s="8">
        <v>6.4</v>
      </c>
      <c r="M11" s="8">
        <v>6.4</v>
      </c>
      <c r="N11" s="8">
        <v>6.7</v>
      </c>
      <c r="O11" s="8">
        <v>7.2</v>
      </c>
      <c r="P11" s="8">
        <v>7.1</v>
      </c>
      <c r="Q11" s="8">
        <v>7.1</v>
      </c>
      <c r="R11" s="8">
        <v>7.2</v>
      </c>
      <c r="S11" s="8">
        <v>7.3</v>
      </c>
      <c r="T11" s="8">
        <v>7.3</v>
      </c>
      <c r="U11" s="8">
        <v>7.2</v>
      </c>
      <c r="V11" s="8">
        <v>7.2</v>
      </c>
      <c r="W11" s="8">
        <v>7.1</v>
      </c>
      <c r="X11" s="8">
        <v>7.3</v>
      </c>
      <c r="Y11" s="8">
        <v>7.2</v>
      </c>
      <c r="Z11" s="8">
        <v>7</v>
      </c>
      <c r="AA11" s="8">
        <v>7.4</v>
      </c>
      <c r="AB11" s="8">
        <v>7.2</v>
      </c>
      <c r="AC11" s="8">
        <v>7.3</v>
      </c>
      <c r="AD11" s="8">
        <v>7.6</v>
      </c>
      <c r="AE11" s="8">
        <v>7.6</v>
      </c>
      <c r="AF11" s="8">
        <v>7.7</v>
      </c>
      <c r="AG11" s="8">
        <v>7.7</v>
      </c>
      <c r="AH11" s="8">
        <v>7.8</v>
      </c>
      <c r="AI11" s="8">
        <v>7.8</v>
      </c>
      <c r="AJ11" s="8">
        <v>7.8</v>
      </c>
      <c r="AK11" s="8">
        <v>7.9</v>
      </c>
    </row>
    <row r="12" spans="1:37" x14ac:dyDescent="0.3">
      <c r="A12" s="7" t="s">
        <v>46</v>
      </c>
      <c r="B12" s="8">
        <v>22.2</v>
      </c>
      <c r="C12" s="8">
        <v>22.6</v>
      </c>
      <c r="D12" s="8">
        <v>23.4</v>
      </c>
      <c r="E12" s="8">
        <v>23.6</v>
      </c>
      <c r="F12" s="8">
        <v>24</v>
      </c>
      <c r="G12" s="8">
        <v>24.7</v>
      </c>
      <c r="H12" s="8">
        <v>24</v>
      </c>
      <c r="I12" s="8">
        <v>24</v>
      </c>
      <c r="J12" s="8">
        <v>23.9</v>
      </c>
      <c r="K12" s="8">
        <v>24.5</v>
      </c>
      <c r="L12" s="8">
        <v>25.2</v>
      </c>
      <c r="M12" s="8">
        <v>25.7</v>
      </c>
      <c r="N12" s="8">
        <v>26.3</v>
      </c>
      <c r="O12" s="8">
        <v>26.1</v>
      </c>
      <c r="P12" s="8">
        <v>26.1</v>
      </c>
      <c r="Q12" s="8">
        <v>26.8</v>
      </c>
      <c r="R12" s="8">
        <v>27</v>
      </c>
      <c r="S12" s="8">
        <v>27.7</v>
      </c>
      <c r="T12" s="8">
        <v>28</v>
      </c>
      <c r="U12" s="8">
        <v>28.4</v>
      </c>
      <c r="V12" s="8">
        <v>28.7</v>
      </c>
      <c r="W12" s="8">
        <v>29.2</v>
      </c>
      <c r="X12" s="8">
        <v>29.6</v>
      </c>
      <c r="Y12" s="8">
        <v>29.8</v>
      </c>
      <c r="Z12" s="8">
        <v>30.2</v>
      </c>
      <c r="AA12" s="8">
        <v>30.5</v>
      </c>
      <c r="AB12" s="8">
        <v>30.3</v>
      </c>
      <c r="AC12" s="8">
        <v>30.8</v>
      </c>
      <c r="AD12" s="8">
        <v>31.2</v>
      </c>
      <c r="AE12" s="8">
        <v>31.6</v>
      </c>
      <c r="AF12" s="8">
        <v>31.9</v>
      </c>
      <c r="AG12" s="8">
        <v>32.200000000000003</v>
      </c>
      <c r="AH12" s="8">
        <v>32.4</v>
      </c>
      <c r="AI12" s="8">
        <v>32.700000000000003</v>
      </c>
      <c r="AJ12" s="8">
        <v>32.9</v>
      </c>
      <c r="AK12" s="8">
        <v>33.1</v>
      </c>
    </row>
    <row r="13" spans="1:37" x14ac:dyDescent="0.3">
      <c r="A13" s="11" t="s">
        <v>75</v>
      </c>
      <c r="B13" s="8">
        <v>14.1</v>
      </c>
      <c r="C13" s="8">
        <v>14</v>
      </c>
      <c r="D13" s="8">
        <v>13.8</v>
      </c>
      <c r="E13" s="8">
        <v>13.9</v>
      </c>
      <c r="F13" s="8">
        <v>13.7</v>
      </c>
      <c r="G13" s="8">
        <v>13.8</v>
      </c>
      <c r="H13" s="8">
        <v>14.1</v>
      </c>
      <c r="I13" s="8">
        <v>14.3</v>
      </c>
      <c r="J13" s="8">
        <v>14</v>
      </c>
      <c r="K13" s="8">
        <v>14.1</v>
      </c>
      <c r="L13" s="8">
        <v>14</v>
      </c>
      <c r="M13" s="8">
        <v>13.8</v>
      </c>
      <c r="N13" s="8">
        <v>14.3</v>
      </c>
      <c r="O13" s="8">
        <v>14.9</v>
      </c>
      <c r="P13" s="8">
        <v>14.7</v>
      </c>
      <c r="Q13" s="8">
        <v>14.6</v>
      </c>
      <c r="R13" s="8">
        <v>14.9</v>
      </c>
      <c r="S13" s="8">
        <v>15.1</v>
      </c>
      <c r="T13" s="8">
        <v>14.9</v>
      </c>
      <c r="U13" s="8">
        <v>14.6</v>
      </c>
      <c r="V13" s="8">
        <v>14.6</v>
      </c>
      <c r="W13" s="8">
        <v>14.6</v>
      </c>
      <c r="X13" s="8">
        <v>14.5</v>
      </c>
      <c r="Y13" s="8">
        <v>14.3</v>
      </c>
      <c r="Z13" s="8">
        <v>15.1</v>
      </c>
      <c r="AA13" s="8">
        <v>14.6</v>
      </c>
      <c r="AB13" s="8">
        <v>14.3</v>
      </c>
      <c r="AC13" s="8">
        <v>14.4</v>
      </c>
      <c r="AD13" s="8">
        <v>14.6</v>
      </c>
      <c r="AE13" s="8">
        <v>14.6</v>
      </c>
      <c r="AF13" s="8">
        <v>14.6</v>
      </c>
      <c r="AG13" s="8">
        <v>14.6</v>
      </c>
      <c r="AH13" s="8">
        <v>14.6</v>
      </c>
      <c r="AI13" s="8">
        <v>14.4</v>
      </c>
      <c r="AJ13" s="8">
        <v>14.4</v>
      </c>
      <c r="AK13" s="8">
        <v>14.3</v>
      </c>
    </row>
    <row r="14" spans="1:37" x14ac:dyDescent="0.3">
      <c r="A14" s="11" t="s">
        <v>13</v>
      </c>
      <c r="B14" s="8">
        <v>100</v>
      </c>
      <c r="C14" s="8">
        <v>100</v>
      </c>
      <c r="D14" s="8">
        <v>100</v>
      </c>
      <c r="E14" s="8">
        <v>100</v>
      </c>
      <c r="F14" s="8">
        <v>100</v>
      </c>
      <c r="G14" s="8">
        <v>100</v>
      </c>
      <c r="H14" s="8">
        <v>100</v>
      </c>
      <c r="I14" s="8">
        <v>100</v>
      </c>
      <c r="J14" s="8">
        <v>100</v>
      </c>
      <c r="K14" s="8">
        <v>100</v>
      </c>
      <c r="L14" s="8">
        <v>100</v>
      </c>
      <c r="M14" s="8">
        <v>100</v>
      </c>
      <c r="N14" s="8">
        <v>100</v>
      </c>
      <c r="O14" s="8">
        <v>100</v>
      </c>
      <c r="P14" s="8">
        <v>100</v>
      </c>
      <c r="Q14" s="8">
        <v>100</v>
      </c>
      <c r="R14" s="8">
        <v>100</v>
      </c>
      <c r="S14" s="8">
        <v>100</v>
      </c>
      <c r="T14" s="8">
        <v>100</v>
      </c>
      <c r="U14" s="8">
        <v>100</v>
      </c>
      <c r="V14" s="8">
        <v>100</v>
      </c>
      <c r="W14" s="8">
        <v>100</v>
      </c>
      <c r="X14" s="8">
        <v>100</v>
      </c>
      <c r="Y14" s="8">
        <v>100</v>
      </c>
      <c r="Z14" s="8">
        <v>100</v>
      </c>
      <c r="AA14" s="8">
        <v>100</v>
      </c>
      <c r="AB14" s="8">
        <v>100</v>
      </c>
      <c r="AC14" s="8">
        <v>100</v>
      </c>
      <c r="AD14" s="8">
        <v>100</v>
      </c>
      <c r="AE14" s="8">
        <v>100</v>
      </c>
      <c r="AF14" s="8">
        <v>100</v>
      </c>
      <c r="AG14" s="8">
        <v>100</v>
      </c>
      <c r="AH14" s="8">
        <v>100</v>
      </c>
      <c r="AI14" s="8">
        <v>100</v>
      </c>
      <c r="AJ14" s="8">
        <v>100</v>
      </c>
      <c r="AK14" s="8">
        <v>100</v>
      </c>
    </row>
    <row r="15" spans="1:37" x14ac:dyDescent="0.3">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sheetData>
  <mergeCells count="2">
    <mergeCell ref="A1:AK1"/>
    <mergeCell ref="A2:AK2"/>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390F3-4F48-43C4-9574-DD4F1D70A775}">
  <dimension ref="A1:AK16"/>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5" width="5" style="1" bestFit="1" customWidth="1"/>
    <col min="6" max="9" width="5.33203125" style="1" bestFit="1" customWidth="1"/>
    <col min="10" max="10" width="5" style="1" bestFit="1" customWidth="1"/>
    <col min="11" max="12" width="5.33203125" style="1" bestFit="1" customWidth="1"/>
    <col min="13" max="14" width="5" style="1" bestFit="1" customWidth="1"/>
    <col min="15" max="16" width="5.33203125" style="1" bestFit="1" customWidth="1"/>
    <col min="17" max="17" width="5" style="1" bestFit="1" customWidth="1"/>
    <col min="18" max="19" width="5.33203125" style="1" bestFit="1" customWidth="1"/>
    <col min="20" max="25" width="5" style="1" bestFit="1" customWidth="1"/>
    <col min="26" max="26" width="5.33203125" style="1" bestFit="1" customWidth="1"/>
    <col min="27" max="28" width="5" style="1" bestFit="1" customWidth="1"/>
    <col min="29" max="29" width="5.33203125" style="1" bestFit="1" customWidth="1"/>
    <col min="30" max="37" width="5" style="1" bestFit="1" customWidth="1"/>
    <col min="38" max="16384" width="9.109375" style="1"/>
  </cols>
  <sheetData>
    <row r="1" spans="1:37" ht="15" customHeight="1" x14ac:dyDescent="0.3">
      <c r="A1" s="28" t="s">
        <v>68</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38</v>
      </c>
      <c r="B4" s="6">
        <v>4.0999999999999996</v>
      </c>
      <c r="C4" s="6">
        <v>0.1</v>
      </c>
      <c r="D4" s="6">
        <v>-7.6</v>
      </c>
      <c r="E4" s="6">
        <v>3</v>
      </c>
      <c r="F4" s="6">
        <v>-2.7</v>
      </c>
      <c r="G4" s="6">
        <v>-0.2</v>
      </c>
      <c r="H4" s="6">
        <v>13.5</v>
      </c>
      <c r="I4" s="6">
        <v>-17.8</v>
      </c>
      <c r="J4" s="6">
        <v>8.6</v>
      </c>
      <c r="K4" s="6">
        <v>11.6</v>
      </c>
      <c r="L4" s="6">
        <v>27</v>
      </c>
      <c r="M4" s="6">
        <v>16.399999999999999</v>
      </c>
      <c r="N4" s="6">
        <v>12.5</v>
      </c>
      <c r="O4" s="6">
        <v>9.9</v>
      </c>
      <c r="P4" s="6">
        <v>-6.7</v>
      </c>
      <c r="Q4" s="6">
        <v>17.2</v>
      </c>
      <c r="R4" s="6">
        <v>-0.5</v>
      </c>
      <c r="S4" s="6">
        <v>-3.9</v>
      </c>
      <c r="T4" s="6">
        <v>0.5</v>
      </c>
      <c r="U4" s="6">
        <v>2.2999999999999998</v>
      </c>
      <c r="V4" s="6">
        <v>0</v>
      </c>
      <c r="W4" s="6">
        <v>5.2</v>
      </c>
      <c r="X4" s="6">
        <v>10.1</v>
      </c>
      <c r="Y4" s="6">
        <v>14.1</v>
      </c>
      <c r="Z4" s="6">
        <v>-0.1</v>
      </c>
      <c r="AA4" s="6">
        <v>0.8</v>
      </c>
      <c r="AB4" s="6">
        <v>0.1</v>
      </c>
      <c r="AC4" s="6">
        <v>-19.100000000000001</v>
      </c>
      <c r="AD4" s="6">
        <v>14.1</v>
      </c>
      <c r="AE4" s="6">
        <v>2.6</v>
      </c>
      <c r="AF4" s="6">
        <v>7</v>
      </c>
      <c r="AG4" s="6">
        <v>1.3</v>
      </c>
      <c r="AH4" s="6">
        <v>1.5</v>
      </c>
      <c r="AI4" s="6">
        <v>1.8</v>
      </c>
      <c r="AJ4" s="6">
        <v>1.6</v>
      </c>
      <c r="AK4" s="6">
        <v>1.6</v>
      </c>
    </row>
    <row r="5" spans="1:37" x14ac:dyDescent="0.3">
      <c r="A5" s="11" t="s">
        <v>39</v>
      </c>
      <c r="B5" s="8">
        <v>8.8000000000000007</v>
      </c>
      <c r="C5" s="8">
        <v>4.7</v>
      </c>
      <c r="D5" s="8">
        <v>1.8</v>
      </c>
      <c r="E5" s="8">
        <v>-4.7</v>
      </c>
      <c r="F5" s="8">
        <v>4.5999999999999996</v>
      </c>
      <c r="G5" s="8">
        <v>-4.5</v>
      </c>
      <c r="H5" s="8">
        <v>-3</v>
      </c>
      <c r="I5" s="8">
        <v>-0.2</v>
      </c>
      <c r="J5" s="8">
        <v>-1</v>
      </c>
      <c r="K5" s="8">
        <v>-0.3</v>
      </c>
      <c r="L5" s="8">
        <v>7.1</v>
      </c>
      <c r="M5" s="8">
        <v>10.8</v>
      </c>
      <c r="N5" s="8">
        <v>-2</v>
      </c>
      <c r="O5" s="8">
        <v>-5.6</v>
      </c>
      <c r="P5" s="8">
        <v>-3.2</v>
      </c>
      <c r="Q5" s="8">
        <v>6.1</v>
      </c>
      <c r="R5" s="8">
        <v>1.7</v>
      </c>
      <c r="S5" s="8">
        <v>-2.8</v>
      </c>
      <c r="T5" s="8">
        <v>-5.6</v>
      </c>
      <c r="U5" s="8">
        <v>18.600000000000001</v>
      </c>
      <c r="V5" s="8">
        <v>-9.1</v>
      </c>
      <c r="W5" s="8">
        <v>6.4</v>
      </c>
      <c r="X5" s="8">
        <v>5.2</v>
      </c>
      <c r="Y5" s="8">
        <v>6.9</v>
      </c>
      <c r="Z5" s="8">
        <v>-3.7</v>
      </c>
      <c r="AA5" s="8">
        <v>-1</v>
      </c>
      <c r="AB5" s="8">
        <v>4.0999999999999996</v>
      </c>
      <c r="AC5" s="8">
        <v>5.9</v>
      </c>
      <c r="AD5" s="8">
        <v>4.5</v>
      </c>
      <c r="AE5" s="8">
        <v>-1</v>
      </c>
      <c r="AF5" s="8">
        <v>1.5</v>
      </c>
      <c r="AG5" s="8">
        <v>1.3</v>
      </c>
      <c r="AH5" s="8">
        <v>0.9</v>
      </c>
      <c r="AI5" s="8">
        <v>1.4</v>
      </c>
      <c r="AJ5" s="8">
        <v>0.8</v>
      </c>
      <c r="AK5" s="8">
        <v>0.7</v>
      </c>
    </row>
    <row r="6" spans="1:37" x14ac:dyDescent="0.3">
      <c r="A6" s="11" t="s">
        <v>40</v>
      </c>
      <c r="B6" s="8">
        <v>1.3</v>
      </c>
      <c r="C6" s="8">
        <v>3.9</v>
      </c>
      <c r="D6" s="8">
        <v>5.5</v>
      </c>
      <c r="E6" s="8">
        <v>12.9</v>
      </c>
      <c r="F6" s="8">
        <v>9.1</v>
      </c>
      <c r="G6" s="8">
        <v>-0.1</v>
      </c>
      <c r="H6" s="8">
        <v>-7</v>
      </c>
      <c r="I6" s="8">
        <v>17.399999999999999</v>
      </c>
      <c r="J6" s="8">
        <v>-5.5</v>
      </c>
      <c r="K6" s="8">
        <v>21.2</v>
      </c>
      <c r="L6" s="8">
        <v>3.1</v>
      </c>
      <c r="M6" s="8">
        <v>21.1</v>
      </c>
      <c r="N6" s="8">
        <v>4.8</v>
      </c>
      <c r="O6" s="8">
        <v>-11.8</v>
      </c>
      <c r="P6" s="8">
        <v>-13.2</v>
      </c>
      <c r="Q6" s="8">
        <v>26.3</v>
      </c>
      <c r="R6" s="8">
        <v>-15.3</v>
      </c>
      <c r="S6" s="8">
        <v>-0.4</v>
      </c>
      <c r="T6" s="8">
        <v>17.3</v>
      </c>
      <c r="U6" s="8">
        <v>5.2</v>
      </c>
      <c r="V6" s="8">
        <v>-6.3</v>
      </c>
      <c r="W6" s="8">
        <v>8.5</v>
      </c>
      <c r="X6" s="8">
        <v>1.3</v>
      </c>
      <c r="Y6" s="8">
        <v>-9.3000000000000007</v>
      </c>
      <c r="Z6" s="8">
        <v>0.3</v>
      </c>
      <c r="AA6" s="8">
        <v>5.0999999999999996</v>
      </c>
      <c r="AB6" s="8">
        <v>4.8</v>
      </c>
      <c r="AC6" s="8">
        <v>-1.5</v>
      </c>
      <c r="AD6" s="8">
        <v>-3.7</v>
      </c>
      <c r="AE6" s="8">
        <v>8.1999999999999993</v>
      </c>
      <c r="AF6" s="8">
        <v>4.3</v>
      </c>
      <c r="AG6" s="8">
        <v>2.4</v>
      </c>
      <c r="AH6" s="8">
        <v>2.9</v>
      </c>
      <c r="AI6" s="8">
        <v>3.2</v>
      </c>
      <c r="AJ6" s="8">
        <v>3</v>
      </c>
      <c r="AK6" s="8">
        <v>1.9</v>
      </c>
    </row>
    <row r="7" spans="1:37" x14ac:dyDescent="0.3">
      <c r="A7" s="11" t="s">
        <v>41</v>
      </c>
      <c r="B7" s="8">
        <v>1.2</v>
      </c>
      <c r="C7" s="8">
        <v>7.5</v>
      </c>
      <c r="D7" s="8">
        <v>8.4</v>
      </c>
      <c r="E7" s="8">
        <v>7.5</v>
      </c>
      <c r="F7" s="8">
        <v>9.1999999999999993</v>
      </c>
      <c r="G7" s="8">
        <v>9.5</v>
      </c>
      <c r="H7" s="8">
        <v>-4.8</v>
      </c>
      <c r="I7" s="8">
        <v>-3.5</v>
      </c>
      <c r="J7" s="8">
        <v>19.3</v>
      </c>
      <c r="K7" s="8">
        <v>2</v>
      </c>
      <c r="L7" s="8">
        <v>-0.6</v>
      </c>
      <c r="M7" s="8">
        <v>4.5999999999999996</v>
      </c>
      <c r="N7" s="8">
        <v>5.3</v>
      </c>
      <c r="O7" s="8">
        <v>-8.8000000000000007</v>
      </c>
      <c r="P7" s="8">
        <v>0.3</v>
      </c>
      <c r="Q7" s="8">
        <v>7.3</v>
      </c>
      <c r="R7" s="8">
        <v>-0.8</v>
      </c>
      <c r="S7" s="8">
        <v>-0.7</v>
      </c>
      <c r="T7" s="8">
        <v>10.9</v>
      </c>
      <c r="U7" s="8">
        <v>0</v>
      </c>
      <c r="V7" s="8">
        <v>12.7</v>
      </c>
      <c r="W7" s="8">
        <v>-0.6</v>
      </c>
      <c r="X7" s="8">
        <v>1.8</v>
      </c>
      <c r="Y7" s="8">
        <v>6.1</v>
      </c>
      <c r="Z7" s="8">
        <v>-7.2</v>
      </c>
      <c r="AA7" s="8">
        <v>6.6</v>
      </c>
      <c r="AB7" s="8">
        <v>2</v>
      </c>
      <c r="AC7" s="8">
        <v>4</v>
      </c>
      <c r="AD7" s="8">
        <v>3.3</v>
      </c>
      <c r="AE7" s="8">
        <v>3</v>
      </c>
      <c r="AF7" s="8">
        <v>2.5</v>
      </c>
      <c r="AG7" s="8">
        <v>1.6</v>
      </c>
      <c r="AH7" s="8">
        <v>2.5</v>
      </c>
      <c r="AI7" s="8">
        <v>2.4</v>
      </c>
      <c r="AJ7" s="8">
        <v>2.4</v>
      </c>
      <c r="AK7" s="8">
        <v>1.9</v>
      </c>
    </row>
    <row r="8" spans="1:37" x14ac:dyDescent="0.3">
      <c r="A8" s="7" t="s">
        <v>42</v>
      </c>
      <c r="B8" s="8">
        <v>-1.9</v>
      </c>
      <c r="C8" s="8">
        <v>4.9000000000000004</v>
      </c>
      <c r="D8" s="8">
        <v>13</v>
      </c>
      <c r="E8" s="8">
        <v>-0.5</v>
      </c>
      <c r="F8" s="8">
        <v>9.8000000000000007</v>
      </c>
      <c r="G8" s="8">
        <v>-0.2</v>
      </c>
      <c r="H8" s="8">
        <v>-4.4000000000000004</v>
      </c>
      <c r="I8" s="8">
        <v>-6.8</v>
      </c>
      <c r="J8" s="8">
        <v>26</v>
      </c>
      <c r="K8" s="8">
        <v>15.5</v>
      </c>
      <c r="L8" s="8">
        <v>-20.9</v>
      </c>
      <c r="M8" s="8">
        <v>3.3</v>
      </c>
      <c r="N8" s="8">
        <v>2.2999999999999998</v>
      </c>
      <c r="O8" s="8">
        <v>5.8</v>
      </c>
      <c r="P8" s="8">
        <v>-5.3</v>
      </c>
      <c r="Q8" s="8">
        <v>0</v>
      </c>
      <c r="R8" s="8">
        <v>-5.0999999999999996</v>
      </c>
      <c r="S8" s="8">
        <v>3.3</v>
      </c>
      <c r="T8" s="8">
        <v>8.3000000000000007</v>
      </c>
      <c r="U8" s="8">
        <v>-5.5</v>
      </c>
      <c r="V8" s="8">
        <v>6.9</v>
      </c>
      <c r="W8" s="8">
        <v>9.6</v>
      </c>
      <c r="X8" s="8">
        <v>0.4</v>
      </c>
      <c r="Y8" s="8">
        <v>-3.2</v>
      </c>
      <c r="Z8" s="8">
        <v>-7.2</v>
      </c>
      <c r="AA8" s="8">
        <v>13.6</v>
      </c>
      <c r="AB8" s="8">
        <v>-3.6</v>
      </c>
      <c r="AC8" s="8">
        <v>5.7</v>
      </c>
      <c r="AD8" s="8">
        <v>4.4000000000000004</v>
      </c>
      <c r="AE8" s="8">
        <v>2.2000000000000002</v>
      </c>
      <c r="AF8" s="8">
        <v>3</v>
      </c>
      <c r="AG8" s="8">
        <v>-1.9</v>
      </c>
      <c r="AH8" s="8">
        <v>2.6</v>
      </c>
      <c r="AI8" s="8">
        <v>1</v>
      </c>
      <c r="AJ8" s="8">
        <v>1.5</v>
      </c>
      <c r="AK8" s="8">
        <v>-0.3</v>
      </c>
    </row>
    <row r="9" spans="1:37" x14ac:dyDescent="0.3">
      <c r="A9" s="7" t="s">
        <v>43</v>
      </c>
      <c r="B9" s="8">
        <v>0.1</v>
      </c>
      <c r="C9" s="8">
        <v>8.6999999999999993</v>
      </c>
      <c r="D9" s="8">
        <v>6.4</v>
      </c>
      <c r="E9" s="8">
        <v>8.1999999999999993</v>
      </c>
      <c r="F9" s="8">
        <v>0.8</v>
      </c>
      <c r="G9" s="8">
        <v>1.3</v>
      </c>
      <c r="H9" s="8">
        <v>3.5</v>
      </c>
      <c r="I9" s="8">
        <v>-0.6</v>
      </c>
      <c r="J9" s="8">
        <v>8.4</v>
      </c>
      <c r="K9" s="8">
        <v>1.6</v>
      </c>
      <c r="L9" s="8">
        <v>6.7</v>
      </c>
      <c r="M9" s="8">
        <v>7.2</v>
      </c>
      <c r="N9" s="8">
        <v>0.2</v>
      </c>
      <c r="O9" s="8">
        <v>-5.3</v>
      </c>
      <c r="P9" s="8">
        <v>-3.4</v>
      </c>
      <c r="Q9" s="8">
        <v>12.1</v>
      </c>
      <c r="R9" s="8">
        <v>-4.3</v>
      </c>
      <c r="S9" s="8">
        <v>-4.3</v>
      </c>
      <c r="T9" s="8">
        <v>-0.4</v>
      </c>
      <c r="U9" s="8">
        <v>6.1</v>
      </c>
      <c r="V9" s="8">
        <v>4.8</v>
      </c>
      <c r="W9" s="8">
        <v>-3.5</v>
      </c>
      <c r="X9" s="8">
        <v>2.1</v>
      </c>
      <c r="Y9" s="8">
        <v>6.6</v>
      </c>
      <c r="Z9" s="8">
        <v>-13.5</v>
      </c>
      <c r="AA9" s="8">
        <v>4.2</v>
      </c>
      <c r="AB9" s="8">
        <v>-1</v>
      </c>
      <c r="AC9" s="8">
        <v>-2.8</v>
      </c>
      <c r="AD9" s="8">
        <v>-0.6</v>
      </c>
      <c r="AE9" s="8">
        <v>2.2999999999999998</v>
      </c>
      <c r="AF9" s="8">
        <v>1.4</v>
      </c>
      <c r="AG9" s="8">
        <v>2.8</v>
      </c>
      <c r="AH9" s="8">
        <v>2.6</v>
      </c>
      <c r="AI9" s="8">
        <v>2.6</v>
      </c>
      <c r="AJ9" s="8">
        <v>2.2999999999999998</v>
      </c>
      <c r="AK9" s="8">
        <v>2</v>
      </c>
    </row>
    <row r="10" spans="1:37" x14ac:dyDescent="0.3">
      <c r="A10" s="7" t="s">
        <v>44</v>
      </c>
      <c r="B10" s="8">
        <v>14.1</v>
      </c>
      <c r="C10" s="8">
        <v>17.7</v>
      </c>
      <c r="D10" s="8">
        <v>0</v>
      </c>
      <c r="E10" s="8">
        <v>5.9</v>
      </c>
      <c r="F10" s="8">
        <v>-11.2</v>
      </c>
      <c r="G10" s="8">
        <v>58.2</v>
      </c>
      <c r="H10" s="8">
        <v>-15</v>
      </c>
      <c r="I10" s="8">
        <v>-32.4</v>
      </c>
      <c r="J10" s="8">
        <v>46.1</v>
      </c>
      <c r="K10" s="8">
        <v>-12.2</v>
      </c>
      <c r="L10" s="8">
        <v>3.4</v>
      </c>
      <c r="M10" s="8">
        <v>1.2</v>
      </c>
      <c r="N10" s="8">
        <v>7.8</v>
      </c>
      <c r="O10" s="8">
        <v>5.5</v>
      </c>
      <c r="P10" s="8">
        <v>-15.7</v>
      </c>
      <c r="Q10" s="8">
        <v>10.9</v>
      </c>
      <c r="R10" s="8">
        <v>-13.5</v>
      </c>
      <c r="S10" s="8">
        <v>-10.8</v>
      </c>
      <c r="T10" s="8">
        <v>11.1</v>
      </c>
      <c r="U10" s="8">
        <v>10.3</v>
      </c>
      <c r="V10" s="8">
        <v>15.5</v>
      </c>
      <c r="W10" s="8">
        <v>13.9</v>
      </c>
      <c r="X10" s="8">
        <v>7.5</v>
      </c>
      <c r="Y10" s="8">
        <v>-0.2</v>
      </c>
      <c r="Z10" s="8">
        <v>-4.9000000000000004</v>
      </c>
      <c r="AA10" s="8">
        <v>-4.4000000000000004</v>
      </c>
      <c r="AB10" s="8">
        <v>-1</v>
      </c>
      <c r="AC10" s="8">
        <v>15.3</v>
      </c>
      <c r="AD10" s="8">
        <v>-5.6</v>
      </c>
      <c r="AE10" s="8">
        <v>3.9</v>
      </c>
      <c r="AF10" s="8">
        <v>4.2</v>
      </c>
      <c r="AG10" s="8">
        <v>3.1</v>
      </c>
      <c r="AH10" s="8">
        <v>1.6</v>
      </c>
      <c r="AI10" s="8">
        <v>1.7</v>
      </c>
      <c r="AJ10" s="8">
        <v>1.6</v>
      </c>
      <c r="AK10" s="8">
        <v>1.5</v>
      </c>
    </row>
    <row r="11" spans="1:37" x14ac:dyDescent="0.3">
      <c r="A11" s="7" t="s">
        <v>69</v>
      </c>
      <c r="B11" s="8">
        <v>-7.2</v>
      </c>
      <c r="C11" s="8">
        <v>0.6</v>
      </c>
      <c r="D11" s="8">
        <v>2.6</v>
      </c>
      <c r="E11" s="8">
        <v>0.8</v>
      </c>
      <c r="F11" s="8">
        <v>8.5</v>
      </c>
      <c r="G11" s="8">
        <v>-1.6</v>
      </c>
      <c r="H11" s="8">
        <v>8.1</v>
      </c>
      <c r="I11" s="8">
        <v>-6.8</v>
      </c>
      <c r="J11" s="8">
        <v>9</v>
      </c>
      <c r="K11" s="8">
        <v>0.3</v>
      </c>
      <c r="L11" s="8">
        <v>1.9</v>
      </c>
      <c r="M11" s="8">
        <v>16.899999999999999</v>
      </c>
      <c r="N11" s="8">
        <v>-3.8</v>
      </c>
      <c r="O11" s="8">
        <v>2.7</v>
      </c>
      <c r="P11" s="8">
        <v>20.5</v>
      </c>
      <c r="Q11" s="8">
        <v>-7.9</v>
      </c>
      <c r="R11" s="8">
        <v>12.6</v>
      </c>
      <c r="S11" s="8">
        <v>4.5</v>
      </c>
      <c r="T11" s="8">
        <v>-3.5</v>
      </c>
      <c r="U11" s="8">
        <v>1.2</v>
      </c>
      <c r="V11" s="8">
        <v>0.6</v>
      </c>
      <c r="W11" s="8">
        <v>-0.5</v>
      </c>
      <c r="X11" s="8">
        <v>-0.3</v>
      </c>
      <c r="Y11" s="8">
        <v>1.9</v>
      </c>
      <c r="Z11" s="8">
        <v>-7.6</v>
      </c>
      <c r="AA11" s="8">
        <v>8.6999999999999993</v>
      </c>
      <c r="AB11" s="8">
        <v>-4.5999999999999996</v>
      </c>
      <c r="AC11" s="8">
        <v>-3.9</v>
      </c>
      <c r="AD11" s="8">
        <v>-1.7</v>
      </c>
      <c r="AE11" s="8">
        <v>4.3</v>
      </c>
      <c r="AF11" s="8">
        <v>2.5</v>
      </c>
      <c r="AG11" s="8">
        <v>4</v>
      </c>
      <c r="AH11" s="8">
        <v>4.4000000000000004</v>
      </c>
      <c r="AI11" s="8">
        <v>3.7</v>
      </c>
      <c r="AJ11" s="8">
        <v>3.4</v>
      </c>
      <c r="AK11" s="8">
        <v>3.2</v>
      </c>
    </row>
    <row r="12" spans="1:37" x14ac:dyDescent="0.3">
      <c r="A12" s="7" t="s">
        <v>70</v>
      </c>
      <c r="B12" s="8">
        <v>3.5</v>
      </c>
      <c r="C12" s="8">
        <v>7.3</v>
      </c>
      <c r="D12" s="8">
        <v>11.1</v>
      </c>
      <c r="E12" s="8">
        <v>17</v>
      </c>
      <c r="F12" s="8">
        <v>21.2</v>
      </c>
      <c r="G12" s="8">
        <v>11.3</v>
      </c>
      <c r="H12" s="8">
        <v>-8.1999999999999993</v>
      </c>
      <c r="I12" s="8">
        <v>7.2</v>
      </c>
      <c r="J12" s="8">
        <v>17.7</v>
      </c>
      <c r="K12" s="8">
        <v>-2.4</v>
      </c>
      <c r="L12" s="8">
        <v>9</v>
      </c>
      <c r="M12" s="8">
        <v>2.4</v>
      </c>
      <c r="N12" s="8">
        <v>10.8</v>
      </c>
      <c r="O12" s="8">
        <v>-22.5</v>
      </c>
      <c r="P12" s="8">
        <v>5.5</v>
      </c>
      <c r="Q12" s="8">
        <v>12.5</v>
      </c>
      <c r="R12" s="8">
        <v>3.1</v>
      </c>
      <c r="S12" s="8">
        <v>-0.6</v>
      </c>
      <c r="T12" s="8">
        <v>21</v>
      </c>
      <c r="U12" s="8">
        <v>-1.4</v>
      </c>
      <c r="V12" s="8">
        <v>20.399999999999999</v>
      </c>
      <c r="W12" s="8">
        <v>-5.7</v>
      </c>
      <c r="X12" s="8">
        <v>1.6</v>
      </c>
      <c r="Y12" s="8">
        <v>11.9</v>
      </c>
      <c r="Z12" s="8">
        <v>-5.3</v>
      </c>
      <c r="AA12" s="8">
        <v>6.4</v>
      </c>
      <c r="AB12" s="8">
        <v>6.8</v>
      </c>
      <c r="AC12" s="8">
        <v>4.9000000000000004</v>
      </c>
      <c r="AD12" s="8">
        <v>5.9</v>
      </c>
      <c r="AE12" s="8">
        <v>3.1</v>
      </c>
      <c r="AF12" s="8">
        <v>2.4</v>
      </c>
      <c r="AG12" s="8">
        <v>2.1</v>
      </c>
      <c r="AH12" s="8">
        <v>2.2000000000000002</v>
      </c>
      <c r="AI12" s="8">
        <v>2.8</v>
      </c>
      <c r="AJ12" s="8">
        <v>2.7</v>
      </c>
      <c r="AK12" s="8">
        <v>2.5</v>
      </c>
    </row>
    <row r="13" spans="1:37" x14ac:dyDescent="0.3">
      <c r="A13" s="11" t="s">
        <v>71</v>
      </c>
      <c r="B13" s="8">
        <v>-7.8</v>
      </c>
      <c r="C13" s="8">
        <v>7.4</v>
      </c>
      <c r="D13" s="8">
        <v>-5.3</v>
      </c>
      <c r="E13" s="8">
        <v>1.5</v>
      </c>
      <c r="F13" s="8">
        <v>-2.9</v>
      </c>
      <c r="G13" s="8">
        <v>-3.9</v>
      </c>
      <c r="H13" s="8">
        <v>-5.7</v>
      </c>
      <c r="I13" s="8">
        <v>4.8</v>
      </c>
      <c r="J13" s="8">
        <v>4.2</v>
      </c>
      <c r="K13" s="8">
        <v>15.9</v>
      </c>
      <c r="L13" s="8">
        <v>4.8</v>
      </c>
      <c r="M13" s="8">
        <v>5.6</v>
      </c>
      <c r="N13" s="8">
        <v>-2.2000000000000002</v>
      </c>
      <c r="O13" s="8">
        <v>-8.9</v>
      </c>
      <c r="P13" s="8">
        <v>3.8</v>
      </c>
      <c r="Q13" s="8">
        <v>-2.4</v>
      </c>
      <c r="R13" s="8">
        <v>4</v>
      </c>
      <c r="S13" s="8">
        <v>-3.5</v>
      </c>
      <c r="T13" s="8">
        <v>5.8</v>
      </c>
      <c r="U13" s="8">
        <v>-2.9</v>
      </c>
      <c r="V13" s="8">
        <v>3.1</v>
      </c>
      <c r="W13" s="8">
        <v>0.6</v>
      </c>
      <c r="X13" s="8">
        <v>1.8</v>
      </c>
      <c r="Y13" s="8">
        <v>2.8</v>
      </c>
      <c r="Z13" s="8">
        <v>-5.9</v>
      </c>
      <c r="AA13" s="8">
        <v>4.2</v>
      </c>
      <c r="AB13" s="8">
        <v>1.9</v>
      </c>
      <c r="AC13" s="8">
        <v>0.6</v>
      </c>
      <c r="AD13" s="8">
        <v>-6.9</v>
      </c>
      <c r="AE13" s="8">
        <v>-8.1999999999999993</v>
      </c>
      <c r="AF13" s="8">
        <v>-0.2</v>
      </c>
      <c r="AG13" s="8">
        <v>2.5</v>
      </c>
      <c r="AH13" s="8">
        <v>2.8</v>
      </c>
      <c r="AI13" s="8">
        <v>2.2000000000000002</v>
      </c>
      <c r="AJ13" s="8">
        <v>2</v>
      </c>
      <c r="AK13" s="8">
        <v>1.8</v>
      </c>
    </row>
    <row r="14" spans="1:37" x14ac:dyDescent="0.3">
      <c r="A14" s="11" t="s">
        <v>72</v>
      </c>
      <c r="B14" s="8">
        <v>0.3</v>
      </c>
      <c r="C14" s="8">
        <v>9</v>
      </c>
      <c r="D14" s="8">
        <v>-4.9000000000000004</v>
      </c>
      <c r="E14" s="8">
        <v>20.6</v>
      </c>
      <c r="F14" s="8">
        <v>3.9</v>
      </c>
      <c r="G14" s="8">
        <v>-10.7</v>
      </c>
      <c r="H14" s="8">
        <v>1.3</v>
      </c>
      <c r="I14" s="8">
        <v>3.6</v>
      </c>
      <c r="J14" s="8">
        <v>-4.9000000000000004</v>
      </c>
      <c r="K14" s="8">
        <v>11.9</v>
      </c>
      <c r="L14" s="8">
        <v>-8.8000000000000007</v>
      </c>
      <c r="M14" s="8">
        <v>13.4</v>
      </c>
      <c r="N14" s="8">
        <v>3.2</v>
      </c>
      <c r="O14" s="8">
        <v>7.5</v>
      </c>
      <c r="P14" s="8">
        <v>1.1000000000000001</v>
      </c>
      <c r="Q14" s="8">
        <v>7.9</v>
      </c>
      <c r="R14" s="8">
        <v>6</v>
      </c>
      <c r="S14" s="8">
        <v>-5.2</v>
      </c>
      <c r="T14" s="8">
        <v>-1</v>
      </c>
      <c r="U14" s="8">
        <v>6</v>
      </c>
      <c r="V14" s="8">
        <v>-1.8</v>
      </c>
      <c r="W14" s="8">
        <v>-0.8</v>
      </c>
      <c r="X14" s="8">
        <v>9.4</v>
      </c>
      <c r="Y14" s="8">
        <v>-2</v>
      </c>
      <c r="Z14" s="8">
        <v>4.7</v>
      </c>
      <c r="AA14" s="8">
        <v>4.0999999999999996</v>
      </c>
      <c r="AB14" s="8">
        <v>2.4</v>
      </c>
      <c r="AC14" s="8">
        <v>4.2</v>
      </c>
      <c r="AD14" s="8">
        <v>13.2</v>
      </c>
      <c r="AE14" s="8">
        <v>0.8</v>
      </c>
      <c r="AF14" s="8">
        <v>2.1</v>
      </c>
      <c r="AG14" s="8">
        <v>1</v>
      </c>
      <c r="AH14" s="8">
        <v>1.4</v>
      </c>
      <c r="AI14" s="8">
        <v>6.9</v>
      </c>
      <c r="AJ14" s="8">
        <v>7.3</v>
      </c>
      <c r="AK14" s="8">
        <v>-4.5</v>
      </c>
    </row>
    <row r="15" spans="1:37" x14ac:dyDescent="0.3">
      <c r="A15" s="11" t="s">
        <v>13</v>
      </c>
      <c r="B15" s="8">
        <v>0.6</v>
      </c>
      <c r="C15" s="8">
        <v>6.7</v>
      </c>
      <c r="D15" s="8">
        <v>2.2999999999999998</v>
      </c>
      <c r="E15" s="8">
        <v>4.0999999999999996</v>
      </c>
      <c r="F15" s="8">
        <v>5</v>
      </c>
      <c r="G15" s="8">
        <v>1.6</v>
      </c>
      <c r="H15" s="8">
        <v>-4.0999999999999996</v>
      </c>
      <c r="I15" s="8">
        <v>-0.1</v>
      </c>
      <c r="J15" s="8">
        <v>9</v>
      </c>
      <c r="K15" s="8">
        <v>5.7</v>
      </c>
      <c r="L15" s="8">
        <v>1.9</v>
      </c>
      <c r="M15" s="8">
        <v>7.3</v>
      </c>
      <c r="N15" s="8">
        <v>1.9</v>
      </c>
      <c r="O15" s="8">
        <v>-7.1</v>
      </c>
      <c r="P15" s="8">
        <v>-0.1</v>
      </c>
      <c r="Q15" s="8">
        <v>5.4</v>
      </c>
      <c r="R15" s="8">
        <v>0.7</v>
      </c>
      <c r="S15" s="8">
        <v>-2.2000000000000002</v>
      </c>
      <c r="T15" s="8">
        <v>5.7</v>
      </c>
      <c r="U15" s="8">
        <v>3.1</v>
      </c>
      <c r="V15" s="8">
        <v>4.3</v>
      </c>
      <c r="W15" s="8">
        <v>1.2</v>
      </c>
      <c r="X15" s="8">
        <v>3</v>
      </c>
      <c r="Y15" s="8">
        <v>4.4000000000000004</v>
      </c>
      <c r="Z15" s="8">
        <v>-5.0999999999999996</v>
      </c>
      <c r="AA15" s="8">
        <v>4.3</v>
      </c>
      <c r="AB15" s="8">
        <v>2.5</v>
      </c>
      <c r="AC15" s="8">
        <v>3.1</v>
      </c>
      <c r="AD15" s="8">
        <v>2</v>
      </c>
      <c r="AE15" s="8">
        <v>0</v>
      </c>
      <c r="AF15" s="8">
        <v>1.9</v>
      </c>
      <c r="AG15" s="8">
        <v>1.7</v>
      </c>
      <c r="AH15" s="8">
        <v>2.1</v>
      </c>
      <c r="AI15" s="8">
        <v>2.6</v>
      </c>
      <c r="AJ15" s="8">
        <v>2.5</v>
      </c>
      <c r="AK15" s="8">
        <v>1.1000000000000001</v>
      </c>
    </row>
    <row r="16" spans="1:37" x14ac:dyDescent="0.3">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sheetData>
  <mergeCells count="2">
    <mergeCell ref="A1:AK1"/>
    <mergeCell ref="A2:AK2"/>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42B6-5338-4FA8-A69D-DAC929F53F17}">
  <dimension ref="A1:AK39"/>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6.5546875" style="1" bestFit="1" customWidth="1"/>
    <col min="38" max="16384" width="9.109375" style="1"/>
  </cols>
  <sheetData>
    <row r="1" spans="1:37" ht="15" customHeight="1" x14ac:dyDescent="0.3">
      <c r="A1" s="28" t="s">
        <v>48</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49</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50</v>
      </c>
      <c r="B4" s="6">
        <v>3174.6</v>
      </c>
      <c r="C4" s="6">
        <v>3199.7</v>
      </c>
      <c r="D4" s="6">
        <v>3269</v>
      </c>
      <c r="E4" s="6">
        <v>3323.7</v>
      </c>
      <c r="F4" s="6">
        <v>3407.8</v>
      </c>
      <c r="G4" s="6">
        <v>3470.2</v>
      </c>
      <c r="H4" s="6">
        <v>3486.5</v>
      </c>
      <c r="I4" s="6">
        <v>3482.9</v>
      </c>
      <c r="J4" s="6">
        <v>3521.1</v>
      </c>
      <c r="K4" s="6">
        <v>3578.7</v>
      </c>
      <c r="L4" s="6">
        <v>3622.3</v>
      </c>
      <c r="M4" s="6">
        <v>3687.8</v>
      </c>
      <c r="N4" s="6">
        <v>3756</v>
      </c>
      <c r="O4" s="6">
        <v>3743.8</v>
      </c>
      <c r="P4" s="6">
        <v>3769.3</v>
      </c>
      <c r="Q4" s="6">
        <v>3817.3</v>
      </c>
      <c r="R4" s="6">
        <v>3820.2</v>
      </c>
      <c r="S4" s="6">
        <v>3802.8</v>
      </c>
      <c r="T4" s="6">
        <v>3813</v>
      </c>
      <c r="U4" s="6">
        <v>3841.3</v>
      </c>
      <c r="V4" s="6">
        <v>3886.8</v>
      </c>
      <c r="W4" s="6">
        <v>3943.6</v>
      </c>
      <c r="X4" s="6">
        <v>4000</v>
      </c>
      <c r="Y4" s="6">
        <v>4061.7</v>
      </c>
      <c r="Z4" s="6">
        <v>4040.6</v>
      </c>
      <c r="AA4" s="6">
        <v>4097.1000000000004</v>
      </c>
      <c r="AB4" s="6">
        <v>4175.7</v>
      </c>
      <c r="AC4" s="6">
        <v>4204.3</v>
      </c>
      <c r="AD4" s="6">
        <v>4209.1000000000004</v>
      </c>
      <c r="AE4" s="6">
        <v>4213.8999999999996</v>
      </c>
      <c r="AF4" s="6">
        <v>4216.6000000000004</v>
      </c>
      <c r="AG4" s="6">
        <v>4240.3</v>
      </c>
      <c r="AH4" s="6">
        <v>4275.2</v>
      </c>
      <c r="AI4" s="6">
        <v>4311.8999999999996</v>
      </c>
      <c r="AJ4" s="6">
        <v>4349.5</v>
      </c>
      <c r="AK4" s="6">
        <v>4385.3999999999996</v>
      </c>
    </row>
    <row r="5" spans="1:37" x14ac:dyDescent="0.3">
      <c r="A5" s="13" t="s">
        <v>51</v>
      </c>
      <c r="B5" s="8">
        <v>14.4</v>
      </c>
      <c r="C5" s="8">
        <v>14.7</v>
      </c>
      <c r="D5" s="8">
        <v>15.4</v>
      </c>
      <c r="E5" s="8">
        <v>15.9</v>
      </c>
      <c r="F5" s="8">
        <v>16.2</v>
      </c>
      <c r="G5" s="8">
        <v>16.5</v>
      </c>
      <c r="H5" s="8">
        <v>17.2</v>
      </c>
      <c r="I5" s="8">
        <v>17.8</v>
      </c>
      <c r="J5" s="8">
        <v>17.399999999999999</v>
      </c>
      <c r="K5" s="8">
        <v>17.399999999999999</v>
      </c>
      <c r="L5" s="8">
        <v>17</v>
      </c>
      <c r="M5" s="8">
        <v>17.600000000000001</v>
      </c>
      <c r="N5" s="8">
        <v>18.100000000000001</v>
      </c>
      <c r="O5" s="8">
        <v>19.7</v>
      </c>
      <c r="P5" s="8">
        <v>20.2</v>
      </c>
      <c r="Q5" s="8">
        <v>20.7</v>
      </c>
      <c r="R5" s="8">
        <v>21.4</v>
      </c>
      <c r="S5" s="8">
        <v>21.5</v>
      </c>
      <c r="T5" s="8">
        <v>21.9</v>
      </c>
      <c r="U5" s="8">
        <v>23</v>
      </c>
      <c r="V5" s="8">
        <v>23</v>
      </c>
      <c r="W5" s="8">
        <v>23</v>
      </c>
      <c r="X5" s="8">
        <v>24.3</v>
      </c>
      <c r="Y5" s="8">
        <v>25.6</v>
      </c>
      <c r="Z5" s="8">
        <v>26.8</v>
      </c>
      <c r="AA5" s="8">
        <v>27.9</v>
      </c>
      <c r="AB5" s="8">
        <v>28</v>
      </c>
      <c r="AC5" s="8">
        <v>27.9</v>
      </c>
      <c r="AD5" s="8">
        <v>27.1</v>
      </c>
      <c r="AE5" s="8">
        <v>28.1</v>
      </c>
      <c r="AF5" s="8">
        <v>28.9</v>
      </c>
      <c r="AG5" s="8">
        <v>29.3</v>
      </c>
      <c r="AH5" s="8">
        <v>29.8</v>
      </c>
      <c r="AI5" s="8">
        <v>30.3</v>
      </c>
      <c r="AJ5" s="8">
        <v>30.8</v>
      </c>
      <c r="AK5" s="8">
        <v>31.4</v>
      </c>
    </row>
    <row r="6" spans="1:37" x14ac:dyDescent="0.3">
      <c r="A6" s="13" t="s">
        <v>52</v>
      </c>
      <c r="B6" s="8">
        <v>676.7</v>
      </c>
      <c r="C6" s="8">
        <v>668.3</v>
      </c>
      <c r="D6" s="8">
        <v>668.3</v>
      </c>
      <c r="E6" s="8">
        <v>660.4</v>
      </c>
      <c r="F6" s="8">
        <v>667.7</v>
      </c>
      <c r="G6" s="8">
        <v>675.6</v>
      </c>
      <c r="H6" s="8">
        <v>654</v>
      </c>
      <c r="I6" s="8">
        <v>635.29999999999995</v>
      </c>
      <c r="J6" s="8">
        <v>623</v>
      </c>
      <c r="K6" s="8">
        <v>617.79999999999995</v>
      </c>
      <c r="L6" s="8">
        <v>613.6</v>
      </c>
      <c r="M6" s="8">
        <v>610.79999999999995</v>
      </c>
      <c r="N6" s="8">
        <v>611.6</v>
      </c>
      <c r="O6" s="8">
        <v>586.79999999999995</v>
      </c>
      <c r="P6" s="8">
        <v>569.5</v>
      </c>
      <c r="Q6" s="8">
        <v>573.29999999999995</v>
      </c>
      <c r="R6" s="8">
        <v>565.70000000000005</v>
      </c>
      <c r="S6" s="8">
        <v>552.5</v>
      </c>
      <c r="T6" s="8">
        <v>540</v>
      </c>
      <c r="U6" s="8">
        <v>526</v>
      </c>
      <c r="V6" s="8">
        <v>526.29999999999995</v>
      </c>
      <c r="W6" s="8">
        <v>530.1</v>
      </c>
      <c r="X6" s="8">
        <v>533.5</v>
      </c>
      <c r="Y6" s="8">
        <v>539</v>
      </c>
      <c r="Z6" s="8">
        <v>536.29999999999995</v>
      </c>
      <c r="AA6" s="8">
        <v>536.79999999999995</v>
      </c>
      <c r="AB6" s="8">
        <v>543.79999999999995</v>
      </c>
      <c r="AC6" s="8">
        <v>542.79999999999995</v>
      </c>
      <c r="AD6" s="8">
        <v>535.29999999999995</v>
      </c>
      <c r="AE6" s="8">
        <v>525.9</v>
      </c>
      <c r="AF6" s="8">
        <v>521</v>
      </c>
      <c r="AG6" s="8">
        <v>517</v>
      </c>
      <c r="AH6" s="8">
        <v>513.6</v>
      </c>
      <c r="AI6" s="8">
        <v>511.3</v>
      </c>
      <c r="AJ6" s="8">
        <v>508.5</v>
      </c>
      <c r="AK6" s="8">
        <v>506</v>
      </c>
    </row>
    <row r="7" spans="1:37" x14ac:dyDescent="0.3">
      <c r="A7" s="13" t="s">
        <v>53</v>
      </c>
      <c r="B7" s="8">
        <v>182.7</v>
      </c>
      <c r="C7" s="8">
        <v>181.4</v>
      </c>
      <c r="D7" s="8">
        <v>181.9</v>
      </c>
      <c r="E7" s="8">
        <v>185</v>
      </c>
      <c r="F7" s="8">
        <v>190.6</v>
      </c>
      <c r="G7" s="8">
        <v>195</v>
      </c>
      <c r="H7" s="8">
        <v>194.9</v>
      </c>
      <c r="I7" s="8">
        <v>192.6</v>
      </c>
      <c r="J7" s="8">
        <v>192.3</v>
      </c>
      <c r="K7" s="8">
        <v>195.6</v>
      </c>
      <c r="L7" s="8">
        <v>204</v>
      </c>
      <c r="M7" s="8">
        <v>211.6</v>
      </c>
      <c r="N7" s="8">
        <v>217</v>
      </c>
      <c r="O7" s="8">
        <v>216.8</v>
      </c>
      <c r="P7" s="8">
        <v>217.5</v>
      </c>
      <c r="Q7" s="8">
        <v>220.2</v>
      </c>
      <c r="R7" s="8">
        <v>219.9</v>
      </c>
      <c r="S7" s="8">
        <v>214.9</v>
      </c>
      <c r="T7" s="8">
        <v>209.5</v>
      </c>
      <c r="U7" s="8">
        <v>206.2</v>
      </c>
      <c r="V7" s="8">
        <v>206.2</v>
      </c>
      <c r="W7" s="8">
        <v>206.1</v>
      </c>
      <c r="X7" s="8">
        <v>211.4</v>
      </c>
      <c r="Y7" s="8">
        <v>212.4</v>
      </c>
      <c r="Z7" s="8">
        <v>213.7</v>
      </c>
      <c r="AA7" s="8">
        <v>218.7</v>
      </c>
      <c r="AB7" s="8">
        <v>221.8</v>
      </c>
      <c r="AC7" s="8">
        <v>223.8</v>
      </c>
      <c r="AD7" s="8">
        <v>220.8</v>
      </c>
      <c r="AE7" s="8">
        <v>218.7</v>
      </c>
      <c r="AF7" s="8">
        <v>219.1</v>
      </c>
      <c r="AG7" s="8">
        <v>219.5</v>
      </c>
      <c r="AH7" s="8">
        <v>221.2</v>
      </c>
      <c r="AI7" s="8">
        <v>223.3</v>
      </c>
      <c r="AJ7" s="8">
        <v>225.6</v>
      </c>
      <c r="AK7" s="8">
        <v>226.9</v>
      </c>
    </row>
    <row r="8" spans="1:37" x14ac:dyDescent="0.3">
      <c r="A8" s="13" t="s">
        <v>54</v>
      </c>
      <c r="B8" s="8">
        <v>259.2</v>
      </c>
      <c r="C8" s="8">
        <v>261.5</v>
      </c>
      <c r="D8" s="8">
        <v>264.2</v>
      </c>
      <c r="E8" s="8">
        <v>266</v>
      </c>
      <c r="F8" s="8">
        <v>273.10000000000002</v>
      </c>
      <c r="G8" s="8">
        <v>281.39999999999998</v>
      </c>
      <c r="H8" s="8">
        <v>273.39999999999998</v>
      </c>
      <c r="I8" s="8">
        <v>270.7</v>
      </c>
      <c r="J8" s="8">
        <v>268.2</v>
      </c>
      <c r="K8" s="8">
        <v>268.8</v>
      </c>
      <c r="L8" s="8">
        <v>269.7</v>
      </c>
      <c r="M8" s="8">
        <v>272.5</v>
      </c>
      <c r="N8" s="8">
        <v>275.39999999999998</v>
      </c>
      <c r="O8" s="8">
        <v>281.10000000000002</v>
      </c>
      <c r="P8" s="8">
        <v>277.39999999999998</v>
      </c>
      <c r="Q8" s="8">
        <v>275.3</v>
      </c>
      <c r="R8" s="8">
        <v>270.7</v>
      </c>
      <c r="S8" s="8">
        <v>264.10000000000002</v>
      </c>
      <c r="T8" s="8">
        <v>260</v>
      </c>
      <c r="U8" s="8">
        <v>262.3</v>
      </c>
      <c r="V8" s="8">
        <v>263.3</v>
      </c>
      <c r="W8" s="8">
        <v>265.89999999999998</v>
      </c>
      <c r="X8" s="8">
        <v>269.39999999999998</v>
      </c>
      <c r="Y8" s="8">
        <v>275.3</v>
      </c>
      <c r="Z8" s="8">
        <v>275</v>
      </c>
      <c r="AA8" s="8">
        <v>278.10000000000002</v>
      </c>
      <c r="AB8" s="8">
        <v>283.10000000000002</v>
      </c>
      <c r="AC8" s="8">
        <v>286.10000000000002</v>
      </c>
      <c r="AD8" s="8">
        <v>285.8</v>
      </c>
      <c r="AE8" s="8">
        <v>285.89999999999998</v>
      </c>
      <c r="AF8" s="8">
        <v>286.5</v>
      </c>
      <c r="AG8" s="8">
        <v>287.7</v>
      </c>
      <c r="AH8" s="8">
        <v>289.3</v>
      </c>
      <c r="AI8" s="8">
        <v>290.8</v>
      </c>
      <c r="AJ8" s="8">
        <v>291.60000000000002</v>
      </c>
      <c r="AK8" s="8">
        <v>292.60000000000002</v>
      </c>
    </row>
    <row r="9" spans="1:37" x14ac:dyDescent="0.3">
      <c r="A9" s="13" t="s">
        <v>55</v>
      </c>
      <c r="B9" s="8">
        <v>493</v>
      </c>
      <c r="C9" s="8">
        <v>494.5</v>
      </c>
      <c r="D9" s="8">
        <v>506.5</v>
      </c>
      <c r="E9" s="8">
        <v>516.1</v>
      </c>
      <c r="F9" s="8">
        <v>525.9</v>
      </c>
      <c r="G9" s="8">
        <v>542.4</v>
      </c>
      <c r="H9" s="8">
        <v>562.29999999999995</v>
      </c>
      <c r="I9" s="8">
        <v>566.9</v>
      </c>
      <c r="J9" s="8">
        <v>577.4</v>
      </c>
      <c r="K9" s="8">
        <v>589.6</v>
      </c>
      <c r="L9" s="8">
        <v>593.70000000000005</v>
      </c>
      <c r="M9" s="8">
        <v>606.79999999999995</v>
      </c>
      <c r="N9" s="8">
        <v>615.4</v>
      </c>
      <c r="O9" s="8">
        <v>609.29999999999995</v>
      </c>
      <c r="P9" s="8">
        <v>613</v>
      </c>
      <c r="Q9" s="8">
        <v>616.5</v>
      </c>
      <c r="R9" s="8">
        <v>620</v>
      </c>
      <c r="S9" s="8">
        <v>614.5</v>
      </c>
      <c r="T9" s="8">
        <v>614.4</v>
      </c>
      <c r="U9" s="8">
        <v>620.6</v>
      </c>
      <c r="V9" s="8">
        <v>626.4</v>
      </c>
      <c r="W9" s="8">
        <v>629.70000000000005</v>
      </c>
      <c r="X9" s="8">
        <v>634.1</v>
      </c>
      <c r="Y9" s="8">
        <v>640</v>
      </c>
      <c r="Z9" s="8">
        <v>628.5</v>
      </c>
      <c r="AA9" s="8">
        <v>625.9</v>
      </c>
      <c r="AB9" s="8">
        <v>645.1</v>
      </c>
      <c r="AC9" s="8">
        <v>644.70000000000005</v>
      </c>
      <c r="AD9" s="8">
        <v>644.6</v>
      </c>
      <c r="AE9" s="8">
        <v>643.20000000000005</v>
      </c>
      <c r="AF9" s="8">
        <v>644</v>
      </c>
      <c r="AG9" s="8">
        <v>648.29999999999995</v>
      </c>
      <c r="AH9" s="8">
        <v>654.6</v>
      </c>
      <c r="AI9" s="8">
        <v>661.4</v>
      </c>
      <c r="AJ9" s="8">
        <v>667.9</v>
      </c>
      <c r="AK9" s="8">
        <v>673.5</v>
      </c>
    </row>
    <row r="10" spans="1:37" x14ac:dyDescent="0.3">
      <c r="A10" s="13" t="s">
        <v>56</v>
      </c>
      <c r="B10" s="8">
        <v>127.1</v>
      </c>
      <c r="C10" s="8">
        <v>126.9</v>
      </c>
      <c r="D10" s="8">
        <v>130.5</v>
      </c>
      <c r="E10" s="8">
        <v>129</v>
      </c>
      <c r="F10" s="8">
        <v>131.30000000000001</v>
      </c>
      <c r="G10" s="8">
        <v>132.1</v>
      </c>
      <c r="H10" s="8">
        <v>130.69999999999999</v>
      </c>
      <c r="I10" s="8">
        <v>128.9</v>
      </c>
      <c r="J10" s="8">
        <v>127.3</v>
      </c>
      <c r="K10" s="8">
        <v>126.2</v>
      </c>
      <c r="L10" s="8">
        <v>125.5</v>
      </c>
      <c r="M10" s="8">
        <v>125.5</v>
      </c>
      <c r="N10" s="8">
        <v>125.2</v>
      </c>
      <c r="O10" s="8">
        <v>123.8</v>
      </c>
      <c r="P10" s="8">
        <v>121.6</v>
      </c>
      <c r="Q10" s="8">
        <v>121.7</v>
      </c>
      <c r="R10" s="8">
        <v>120.7</v>
      </c>
      <c r="S10" s="8">
        <v>119</v>
      </c>
      <c r="T10" s="8">
        <v>118.4</v>
      </c>
      <c r="U10" s="8">
        <v>117.7</v>
      </c>
      <c r="V10" s="8">
        <v>116.4</v>
      </c>
      <c r="W10" s="8">
        <v>114.3</v>
      </c>
      <c r="X10" s="8">
        <v>111.2</v>
      </c>
      <c r="Y10" s="8">
        <v>110</v>
      </c>
      <c r="Z10" s="8">
        <v>108.1</v>
      </c>
      <c r="AA10" s="8">
        <v>106.9</v>
      </c>
      <c r="AB10" s="8">
        <v>105.8</v>
      </c>
      <c r="AC10" s="8">
        <v>105.5</v>
      </c>
      <c r="AD10" s="8">
        <v>105.5</v>
      </c>
      <c r="AE10" s="8">
        <v>106.1</v>
      </c>
      <c r="AF10" s="8">
        <v>105.7</v>
      </c>
      <c r="AG10" s="8">
        <v>105</v>
      </c>
      <c r="AH10" s="8">
        <v>104.3</v>
      </c>
      <c r="AI10" s="8">
        <v>103.5</v>
      </c>
      <c r="AJ10" s="8">
        <v>102.6</v>
      </c>
      <c r="AK10" s="8">
        <v>101.8</v>
      </c>
    </row>
    <row r="11" spans="1:37" x14ac:dyDescent="0.3">
      <c r="A11" s="13" t="s">
        <v>57</v>
      </c>
      <c r="B11" s="8">
        <v>289.3</v>
      </c>
      <c r="C11" s="8">
        <v>301</v>
      </c>
      <c r="D11" s="8">
        <v>307.89999999999998</v>
      </c>
      <c r="E11" s="8">
        <v>319</v>
      </c>
      <c r="F11" s="8">
        <v>333.2</v>
      </c>
      <c r="G11" s="8">
        <v>347.8</v>
      </c>
      <c r="H11" s="8">
        <v>358.5</v>
      </c>
      <c r="I11" s="8">
        <v>370</v>
      </c>
      <c r="J11" s="8">
        <v>380.6</v>
      </c>
      <c r="K11" s="8">
        <v>392.7</v>
      </c>
      <c r="L11" s="8">
        <v>403.2</v>
      </c>
      <c r="M11" s="8">
        <v>414.4</v>
      </c>
      <c r="N11" s="8">
        <v>425.9</v>
      </c>
      <c r="O11" s="8">
        <v>438.7</v>
      </c>
      <c r="P11" s="8">
        <v>455.9</v>
      </c>
      <c r="Q11" s="8">
        <v>468.7</v>
      </c>
      <c r="R11" s="8">
        <v>479.7</v>
      </c>
      <c r="S11" s="8">
        <v>487.4</v>
      </c>
      <c r="T11" s="8">
        <v>495.2</v>
      </c>
      <c r="U11" s="8">
        <v>505.5</v>
      </c>
      <c r="V11" s="8">
        <v>517.79999999999995</v>
      </c>
      <c r="W11" s="8">
        <v>530.29999999999995</v>
      </c>
      <c r="X11" s="8">
        <v>541</v>
      </c>
      <c r="Y11" s="8">
        <v>554.1</v>
      </c>
      <c r="Z11" s="8">
        <v>562.20000000000005</v>
      </c>
      <c r="AA11" s="8">
        <v>566.20000000000005</v>
      </c>
      <c r="AB11" s="8">
        <v>572.9</v>
      </c>
      <c r="AC11" s="8">
        <v>581.79999999999995</v>
      </c>
      <c r="AD11" s="8">
        <v>587</v>
      </c>
      <c r="AE11" s="8">
        <v>592.1</v>
      </c>
      <c r="AF11" s="8">
        <v>594.5</v>
      </c>
      <c r="AG11" s="8">
        <v>603.20000000000005</v>
      </c>
      <c r="AH11" s="8">
        <v>613.9</v>
      </c>
      <c r="AI11" s="8">
        <v>624.79999999999995</v>
      </c>
      <c r="AJ11" s="8">
        <v>635.70000000000005</v>
      </c>
      <c r="AK11" s="8">
        <v>647.70000000000005</v>
      </c>
    </row>
    <row r="12" spans="1:37" x14ac:dyDescent="0.3">
      <c r="A12" s="13" t="s">
        <v>58</v>
      </c>
      <c r="B12" s="8">
        <v>393.7</v>
      </c>
      <c r="C12" s="8">
        <v>415.3</v>
      </c>
      <c r="D12" s="8">
        <v>450.2</v>
      </c>
      <c r="E12" s="8">
        <v>476.3</v>
      </c>
      <c r="F12" s="8">
        <v>505.6</v>
      </c>
      <c r="G12" s="8">
        <v>508.9</v>
      </c>
      <c r="H12" s="8">
        <v>513.79999999999995</v>
      </c>
      <c r="I12" s="8">
        <v>510.4</v>
      </c>
      <c r="J12" s="8">
        <v>527.6</v>
      </c>
      <c r="K12" s="8">
        <v>545.9</v>
      </c>
      <c r="L12" s="8">
        <v>573.20000000000005</v>
      </c>
      <c r="M12" s="8">
        <v>605.70000000000005</v>
      </c>
      <c r="N12" s="8">
        <v>637</v>
      </c>
      <c r="O12" s="8">
        <v>624.4</v>
      </c>
      <c r="P12" s="8">
        <v>646.4</v>
      </c>
      <c r="Q12" s="8">
        <v>674.9</v>
      </c>
      <c r="R12" s="8">
        <v>680.6</v>
      </c>
      <c r="S12" s="8">
        <v>687.4</v>
      </c>
      <c r="T12" s="8">
        <v>709.6</v>
      </c>
      <c r="U12" s="8">
        <v>737.8</v>
      </c>
      <c r="V12" s="8">
        <v>763.5</v>
      </c>
      <c r="W12" s="8">
        <v>792.3</v>
      </c>
      <c r="X12" s="8">
        <v>816.1</v>
      </c>
      <c r="Y12" s="8">
        <v>837.5</v>
      </c>
      <c r="Z12" s="8">
        <v>823.6</v>
      </c>
      <c r="AA12" s="8">
        <v>855.1</v>
      </c>
      <c r="AB12" s="8">
        <v>882.7</v>
      </c>
      <c r="AC12" s="8">
        <v>891.3</v>
      </c>
      <c r="AD12" s="8">
        <v>895</v>
      </c>
      <c r="AE12" s="8">
        <v>899</v>
      </c>
      <c r="AF12" s="8">
        <v>900.6</v>
      </c>
      <c r="AG12" s="8">
        <v>915.2</v>
      </c>
      <c r="AH12" s="8">
        <v>933.4</v>
      </c>
      <c r="AI12" s="8">
        <v>953.1</v>
      </c>
      <c r="AJ12" s="8">
        <v>972.4</v>
      </c>
      <c r="AK12" s="8">
        <v>990.5</v>
      </c>
    </row>
    <row r="13" spans="1:37" x14ac:dyDescent="0.3">
      <c r="A13" s="13" t="s">
        <v>59</v>
      </c>
      <c r="B13" s="8">
        <v>738.4</v>
      </c>
      <c r="C13" s="8">
        <v>736.1</v>
      </c>
      <c r="D13" s="8">
        <v>744.1</v>
      </c>
      <c r="E13" s="8">
        <v>756</v>
      </c>
      <c r="F13" s="8">
        <v>764</v>
      </c>
      <c r="G13" s="8">
        <v>770.4</v>
      </c>
      <c r="H13" s="8">
        <v>781.7</v>
      </c>
      <c r="I13" s="8">
        <v>790.2</v>
      </c>
      <c r="J13" s="8">
        <v>807.4</v>
      </c>
      <c r="K13" s="8">
        <v>824.7</v>
      </c>
      <c r="L13" s="8">
        <v>822.5</v>
      </c>
      <c r="M13" s="8">
        <v>823</v>
      </c>
      <c r="N13" s="8">
        <v>830.4</v>
      </c>
      <c r="O13" s="8">
        <v>843.3</v>
      </c>
      <c r="P13" s="8">
        <v>847.7</v>
      </c>
      <c r="Q13" s="8">
        <v>846</v>
      </c>
      <c r="R13" s="8">
        <v>841.4</v>
      </c>
      <c r="S13" s="8">
        <v>841.7</v>
      </c>
      <c r="T13" s="8">
        <v>844.1</v>
      </c>
      <c r="U13" s="8">
        <v>842.1</v>
      </c>
      <c r="V13" s="8">
        <v>843.9</v>
      </c>
      <c r="W13" s="8">
        <v>852.1</v>
      </c>
      <c r="X13" s="8">
        <v>858.9</v>
      </c>
      <c r="Y13" s="8">
        <v>867.8</v>
      </c>
      <c r="Z13" s="8">
        <v>866.4</v>
      </c>
      <c r="AA13" s="8">
        <v>881.4</v>
      </c>
      <c r="AB13" s="8">
        <v>892.6</v>
      </c>
      <c r="AC13" s="8">
        <v>900.3</v>
      </c>
      <c r="AD13" s="8">
        <v>908</v>
      </c>
      <c r="AE13" s="8">
        <v>914.9</v>
      </c>
      <c r="AF13" s="8">
        <v>916.4</v>
      </c>
      <c r="AG13" s="8">
        <v>915.1</v>
      </c>
      <c r="AH13" s="8">
        <v>915.1</v>
      </c>
      <c r="AI13" s="8">
        <v>913.4</v>
      </c>
      <c r="AJ13" s="8">
        <v>914.3</v>
      </c>
      <c r="AK13" s="8">
        <v>915.2</v>
      </c>
    </row>
    <row r="14" spans="1:37" x14ac:dyDescent="0.3">
      <c r="A14" s="13" t="s">
        <v>60</v>
      </c>
      <c r="B14" s="8">
        <v>679.6</v>
      </c>
      <c r="C14" s="8">
        <v>675.9</v>
      </c>
      <c r="D14" s="8">
        <v>683</v>
      </c>
      <c r="E14" s="8">
        <v>694.9</v>
      </c>
      <c r="F14" s="8">
        <v>699.6</v>
      </c>
      <c r="G14" s="8">
        <v>707</v>
      </c>
      <c r="H14" s="8">
        <v>717.7</v>
      </c>
      <c r="I14" s="8">
        <v>724.9</v>
      </c>
      <c r="J14" s="8">
        <v>738.7</v>
      </c>
      <c r="K14" s="8">
        <v>757.3</v>
      </c>
      <c r="L14" s="8">
        <v>763.4</v>
      </c>
      <c r="M14" s="8">
        <v>770.3</v>
      </c>
      <c r="N14" s="8">
        <v>780.2</v>
      </c>
      <c r="O14" s="8">
        <v>793.5</v>
      </c>
      <c r="P14" s="8">
        <v>801.7</v>
      </c>
      <c r="Q14" s="8">
        <v>805.8</v>
      </c>
      <c r="R14" s="8">
        <v>807.4</v>
      </c>
      <c r="S14" s="8">
        <v>811.6</v>
      </c>
      <c r="T14" s="8">
        <v>816.3</v>
      </c>
      <c r="U14" s="8">
        <v>816</v>
      </c>
      <c r="V14" s="8">
        <v>817.9</v>
      </c>
      <c r="W14" s="8">
        <v>825.8</v>
      </c>
      <c r="X14" s="8">
        <v>832.3</v>
      </c>
      <c r="Y14" s="8">
        <v>843</v>
      </c>
      <c r="Z14" s="8">
        <v>849.8</v>
      </c>
      <c r="AA14" s="8">
        <v>861.2</v>
      </c>
      <c r="AB14" s="8">
        <v>871.5</v>
      </c>
      <c r="AC14" s="8">
        <v>879.7</v>
      </c>
      <c r="AD14" s="8">
        <v>890.2</v>
      </c>
      <c r="AE14" s="8">
        <v>897.2</v>
      </c>
      <c r="AF14" s="8">
        <v>898.6</v>
      </c>
      <c r="AG14" s="8">
        <v>897.2</v>
      </c>
      <c r="AH14" s="8">
        <v>897.3</v>
      </c>
      <c r="AI14" s="8">
        <v>895.5</v>
      </c>
      <c r="AJ14" s="8">
        <v>896.4</v>
      </c>
      <c r="AK14" s="8">
        <v>897.2</v>
      </c>
    </row>
    <row r="15" spans="1:37" x14ac:dyDescent="0.3">
      <c r="A15" s="13" t="s">
        <v>61</v>
      </c>
      <c r="B15" s="8">
        <v>58.8</v>
      </c>
      <c r="C15" s="8">
        <v>60.3</v>
      </c>
      <c r="D15" s="8">
        <v>61</v>
      </c>
      <c r="E15" s="8">
        <v>61.1</v>
      </c>
      <c r="F15" s="8">
        <v>64.400000000000006</v>
      </c>
      <c r="G15" s="8">
        <v>63.4</v>
      </c>
      <c r="H15" s="8">
        <v>64</v>
      </c>
      <c r="I15" s="8">
        <v>65.3</v>
      </c>
      <c r="J15" s="8">
        <v>68.8</v>
      </c>
      <c r="K15" s="8">
        <v>67.5</v>
      </c>
      <c r="L15" s="8">
        <v>59.1</v>
      </c>
      <c r="M15" s="8">
        <v>52.7</v>
      </c>
      <c r="N15" s="8">
        <v>50.3</v>
      </c>
      <c r="O15" s="8">
        <v>49.8</v>
      </c>
      <c r="P15" s="8">
        <v>46</v>
      </c>
      <c r="Q15" s="8">
        <v>40.200000000000003</v>
      </c>
      <c r="R15" s="8">
        <v>34</v>
      </c>
      <c r="S15" s="8">
        <v>30.1</v>
      </c>
      <c r="T15" s="8">
        <v>27.8</v>
      </c>
      <c r="U15" s="8">
        <v>26.1</v>
      </c>
      <c r="V15" s="8">
        <v>26</v>
      </c>
      <c r="W15" s="8">
        <v>26.3</v>
      </c>
      <c r="X15" s="8">
        <v>26.7</v>
      </c>
      <c r="Y15" s="8">
        <v>24.8</v>
      </c>
      <c r="Z15" s="8">
        <v>16.600000000000001</v>
      </c>
      <c r="AA15" s="8">
        <v>20.2</v>
      </c>
      <c r="AB15" s="8">
        <v>21.1</v>
      </c>
      <c r="AC15" s="8">
        <v>20.7</v>
      </c>
      <c r="AD15" s="8">
        <v>17.8</v>
      </c>
      <c r="AE15" s="8">
        <v>17.7</v>
      </c>
      <c r="AF15" s="8">
        <v>17.7</v>
      </c>
      <c r="AG15" s="8">
        <v>17.8</v>
      </c>
      <c r="AH15" s="8">
        <v>17.899999999999999</v>
      </c>
      <c r="AI15" s="8">
        <v>17.899999999999999</v>
      </c>
      <c r="AJ15" s="8">
        <v>17.899999999999999</v>
      </c>
      <c r="AK15" s="8">
        <v>18</v>
      </c>
    </row>
    <row r="16" spans="1:37" x14ac:dyDescent="0.3">
      <c r="A16" s="11" t="s">
        <v>62</v>
      </c>
      <c r="B16" s="8">
        <v>704.4</v>
      </c>
      <c r="C16" s="8">
        <v>705.7</v>
      </c>
      <c r="D16" s="8">
        <v>704.9</v>
      </c>
      <c r="E16" s="8">
        <v>705</v>
      </c>
      <c r="F16" s="8">
        <v>701.8</v>
      </c>
      <c r="G16" s="8">
        <v>695.8</v>
      </c>
      <c r="H16" s="8">
        <v>689</v>
      </c>
      <c r="I16" s="8">
        <v>688.7</v>
      </c>
      <c r="J16" s="8">
        <v>691.6</v>
      </c>
      <c r="K16" s="8">
        <v>694.5</v>
      </c>
      <c r="L16" s="8">
        <v>699</v>
      </c>
      <c r="M16" s="8">
        <v>705.6</v>
      </c>
      <c r="N16" s="8">
        <v>715.6</v>
      </c>
      <c r="O16" s="8">
        <v>721.8</v>
      </c>
      <c r="P16" s="8">
        <v>727.4</v>
      </c>
      <c r="Q16" s="8">
        <v>734.8</v>
      </c>
      <c r="R16" s="8">
        <v>743</v>
      </c>
      <c r="S16" s="8">
        <v>749.8</v>
      </c>
      <c r="T16" s="8">
        <v>756.1</v>
      </c>
      <c r="U16" s="8">
        <v>766.1</v>
      </c>
      <c r="V16" s="8">
        <v>778.3</v>
      </c>
      <c r="W16" s="8">
        <v>791.1</v>
      </c>
      <c r="X16" s="8">
        <v>804.4</v>
      </c>
      <c r="Y16" s="8">
        <v>818.6</v>
      </c>
      <c r="Z16" s="8">
        <v>834.4</v>
      </c>
      <c r="AA16" s="8">
        <v>860.1</v>
      </c>
      <c r="AB16" s="8">
        <v>877.1</v>
      </c>
      <c r="AC16" s="8">
        <v>886.6</v>
      </c>
      <c r="AD16" s="8">
        <v>894.6</v>
      </c>
      <c r="AE16" s="8">
        <v>908.5</v>
      </c>
      <c r="AF16" s="8">
        <v>925.8</v>
      </c>
      <c r="AG16" s="8">
        <v>938</v>
      </c>
      <c r="AH16" s="8">
        <v>947.6</v>
      </c>
      <c r="AI16" s="8">
        <v>958.2</v>
      </c>
      <c r="AJ16" s="8">
        <v>972</v>
      </c>
      <c r="AK16" s="8">
        <v>986.2</v>
      </c>
    </row>
    <row r="17" spans="1:37" x14ac:dyDescent="0.3">
      <c r="A17" s="13" t="s">
        <v>51</v>
      </c>
      <c r="B17" s="8">
        <v>72.3</v>
      </c>
      <c r="C17" s="8">
        <v>70.099999999999994</v>
      </c>
      <c r="D17" s="8">
        <v>68.7</v>
      </c>
      <c r="E17" s="8">
        <v>67</v>
      </c>
      <c r="F17" s="8">
        <v>64.400000000000006</v>
      </c>
      <c r="G17" s="8">
        <v>62</v>
      </c>
      <c r="H17" s="8">
        <v>59.7</v>
      </c>
      <c r="I17" s="8">
        <v>58.3</v>
      </c>
      <c r="J17" s="8">
        <v>57.8</v>
      </c>
      <c r="K17" s="8">
        <v>57.2</v>
      </c>
      <c r="L17" s="8">
        <v>55.7</v>
      </c>
      <c r="M17" s="8">
        <v>53.5</v>
      </c>
      <c r="N17" s="8">
        <v>51.3</v>
      </c>
      <c r="O17" s="8">
        <v>47.5</v>
      </c>
      <c r="P17" s="8">
        <v>43.6</v>
      </c>
      <c r="Q17" s="8">
        <v>40.799999999999997</v>
      </c>
      <c r="R17" s="8">
        <v>39.299999999999997</v>
      </c>
      <c r="S17" s="8">
        <v>38.200000000000003</v>
      </c>
      <c r="T17" s="8">
        <v>37.4</v>
      </c>
      <c r="U17" s="8">
        <v>36.700000000000003</v>
      </c>
      <c r="V17" s="8">
        <v>36.1</v>
      </c>
      <c r="W17" s="8">
        <v>35.4</v>
      </c>
      <c r="X17" s="8">
        <v>34.5</v>
      </c>
      <c r="Y17" s="8">
        <v>33.6</v>
      </c>
      <c r="Z17" s="8">
        <v>32.799999999999997</v>
      </c>
      <c r="AA17" s="8">
        <v>32.4</v>
      </c>
      <c r="AB17" s="8">
        <v>31.5</v>
      </c>
      <c r="AC17" s="8">
        <v>30.3</v>
      </c>
      <c r="AD17" s="8">
        <v>29.5</v>
      </c>
      <c r="AE17" s="8">
        <v>29.1</v>
      </c>
      <c r="AF17" s="8">
        <v>28.7</v>
      </c>
      <c r="AG17" s="8">
        <v>28.3</v>
      </c>
      <c r="AH17" s="8">
        <v>27.8</v>
      </c>
      <c r="AI17" s="8">
        <v>27.3</v>
      </c>
      <c r="AJ17" s="8">
        <v>27</v>
      </c>
      <c r="AK17" s="8">
        <v>26.7</v>
      </c>
    </row>
    <row r="18" spans="1:37" x14ac:dyDescent="0.3">
      <c r="A18" s="13" t="s">
        <v>52</v>
      </c>
      <c r="B18" s="8">
        <v>32.5</v>
      </c>
      <c r="C18" s="8">
        <v>31.6</v>
      </c>
      <c r="D18" s="8">
        <v>30.7</v>
      </c>
      <c r="E18" s="8">
        <v>30.2</v>
      </c>
      <c r="F18" s="8">
        <v>29.7</v>
      </c>
      <c r="G18" s="8">
        <v>29.1</v>
      </c>
      <c r="H18" s="8">
        <v>28.4</v>
      </c>
      <c r="I18" s="8">
        <v>27.9</v>
      </c>
      <c r="J18" s="8">
        <v>27.3</v>
      </c>
      <c r="K18" s="8">
        <v>26.9</v>
      </c>
      <c r="L18" s="8">
        <v>26.6</v>
      </c>
      <c r="M18" s="8">
        <v>26.2</v>
      </c>
      <c r="N18" s="8">
        <v>26.3</v>
      </c>
      <c r="O18" s="8">
        <v>23.4</v>
      </c>
      <c r="P18" s="8">
        <v>20.6</v>
      </c>
      <c r="Q18" s="8">
        <v>20.2</v>
      </c>
      <c r="R18" s="8">
        <v>19.7</v>
      </c>
      <c r="S18" s="8">
        <v>19.399999999999999</v>
      </c>
      <c r="T18" s="8">
        <v>19.2</v>
      </c>
      <c r="U18" s="8">
        <v>19.5</v>
      </c>
      <c r="V18" s="8">
        <v>19.8</v>
      </c>
      <c r="W18" s="8">
        <v>19.8</v>
      </c>
      <c r="X18" s="8">
        <v>19.600000000000001</v>
      </c>
      <c r="Y18" s="8">
        <v>19.399999999999999</v>
      </c>
      <c r="Z18" s="8">
        <v>19.5</v>
      </c>
      <c r="AA18" s="8">
        <v>20.100000000000001</v>
      </c>
      <c r="AB18" s="8">
        <v>20.3</v>
      </c>
      <c r="AC18" s="8">
        <v>20.3</v>
      </c>
      <c r="AD18" s="8">
        <v>19.899999999999999</v>
      </c>
      <c r="AE18" s="8">
        <v>19.2</v>
      </c>
      <c r="AF18" s="8">
        <v>19.3</v>
      </c>
      <c r="AG18" s="8">
        <v>19.399999999999999</v>
      </c>
      <c r="AH18" s="8">
        <v>19.5</v>
      </c>
      <c r="AI18" s="8">
        <v>19.600000000000001</v>
      </c>
      <c r="AJ18" s="8">
        <v>19.600000000000001</v>
      </c>
      <c r="AK18" s="8">
        <v>19.7</v>
      </c>
    </row>
    <row r="19" spans="1:37" x14ac:dyDescent="0.3">
      <c r="A19" s="13" t="s">
        <v>53</v>
      </c>
      <c r="B19" s="8">
        <v>54.3</v>
      </c>
      <c r="C19" s="8">
        <v>55.4</v>
      </c>
      <c r="D19" s="8">
        <v>56.2</v>
      </c>
      <c r="E19" s="8">
        <v>56.3</v>
      </c>
      <c r="F19" s="8">
        <v>55.5</v>
      </c>
      <c r="G19" s="8">
        <v>54.2</v>
      </c>
      <c r="H19" s="8">
        <v>52.2</v>
      </c>
      <c r="I19" s="8">
        <v>50.4</v>
      </c>
      <c r="J19" s="8">
        <v>49.7</v>
      </c>
      <c r="K19" s="8">
        <v>50</v>
      </c>
      <c r="L19" s="8">
        <v>51.8</v>
      </c>
      <c r="M19" s="8">
        <v>54.3</v>
      </c>
      <c r="N19" s="8">
        <v>55.8</v>
      </c>
      <c r="O19" s="8">
        <v>51.2</v>
      </c>
      <c r="P19" s="8">
        <v>46.5</v>
      </c>
      <c r="Q19" s="8">
        <v>47.5</v>
      </c>
      <c r="R19" s="8">
        <v>48.5</v>
      </c>
      <c r="S19" s="8">
        <v>49</v>
      </c>
      <c r="T19" s="8">
        <v>49.4</v>
      </c>
      <c r="U19" s="8">
        <v>50.6</v>
      </c>
      <c r="V19" s="8">
        <v>52.2</v>
      </c>
      <c r="W19" s="8">
        <v>53.6</v>
      </c>
      <c r="X19" s="8">
        <v>54.5</v>
      </c>
      <c r="Y19" s="8">
        <v>56.3</v>
      </c>
      <c r="Z19" s="8">
        <v>59.5</v>
      </c>
      <c r="AA19" s="8">
        <v>65.099999999999994</v>
      </c>
      <c r="AB19" s="8">
        <v>68.8</v>
      </c>
      <c r="AC19" s="8">
        <v>71.8</v>
      </c>
      <c r="AD19" s="8">
        <v>72.099999999999994</v>
      </c>
      <c r="AE19" s="8">
        <v>73.2</v>
      </c>
      <c r="AF19" s="8">
        <v>74.5</v>
      </c>
      <c r="AG19" s="8">
        <v>75.599999999999994</v>
      </c>
      <c r="AH19" s="8">
        <v>76.599999999999994</v>
      </c>
      <c r="AI19" s="8">
        <v>77.8</v>
      </c>
      <c r="AJ19" s="8">
        <v>79.3</v>
      </c>
      <c r="AK19" s="8">
        <v>80.7</v>
      </c>
    </row>
    <row r="20" spans="1:37" x14ac:dyDescent="0.3">
      <c r="A20" s="13" t="s">
        <v>54</v>
      </c>
      <c r="B20" s="8">
        <v>12.5</v>
      </c>
      <c r="C20" s="8">
        <v>12.6</v>
      </c>
      <c r="D20" s="8">
        <v>12.8</v>
      </c>
      <c r="E20" s="8">
        <v>12.9</v>
      </c>
      <c r="F20" s="8">
        <v>12.6</v>
      </c>
      <c r="G20" s="8">
        <v>12.3</v>
      </c>
      <c r="H20" s="8">
        <v>11.8</v>
      </c>
      <c r="I20" s="8">
        <v>11.5</v>
      </c>
      <c r="J20" s="8">
        <v>11.3</v>
      </c>
      <c r="K20" s="8">
        <v>11.4</v>
      </c>
      <c r="L20" s="8">
        <v>11.4</v>
      </c>
      <c r="M20" s="8">
        <v>11.7</v>
      </c>
      <c r="N20" s="8">
        <v>12.1</v>
      </c>
      <c r="O20" s="8">
        <v>10.9</v>
      </c>
      <c r="P20" s="8">
        <v>9.6</v>
      </c>
      <c r="Q20" s="8">
        <v>9.5</v>
      </c>
      <c r="R20" s="8">
        <v>9.1999999999999993</v>
      </c>
      <c r="S20" s="8">
        <v>8.9</v>
      </c>
      <c r="T20" s="8">
        <v>8.9</v>
      </c>
      <c r="U20" s="8">
        <v>8.3000000000000007</v>
      </c>
      <c r="V20" s="8">
        <v>7.9</v>
      </c>
      <c r="W20" s="8">
        <v>8</v>
      </c>
      <c r="X20" s="8">
        <v>8.6999999999999993</v>
      </c>
      <c r="Y20" s="8">
        <v>8.8000000000000007</v>
      </c>
      <c r="Z20" s="8">
        <v>8.8000000000000007</v>
      </c>
      <c r="AA20" s="8">
        <v>9.1</v>
      </c>
      <c r="AB20" s="8">
        <v>9.3000000000000007</v>
      </c>
      <c r="AC20" s="8">
        <v>9.1999999999999993</v>
      </c>
      <c r="AD20" s="8">
        <v>9.1999999999999993</v>
      </c>
      <c r="AE20" s="8">
        <v>9</v>
      </c>
      <c r="AF20" s="8">
        <v>8.9</v>
      </c>
      <c r="AG20" s="8">
        <v>8.9</v>
      </c>
      <c r="AH20" s="8">
        <v>9</v>
      </c>
      <c r="AI20" s="8">
        <v>9.1</v>
      </c>
      <c r="AJ20" s="8">
        <v>9.1999999999999993</v>
      </c>
      <c r="AK20" s="8">
        <v>9.3000000000000007</v>
      </c>
    </row>
    <row r="21" spans="1:37" x14ac:dyDescent="0.3">
      <c r="A21" s="13" t="s">
        <v>55</v>
      </c>
      <c r="B21" s="8">
        <v>213</v>
      </c>
      <c r="C21" s="8">
        <v>207.3</v>
      </c>
      <c r="D21" s="8">
        <v>201</v>
      </c>
      <c r="E21" s="8">
        <v>195.2</v>
      </c>
      <c r="F21" s="8">
        <v>187.8</v>
      </c>
      <c r="G21" s="8">
        <v>179.7</v>
      </c>
      <c r="H21" s="8">
        <v>171.4</v>
      </c>
      <c r="I21" s="8">
        <v>165.5</v>
      </c>
      <c r="J21" s="8">
        <v>160.80000000000001</v>
      </c>
      <c r="K21" s="8">
        <v>155</v>
      </c>
      <c r="L21" s="8">
        <v>148.80000000000001</v>
      </c>
      <c r="M21" s="8">
        <v>143.69999999999999</v>
      </c>
      <c r="N21" s="8">
        <v>140.30000000000001</v>
      </c>
      <c r="O21" s="8">
        <v>122.9</v>
      </c>
      <c r="P21" s="8">
        <v>108.5</v>
      </c>
      <c r="Q21" s="8">
        <v>104.3</v>
      </c>
      <c r="R21" s="8">
        <v>100.3</v>
      </c>
      <c r="S21" s="8">
        <v>97.5</v>
      </c>
      <c r="T21" s="8">
        <v>94.6</v>
      </c>
      <c r="U21" s="8">
        <v>92.7</v>
      </c>
      <c r="V21" s="8">
        <v>90.5</v>
      </c>
      <c r="W21" s="8">
        <v>87.6</v>
      </c>
      <c r="X21" s="8">
        <v>85.4</v>
      </c>
      <c r="Y21" s="8">
        <v>83.9</v>
      </c>
      <c r="Z21" s="8">
        <v>84</v>
      </c>
      <c r="AA21" s="8">
        <v>86.3</v>
      </c>
      <c r="AB21" s="8">
        <v>85.5</v>
      </c>
      <c r="AC21" s="8">
        <v>84.3</v>
      </c>
      <c r="AD21" s="8">
        <v>81.599999999999994</v>
      </c>
      <c r="AE21" s="8">
        <v>79.7</v>
      </c>
      <c r="AF21" s="8">
        <v>79.3</v>
      </c>
      <c r="AG21" s="8">
        <v>78.400000000000006</v>
      </c>
      <c r="AH21" s="8">
        <v>77</v>
      </c>
      <c r="AI21" s="8">
        <v>75.7</v>
      </c>
      <c r="AJ21" s="8">
        <v>74.599999999999994</v>
      </c>
      <c r="AK21" s="8">
        <v>73.599999999999994</v>
      </c>
    </row>
    <row r="22" spans="1:37" x14ac:dyDescent="0.3">
      <c r="A22" s="13" t="s">
        <v>56</v>
      </c>
      <c r="B22" s="8">
        <v>14.7</v>
      </c>
      <c r="C22" s="8">
        <v>14.2</v>
      </c>
      <c r="D22" s="8">
        <v>13.8</v>
      </c>
      <c r="E22" s="8">
        <v>13.3</v>
      </c>
      <c r="F22" s="8">
        <v>12.7</v>
      </c>
      <c r="G22" s="8">
        <v>12.1</v>
      </c>
      <c r="H22" s="8">
        <v>11.5</v>
      </c>
      <c r="I22" s="8">
        <v>10.9</v>
      </c>
      <c r="J22" s="8">
        <v>10.5</v>
      </c>
      <c r="K22" s="8">
        <v>10.1</v>
      </c>
      <c r="L22" s="8">
        <v>9.6999999999999993</v>
      </c>
      <c r="M22" s="8">
        <v>9.1999999999999993</v>
      </c>
      <c r="N22" s="8">
        <v>8.8000000000000007</v>
      </c>
      <c r="O22" s="8">
        <v>7.5</v>
      </c>
      <c r="P22" s="8">
        <v>6.2</v>
      </c>
      <c r="Q22" s="8">
        <v>5.8</v>
      </c>
      <c r="R22" s="8">
        <v>5.5</v>
      </c>
      <c r="S22" s="8">
        <v>5.3</v>
      </c>
      <c r="T22" s="8">
        <v>5</v>
      </c>
      <c r="U22" s="8">
        <v>4.5999999999999996</v>
      </c>
      <c r="V22" s="8">
        <v>4</v>
      </c>
      <c r="W22" s="8">
        <v>3.7</v>
      </c>
      <c r="X22" s="8">
        <v>3.5</v>
      </c>
      <c r="Y22" s="8">
        <v>3.2</v>
      </c>
      <c r="Z22" s="8">
        <v>3.1</v>
      </c>
      <c r="AA22" s="8">
        <v>2.8</v>
      </c>
      <c r="AB22" s="8">
        <v>2.6</v>
      </c>
      <c r="AC22" s="8">
        <v>2.5</v>
      </c>
      <c r="AD22" s="8">
        <v>2.4</v>
      </c>
      <c r="AE22" s="8">
        <v>2.2999999999999998</v>
      </c>
      <c r="AF22" s="8">
        <v>2.2999999999999998</v>
      </c>
      <c r="AG22" s="8">
        <v>2.2000000000000002</v>
      </c>
      <c r="AH22" s="8">
        <v>2.1</v>
      </c>
      <c r="AI22" s="8">
        <v>2.1</v>
      </c>
      <c r="AJ22" s="8">
        <v>2</v>
      </c>
      <c r="AK22" s="8">
        <v>1.9</v>
      </c>
    </row>
    <row r="23" spans="1:37" x14ac:dyDescent="0.3">
      <c r="A23" s="13" t="s">
        <v>63</v>
      </c>
      <c r="B23" s="8">
        <v>62.5</v>
      </c>
      <c r="C23" s="8">
        <v>63.8</v>
      </c>
      <c r="D23" s="8">
        <v>65.2</v>
      </c>
      <c r="E23" s="8">
        <v>66.8</v>
      </c>
      <c r="F23" s="8">
        <v>67.7</v>
      </c>
      <c r="G23" s="8">
        <v>68</v>
      </c>
      <c r="H23" s="8">
        <v>68</v>
      </c>
      <c r="I23" s="8">
        <v>67.8</v>
      </c>
      <c r="J23" s="8">
        <v>68</v>
      </c>
      <c r="K23" s="8">
        <v>68.7</v>
      </c>
      <c r="L23" s="8">
        <v>68.900000000000006</v>
      </c>
      <c r="M23" s="8">
        <v>69.099999999999994</v>
      </c>
      <c r="N23" s="8">
        <v>69.400000000000006</v>
      </c>
      <c r="O23" s="8">
        <v>64.3</v>
      </c>
      <c r="P23" s="8">
        <v>58.4</v>
      </c>
      <c r="Q23" s="8">
        <v>58.2</v>
      </c>
      <c r="R23" s="8">
        <v>58</v>
      </c>
      <c r="S23" s="8">
        <v>58.6</v>
      </c>
      <c r="T23" s="8">
        <v>60</v>
      </c>
      <c r="U23" s="8">
        <v>61.2</v>
      </c>
      <c r="V23" s="8">
        <v>62.6</v>
      </c>
      <c r="W23" s="8">
        <v>64.3</v>
      </c>
      <c r="X23" s="8">
        <v>65.2</v>
      </c>
      <c r="Y23" s="8">
        <v>65.5</v>
      </c>
      <c r="Z23" s="8">
        <v>66</v>
      </c>
      <c r="AA23" s="8">
        <v>67.5</v>
      </c>
      <c r="AB23" s="8">
        <v>67.599999999999994</v>
      </c>
      <c r="AC23" s="8">
        <v>66.099999999999994</v>
      </c>
      <c r="AD23" s="8">
        <v>64.099999999999994</v>
      </c>
      <c r="AE23" s="8">
        <v>63.3</v>
      </c>
      <c r="AF23" s="8">
        <v>66.3</v>
      </c>
      <c r="AG23" s="8">
        <v>68.2</v>
      </c>
      <c r="AH23" s="8">
        <v>69.2</v>
      </c>
      <c r="AI23" s="8">
        <v>70.2</v>
      </c>
      <c r="AJ23" s="8">
        <v>71.5</v>
      </c>
      <c r="AK23" s="8">
        <v>72.7</v>
      </c>
    </row>
    <row r="24" spans="1:37" x14ac:dyDescent="0.3">
      <c r="A24" s="13" t="s">
        <v>64</v>
      </c>
      <c r="B24" s="8">
        <v>241.4</v>
      </c>
      <c r="C24" s="8">
        <v>249.4</v>
      </c>
      <c r="D24" s="8">
        <v>255</v>
      </c>
      <c r="E24" s="8">
        <v>261.7</v>
      </c>
      <c r="F24" s="8">
        <v>269.8</v>
      </c>
      <c r="G24" s="8">
        <v>276.60000000000002</v>
      </c>
      <c r="H24" s="8">
        <v>284.3</v>
      </c>
      <c r="I24" s="8">
        <v>294.5</v>
      </c>
      <c r="J24" s="8">
        <v>304.10000000000002</v>
      </c>
      <c r="K24" s="8">
        <v>312.8</v>
      </c>
      <c r="L24" s="8">
        <v>323.39999999999998</v>
      </c>
      <c r="M24" s="8">
        <v>334.9</v>
      </c>
      <c r="N24" s="8">
        <v>348.4</v>
      </c>
      <c r="O24" s="8">
        <v>391</v>
      </c>
      <c r="P24" s="8">
        <v>431</v>
      </c>
      <c r="Q24" s="8">
        <v>445.1</v>
      </c>
      <c r="R24" s="8">
        <v>458.6</v>
      </c>
      <c r="S24" s="8">
        <v>468.7</v>
      </c>
      <c r="T24" s="8">
        <v>476.9</v>
      </c>
      <c r="U24" s="8">
        <v>487.7</v>
      </c>
      <c r="V24" s="8">
        <v>499.7</v>
      </c>
      <c r="W24" s="8">
        <v>512.70000000000005</v>
      </c>
      <c r="X24" s="8">
        <v>526.20000000000005</v>
      </c>
      <c r="Y24" s="8">
        <v>540.4</v>
      </c>
      <c r="Z24" s="8">
        <v>552.6</v>
      </c>
      <c r="AA24" s="8">
        <v>568.29999999999995</v>
      </c>
      <c r="AB24" s="8">
        <v>582.29999999999995</v>
      </c>
      <c r="AC24" s="8">
        <v>592.4</v>
      </c>
      <c r="AD24" s="8">
        <v>605.9</v>
      </c>
      <c r="AE24" s="8">
        <v>622.29999999999995</v>
      </c>
      <c r="AF24" s="8">
        <v>635.9</v>
      </c>
      <c r="AG24" s="8">
        <v>646.4</v>
      </c>
      <c r="AH24" s="8">
        <v>655.4</v>
      </c>
      <c r="AI24" s="8">
        <v>665.1</v>
      </c>
      <c r="AJ24" s="8">
        <v>677.2</v>
      </c>
      <c r="AK24" s="8">
        <v>689.6</v>
      </c>
    </row>
    <row r="25" spans="1:37" x14ac:dyDescent="0.3">
      <c r="A25" s="13" t="s">
        <v>65</v>
      </c>
      <c r="B25" s="8">
        <v>1.3</v>
      </c>
      <c r="C25" s="8">
        <v>1.4</v>
      </c>
      <c r="D25" s="8">
        <v>1.5</v>
      </c>
      <c r="E25" s="8">
        <v>1.7</v>
      </c>
      <c r="F25" s="8">
        <v>1.7</v>
      </c>
      <c r="G25" s="8">
        <v>1.8</v>
      </c>
      <c r="H25" s="8">
        <v>1.8</v>
      </c>
      <c r="I25" s="8">
        <v>2</v>
      </c>
      <c r="J25" s="8">
        <v>2.2000000000000002</v>
      </c>
      <c r="K25" s="8">
        <v>2.4</v>
      </c>
      <c r="L25" s="8">
        <v>2.7</v>
      </c>
      <c r="M25" s="8">
        <v>2.9</v>
      </c>
      <c r="N25" s="8">
        <v>3.2</v>
      </c>
      <c r="O25" s="8">
        <v>3.1</v>
      </c>
      <c r="P25" s="8">
        <v>3.1</v>
      </c>
      <c r="Q25" s="8">
        <v>3.5</v>
      </c>
      <c r="R25" s="8">
        <v>3.9</v>
      </c>
      <c r="S25" s="8">
        <v>4.3</v>
      </c>
      <c r="T25" s="8">
        <v>4.5999999999999996</v>
      </c>
      <c r="U25" s="8">
        <v>5</v>
      </c>
      <c r="V25" s="8">
        <v>5.5</v>
      </c>
      <c r="W25" s="8">
        <v>6.1</v>
      </c>
      <c r="X25" s="8">
        <v>6.8</v>
      </c>
      <c r="Y25" s="8">
        <v>7.4</v>
      </c>
      <c r="Z25" s="8">
        <v>8</v>
      </c>
      <c r="AA25" s="8">
        <v>8.5</v>
      </c>
      <c r="AB25" s="8">
        <v>9.1</v>
      </c>
      <c r="AC25" s="8">
        <v>9.6</v>
      </c>
      <c r="AD25" s="8">
        <v>10</v>
      </c>
      <c r="AE25" s="8">
        <v>10.4</v>
      </c>
      <c r="AF25" s="8">
        <v>10.5</v>
      </c>
      <c r="AG25" s="8">
        <v>10.7</v>
      </c>
      <c r="AH25" s="8">
        <v>11</v>
      </c>
      <c r="AI25" s="8">
        <v>11.3</v>
      </c>
      <c r="AJ25" s="8">
        <v>11.7</v>
      </c>
      <c r="AK25" s="8">
        <v>12</v>
      </c>
    </row>
    <row r="26" spans="1:37" x14ac:dyDescent="0.3">
      <c r="A26" s="11" t="s">
        <v>66</v>
      </c>
      <c r="B26" s="8">
        <v>3879</v>
      </c>
      <c r="C26" s="8">
        <v>3905.4</v>
      </c>
      <c r="D26" s="8">
        <v>3973.9</v>
      </c>
      <c r="E26" s="8">
        <v>4028.7</v>
      </c>
      <c r="F26" s="8">
        <v>4109.7</v>
      </c>
      <c r="G26" s="8">
        <v>4166</v>
      </c>
      <c r="H26" s="8">
        <v>4175.5</v>
      </c>
      <c r="I26" s="8">
        <v>4171.6000000000004</v>
      </c>
      <c r="J26" s="8">
        <v>4212.7</v>
      </c>
      <c r="K26" s="8">
        <v>4273.2</v>
      </c>
      <c r="L26" s="8">
        <v>4321.3</v>
      </c>
      <c r="M26" s="8">
        <v>4393.3999999999996</v>
      </c>
      <c r="N26" s="8">
        <v>4471.6000000000004</v>
      </c>
      <c r="O26" s="8">
        <v>4465.7</v>
      </c>
      <c r="P26" s="8">
        <v>4496.7</v>
      </c>
      <c r="Q26" s="8">
        <v>4552.1000000000004</v>
      </c>
      <c r="R26" s="8">
        <v>4563.2</v>
      </c>
      <c r="S26" s="8">
        <v>4552.7</v>
      </c>
      <c r="T26" s="8">
        <v>4569.1000000000004</v>
      </c>
      <c r="U26" s="8">
        <v>4607.3999999999996</v>
      </c>
      <c r="V26" s="8">
        <v>4665.1000000000004</v>
      </c>
      <c r="W26" s="8">
        <v>4734.8</v>
      </c>
      <c r="X26" s="8">
        <v>4804.3999999999996</v>
      </c>
      <c r="Y26" s="8">
        <v>4880.3</v>
      </c>
      <c r="Z26" s="8">
        <v>4875</v>
      </c>
      <c r="AA26" s="8">
        <v>4957.2</v>
      </c>
      <c r="AB26" s="8">
        <v>5052.8</v>
      </c>
      <c r="AC26" s="8">
        <v>5090.8999999999996</v>
      </c>
      <c r="AD26" s="8">
        <v>5103.7</v>
      </c>
      <c r="AE26" s="8">
        <v>5122.5</v>
      </c>
      <c r="AF26" s="8">
        <v>5142.3999999999996</v>
      </c>
      <c r="AG26" s="8">
        <v>5178.3</v>
      </c>
      <c r="AH26" s="8">
        <v>5222.8999999999996</v>
      </c>
      <c r="AI26" s="8">
        <v>5270</v>
      </c>
      <c r="AJ26" s="8">
        <v>5321.5</v>
      </c>
      <c r="AK26" s="8">
        <v>5371.6</v>
      </c>
    </row>
    <row r="27" spans="1:37" x14ac:dyDescent="0.3">
      <c r="A27" s="13" t="s">
        <v>51</v>
      </c>
      <c r="B27" s="8">
        <v>86.7</v>
      </c>
      <c r="C27" s="8">
        <v>84.8</v>
      </c>
      <c r="D27" s="8">
        <v>84.1</v>
      </c>
      <c r="E27" s="8">
        <v>82.9</v>
      </c>
      <c r="F27" s="8">
        <v>80.599999999999994</v>
      </c>
      <c r="G27" s="8">
        <v>78.5</v>
      </c>
      <c r="H27" s="8">
        <v>76.900000000000006</v>
      </c>
      <c r="I27" s="8">
        <v>76.099999999999994</v>
      </c>
      <c r="J27" s="8">
        <v>75.2</v>
      </c>
      <c r="K27" s="8">
        <v>74.5</v>
      </c>
      <c r="L27" s="8">
        <v>72.7</v>
      </c>
      <c r="M27" s="8">
        <v>71.099999999999994</v>
      </c>
      <c r="N27" s="8">
        <v>69.400000000000006</v>
      </c>
      <c r="O27" s="8">
        <v>67.2</v>
      </c>
      <c r="P27" s="8">
        <v>63.8</v>
      </c>
      <c r="Q27" s="8">
        <v>61.5</v>
      </c>
      <c r="R27" s="8">
        <v>60.7</v>
      </c>
      <c r="S27" s="8">
        <v>59.6</v>
      </c>
      <c r="T27" s="8">
        <v>59.3</v>
      </c>
      <c r="U27" s="8">
        <v>59.7</v>
      </c>
      <c r="V27" s="8">
        <v>59.1</v>
      </c>
      <c r="W27" s="8">
        <v>58.4</v>
      </c>
      <c r="X27" s="8">
        <v>58.8</v>
      </c>
      <c r="Y27" s="8">
        <v>59.2</v>
      </c>
      <c r="Z27" s="8">
        <v>59.6</v>
      </c>
      <c r="AA27" s="8">
        <v>60.3</v>
      </c>
      <c r="AB27" s="8">
        <v>59.5</v>
      </c>
      <c r="AC27" s="8">
        <v>58.2</v>
      </c>
      <c r="AD27" s="8">
        <v>56.6</v>
      </c>
      <c r="AE27" s="8">
        <v>57.1</v>
      </c>
      <c r="AF27" s="8">
        <v>57.6</v>
      </c>
      <c r="AG27" s="8">
        <v>57.6</v>
      </c>
      <c r="AH27" s="8">
        <v>57.6</v>
      </c>
      <c r="AI27" s="8">
        <v>57.7</v>
      </c>
      <c r="AJ27" s="8">
        <v>57.8</v>
      </c>
      <c r="AK27" s="8">
        <v>58.1</v>
      </c>
    </row>
    <row r="28" spans="1:37" x14ac:dyDescent="0.3">
      <c r="A28" s="13" t="s">
        <v>52</v>
      </c>
      <c r="B28" s="8">
        <v>709.2</v>
      </c>
      <c r="C28" s="8">
        <v>699.9</v>
      </c>
      <c r="D28" s="8">
        <v>699</v>
      </c>
      <c r="E28" s="8">
        <v>690.6</v>
      </c>
      <c r="F28" s="8">
        <v>697.4</v>
      </c>
      <c r="G28" s="8">
        <v>704.7</v>
      </c>
      <c r="H28" s="8">
        <v>682.3</v>
      </c>
      <c r="I28" s="8">
        <v>663.1</v>
      </c>
      <c r="J28" s="8">
        <v>650.29999999999995</v>
      </c>
      <c r="K28" s="8">
        <v>644.70000000000005</v>
      </c>
      <c r="L28" s="8">
        <v>640.1</v>
      </c>
      <c r="M28" s="8">
        <v>637</v>
      </c>
      <c r="N28" s="8">
        <v>637.9</v>
      </c>
      <c r="O28" s="8">
        <v>610.1</v>
      </c>
      <c r="P28" s="8">
        <v>590.1</v>
      </c>
      <c r="Q28" s="8">
        <v>593.5</v>
      </c>
      <c r="R28" s="8">
        <v>585.4</v>
      </c>
      <c r="S28" s="8">
        <v>571.79999999999995</v>
      </c>
      <c r="T28" s="8">
        <v>559.20000000000005</v>
      </c>
      <c r="U28" s="8">
        <v>545.5</v>
      </c>
      <c r="V28" s="8">
        <v>546.1</v>
      </c>
      <c r="W28" s="8">
        <v>549.9</v>
      </c>
      <c r="X28" s="8">
        <v>553.1</v>
      </c>
      <c r="Y28" s="8">
        <v>558.4</v>
      </c>
      <c r="Z28" s="8">
        <v>555.79999999999995</v>
      </c>
      <c r="AA28" s="8">
        <v>557</v>
      </c>
      <c r="AB28" s="8">
        <v>564</v>
      </c>
      <c r="AC28" s="8">
        <v>563.1</v>
      </c>
      <c r="AD28" s="8">
        <v>555.1</v>
      </c>
      <c r="AE28" s="8">
        <v>545.1</v>
      </c>
      <c r="AF28" s="8">
        <v>540.20000000000005</v>
      </c>
      <c r="AG28" s="8">
        <v>536.4</v>
      </c>
      <c r="AH28" s="8">
        <v>533.1</v>
      </c>
      <c r="AI28" s="8">
        <v>530.9</v>
      </c>
      <c r="AJ28" s="8">
        <v>528.1</v>
      </c>
      <c r="AK28" s="8">
        <v>525.6</v>
      </c>
    </row>
    <row r="29" spans="1:37" x14ac:dyDescent="0.3">
      <c r="A29" s="13" t="s">
        <v>53</v>
      </c>
      <c r="B29" s="8">
        <v>237</v>
      </c>
      <c r="C29" s="8">
        <v>236.8</v>
      </c>
      <c r="D29" s="8">
        <v>238.1</v>
      </c>
      <c r="E29" s="8">
        <v>241.3</v>
      </c>
      <c r="F29" s="8">
        <v>246.2</v>
      </c>
      <c r="G29" s="8">
        <v>249.3</v>
      </c>
      <c r="H29" s="8">
        <v>247.1</v>
      </c>
      <c r="I29" s="8">
        <v>243.1</v>
      </c>
      <c r="J29" s="8">
        <v>242</v>
      </c>
      <c r="K29" s="8">
        <v>245.6</v>
      </c>
      <c r="L29" s="8">
        <v>255.8</v>
      </c>
      <c r="M29" s="8">
        <v>265.89999999999998</v>
      </c>
      <c r="N29" s="8">
        <v>272.8</v>
      </c>
      <c r="O29" s="8">
        <v>268</v>
      </c>
      <c r="P29" s="8">
        <v>264</v>
      </c>
      <c r="Q29" s="8">
        <v>267.7</v>
      </c>
      <c r="R29" s="8">
        <v>268.39999999999998</v>
      </c>
      <c r="S29" s="8">
        <v>263.89999999999998</v>
      </c>
      <c r="T29" s="8">
        <v>258.89999999999998</v>
      </c>
      <c r="U29" s="8">
        <v>256.8</v>
      </c>
      <c r="V29" s="8">
        <v>258.39999999999998</v>
      </c>
      <c r="W29" s="8">
        <v>259.60000000000002</v>
      </c>
      <c r="X29" s="8">
        <v>265.89999999999998</v>
      </c>
      <c r="Y29" s="8">
        <v>268.7</v>
      </c>
      <c r="Z29" s="8">
        <v>273.2</v>
      </c>
      <c r="AA29" s="8">
        <v>283.8</v>
      </c>
      <c r="AB29" s="8">
        <v>290.7</v>
      </c>
      <c r="AC29" s="8">
        <v>295.5</v>
      </c>
      <c r="AD29" s="8">
        <v>292.89999999999998</v>
      </c>
      <c r="AE29" s="8">
        <v>292</v>
      </c>
      <c r="AF29" s="8">
        <v>293.60000000000002</v>
      </c>
      <c r="AG29" s="8">
        <v>295.10000000000002</v>
      </c>
      <c r="AH29" s="8">
        <v>297.8</v>
      </c>
      <c r="AI29" s="8">
        <v>301.10000000000002</v>
      </c>
      <c r="AJ29" s="8">
        <v>304.89999999999998</v>
      </c>
      <c r="AK29" s="8">
        <v>307.60000000000002</v>
      </c>
    </row>
    <row r="30" spans="1:37" x14ac:dyDescent="0.3">
      <c r="A30" s="13" t="s">
        <v>54</v>
      </c>
      <c r="B30" s="8">
        <v>271.7</v>
      </c>
      <c r="C30" s="8">
        <v>274.10000000000002</v>
      </c>
      <c r="D30" s="8">
        <v>277</v>
      </c>
      <c r="E30" s="8">
        <v>278.89999999999998</v>
      </c>
      <c r="F30" s="8">
        <v>285.7</v>
      </c>
      <c r="G30" s="8">
        <v>293.7</v>
      </c>
      <c r="H30" s="8">
        <v>285.2</v>
      </c>
      <c r="I30" s="8">
        <v>282.3</v>
      </c>
      <c r="J30" s="8">
        <v>279.39999999999998</v>
      </c>
      <c r="K30" s="8">
        <v>280.2</v>
      </c>
      <c r="L30" s="8">
        <v>281.10000000000002</v>
      </c>
      <c r="M30" s="8">
        <v>284.2</v>
      </c>
      <c r="N30" s="8">
        <v>287.5</v>
      </c>
      <c r="O30" s="8">
        <v>291.89999999999998</v>
      </c>
      <c r="P30" s="8">
        <v>287</v>
      </c>
      <c r="Q30" s="8">
        <v>284.8</v>
      </c>
      <c r="R30" s="8">
        <v>279.89999999999998</v>
      </c>
      <c r="S30" s="8">
        <v>273</v>
      </c>
      <c r="T30" s="8">
        <v>268.89999999999998</v>
      </c>
      <c r="U30" s="8">
        <v>270.60000000000002</v>
      </c>
      <c r="V30" s="8">
        <v>271.2</v>
      </c>
      <c r="W30" s="8">
        <v>273.89999999999998</v>
      </c>
      <c r="X30" s="8">
        <v>278.2</v>
      </c>
      <c r="Y30" s="8">
        <v>284.10000000000002</v>
      </c>
      <c r="Z30" s="8">
        <v>283.8</v>
      </c>
      <c r="AA30" s="8">
        <v>287.3</v>
      </c>
      <c r="AB30" s="8">
        <v>292.39999999999998</v>
      </c>
      <c r="AC30" s="8">
        <v>295.3</v>
      </c>
      <c r="AD30" s="8">
        <v>295</v>
      </c>
      <c r="AE30" s="8">
        <v>294.89999999999998</v>
      </c>
      <c r="AF30" s="8">
        <v>295.39999999999998</v>
      </c>
      <c r="AG30" s="8">
        <v>296.7</v>
      </c>
      <c r="AH30" s="8">
        <v>298.3</v>
      </c>
      <c r="AI30" s="8">
        <v>299.89999999999998</v>
      </c>
      <c r="AJ30" s="8">
        <v>300.7</v>
      </c>
      <c r="AK30" s="8">
        <v>301.8</v>
      </c>
    </row>
    <row r="31" spans="1:37" x14ac:dyDescent="0.3">
      <c r="A31" s="13" t="s">
        <v>55</v>
      </c>
      <c r="B31" s="8">
        <v>706</v>
      </c>
      <c r="C31" s="8">
        <v>701.8</v>
      </c>
      <c r="D31" s="8">
        <v>707.5</v>
      </c>
      <c r="E31" s="8">
        <v>711.3</v>
      </c>
      <c r="F31" s="8">
        <v>713.6</v>
      </c>
      <c r="G31" s="8">
        <v>722.1</v>
      </c>
      <c r="H31" s="8">
        <v>733.7</v>
      </c>
      <c r="I31" s="8">
        <v>732.3</v>
      </c>
      <c r="J31" s="8">
        <v>738.2</v>
      </c>
      <c r="K31" s="8">
        <v>744.6</v>
      </c>
      <c r="L31" s="8">
        <v>742.5</v>
      </c>
      <c r="M31" s="8">
        <v>750.5</v>
      </c>
      <c r="N31" s="8">
        <v>755.7</v>
      </c>
      <c r="O31" s="8">
        <v>732.2</v>
      </c>
      <c r="P31" s="8">
        <v>721.6</v>
      </c>
      <c r="Q31" s="8">
        <v>720.7</v>
      </c>
      <c r="R31" s="8">
        <v>720.3</v>
      </c>
      <c r="S31" s="8">
        <v>712</v>
      </c>
      <c r="T31" s="8">
        <v>709</v>
      </c>
      <c r="U31" s="8">
        <v>713.3</v>
      </c>
      <c r="V31" s="8">
        <v>716.9</v>
      </c>
      <c r="W31" s="8">
        <v>717.2</v>
      </c>
      <c r="X31" s="8">
        <v>719.4</v>
      </c>
      <c r="Y31" s="8">
        <v>723.9</v>
      </c>
      <c r="Z31" s="8">
        <v>712.5</v>
      </c>
      <c r="AA31" s="8">
        <v>712.2</v>
      </c>
      <c r="AB31" s="8">
        <v>730.6</v>
      </c>
      <c r="AC31" s="8">
        <v>729</v>
      </c>
      <c r="AD31" s="8">
        <v>726.2</v>
      </c>
      <c r="AE31" s="8">
        <v>722.9</v>
      </c>
      <c r="AF31" s="8">
        <v>723.3</v>
      </c>
      <c r="AG31" s="8">
        <v>726.7</v>
      </c>
      <c r="AH31" s="8">
        <v>731.6</v>
      </c>
      <c r="AI31" s="8">
        <v>737</v>
      </c>
      <c r="AJ31" s="8">
        <v>742.6</v>
      </c>
      <c r="AK31" s="8">
        <v>747</v>
      </c>
    </row>
    <row r="32" spans="1:37" x14ac:dyDescent="0.3">
      <c r="A32" s="13" t="s">
        <v>56</v>
      </c>
      <c r="B32" s="8">
        <v>141.80000000000001</v>
      </c>
      <c r="C32" s="8">
        <v>141.1</v>
      </c>
      <c r="D32" s="8">
        <v>144.19999999999999</v>
      </c>
      <c r="E32" s="8">
        <v>142.30000000000001</v>
      </c>
      <c r="F32" s="8">
        <v>144</v>
      </c>
      <c r="G32" s="8">
        <v>144.19999999999999</v>
      </c>
      <c r="H32" s="8">
        <v>142.19999999999999</v>
      </c>
      <c r="I32" s="8">
        <v>139.80000000000001</v>
      </c>
      <c r="J32" s="8">
        <v>137.80000000000001</v>
      </c>
      <c r="K32" s="8">
        <v>136.30000000000001</v>
      </c>
      <c r="L32" s="8">
        <v>135.1</v>
      </c>
      <c r="M32" s="8">
        <v>134.69999999999999</v>
      </c>
      <c r="N32" s="8">
        <v>134</v>
      </c>
      <c r="O32" s="8">
        <v>131.4</v>
      </c>
      <c r="P32" s="8">
        <v>127.8</v>
      </c>
      <c r="Q32" s="8">
        <v>127.6</v>
      </c>
      <c r="R32" s="8">
        <v>126.2</v>
      </c>
      <c r="S32" s="8">
        <v>124.2</v>
      </c>
      <c r="T32" s="8">
        <v>123.4</v>
      </c>
      <c r="U32" s="8">
        <v>122.2</v>
      </c>
      <c r="V32" s="8">
        <v>120.4</v>
      </c>
      <c r="W32" s="8">
        <v>117.9</v>
      </c>
      <c r="X32" s="8">
        <v>114.7</v>
      </c>
      <c r="Y32" s="8">
        <v>113.3</v>
      </c>
      <c r="Z32" s="8">
        <v>111.2</v>
      </c>
      <c r="AA32" s="8">
        <v>109.7</v>
      </c>
      <c r="AB32" s="8">
        <v>108.4</v>
      </c>
      <c r="AC32" s="8">
        <v>108</v>
      </c>
      <c r="AD32" s="8">
        <v>108</v>
      </c>
      <c r="AE32" s="8">
        <v>108.4</v>
      </c>
      <c r="AF32" s="8">
        <v>108</v>
      </c>
      <c r="AG32" s="8">
        <v>107.2</v>
      </c>
      <c r="AH32" s="8">
        <v>106.4</v>
      </c>
      <c r="AI32" s="8">
        <v>105.5</v>
      </c>
      <c r="AJ32" s="8">
        <v>104.6</v>
      </c>
      <c r="AK32" s="8">
        <v>103.7</v>
      </c>
    </row>
    <row r="33" spans="1:37" x14ac:dyDescent="0.3">
      <c r="A33" s="13" t="s">
        <v>57</v>
      </c>
      <c r="B33" s="8">
        <v>351.8</v>
      </c>
      <c r="C33" s="8">
        <v>364.8</v>
      </c>
      <c r="D33" s="8">
        <v>373.1</v>
      </c>
      <c r="E33" s="8">
        <v>385.8</v>
      </c>
      <c r="F33" s="8">
        <v>400.9</v>
      </c>
      <c r="G33" s="8">
        <v>415.8</v>
      </c>
      <c r="H33" s="8">
        <v>426.5</v>
      </c>
      <c r="I33" s="8">
        <v>437.8</v>
      </c>
      <c r="J33" s="8">
        <v>448.5</v>
      </c>
      <c r="K33" s="8">
        <v>461.4</v>
      </c>
      <c r="L33" s="8">
        <v>472.1</v>
      </c>
      <c r="M33" s="8">
        <v>483.5</v>
      </c>
      <c r="N33" s="8">
        <v>495.3</v>
      </c>
      <c r="O33" s="8">
        <v>503</v>
      </c>
      <c r="P33" s="8">
        <v>514.29999999999995</v>
      </c>
      <c r="Q33" s="8">
        <v>526.9</v>
      </c>
      <c r="R33" s="8">
        <v>537.70000000000005</v>
      </c>
      <c r="S33" s="8">
        <v>546</v>
      </c>
      <c r="T33" s="8">
        <v>555.20000000000005</v>
      </c>
      <c r="U33" s="8">
        <v>566.70000000000005</v>
      </c>
      <c r="V33" s="8">
        <v>580.5</v>
      </c>
      <c r="W33" s="8">
        <v>594.5</v>
      </c>
      <c r="X33" s="8">
        <v>606.1</v>
      </c>
      <c r="Y33" s="8">
        <v>619.6</v>
      </c>
      <c r="Z33" s="8">
        <v>628.20000000000005</v>
      </c>
      <c r="AA33" s="8">
        <v>633.70000000000005</v>
      </c>
      <c r="AB33" s="8">
        <v>640.5</v>
      </c>
      <c r="AC33" s="8">
        <v>647.9</v>
      </c>
      <c r="AD33" s="8">
        <v>651</v>
      </c>
      <c r="AE33" s="8">
        <v>655.4</v>
      </c>
      <c r="AF33" s="8">
        <v>660.8</v>
      </c>
      <c r="AG33" s="8">
        <v>671.4</v>
      </c>
      <c r="AH33" s="8">
        <v>683.1</v>
      </c>
      <c r="AI33" s="8">
        <v>695</v>
      </c>
      <c r="AJ33" s="8">
        <v>707.2</v>
      </c>
      <c r="AK33" s="8">
        <v>720.4</v>
      </c>
    </row>
    <row r="34" spans="1:37" x14ac:dyDescent="0.3">
      <c r="A34" s="13" t="s">
        <v>58</v>
      </c>
      <c r="B34" s="8">
        <v>635.1</v>
      </c>
      <c r="C34" s="8">
        <v>664.7</v>
      </c>
      <c r="D34" s="8">
        <v>705.2</v>
      </c>
      <c r="E34" s="8">
        <v>738</v>
      </c>
      <c r="F34" s="8">
        <v>775.4</v>
      </c>
      <c r="G34" s="8">
        <v>785.5</v>
      </c>
      <c r="H34" s="8">
        <v>798</v>
      </c>
      <c r="I34" s="8">
        <v>804.9</v>
      </c>
      <c r="J34" s="8">
        <v>831.7</v>
      </c>
      <c r="K34" s="8">
        <v>858.7</v>
      </c>
      <c r="L34" s="8">
        <v>896.6</v>
      </c>
      <c r="M34" s="8">
        <v>940.6</v>
      </c>
      <c r="N34" s="8">
        <v>985.4</v>
      </c>
      <c r="O34" s="8">
        <v>1015.4</v>
      </c>
      <c r="P34" s="8">
        <v>1077.4000000000001</v>
      </c>
      <c r="Q34" s="8">
        <v>1120</v>
      </c>
      <c r="R34" s="8">
        <v>1139.2</v>
      </c>
      <c r="S34" s="8">
        <v>1156.0999999999999</v>
      </c>
      <c r="T34" s="8">
        <v>1186.5</v>
      </c>
      <c r="U34" s="8">
        <v>1225.5</v>
      </c>
      <c r="V34" s="8">
        <v>1263.2</v>
      </c>
      <c r="W34" s="8">
        <v>1305.0999999999999</v>
      </c>
      <c r="X34" s="8">
        <v>1342.3</v>
      </c>
      <c r="Y34" s="8">
        <v>1377.9</v>
      </c>
      <c r="Z34" s="8">
        <v>1376.2</v>
      </c>
      <c r="AA34" s="8">
        <v>1423.4</v>
      </c>
      <c r="AB34" s="8">
        <v>1465</v>
      </c>
      <c r="AC34" s="8">
        <v>1483.7</v>
      </c>
      <c r="AD34" s="8">
        <v>1500.9</v>
      </c>
      <c r="AE34" s="8">
        <v>1521.3</v>
      </c>
      <c r="AF34" s="8">
        <v>1536.5</v>
      </c>
      <c r="AG34" s="8">
        <v>1561.5</v>
      </c>
      <c r="AH34" s="8">
        <v>1588.8</v>
      </c>
      <c r="AI34" s="8">
        <v>1618.2</v>
      </c>
      <c r="AJ34" s="8">
        <v>1649.5</v>
      </c>
      <c r="AK34" s="8">
        <v>1680.1</v>
      </c>
    </row>
    <row r="35" spans="1:37" x14ac:dyDescent="0.3">
      <c r="A35" s="13" t="s">
        <v>59</v>
      </c>
      <c r="B35" s="8">
        <v>739.7</v>
      </c>
      <c r="C35" s="8">
        <v>737.5</v>
      </c>
      <c r="D35" s="8">
        <v>745.6</v>
      </c>
      <c r="E35" s="8">
        <v>757.6</v>
      </c>
      <c r="F35" s="8">
        <v>765.8</v>
      </c>
      <c r="G35" s="8">
        <v>772.2</v>
      </c>
      <c r="H35" s="8">
        <v>783.6</v>
      </c>
      <c r="I35" s="8">
        <v>792.1</v>
      </c>
      <c r="J35" s="8">
        <v>809.6</v>
      </c>
      <c r="K35" s="8">
        <v>827.1</v>
      </c>
      <c r="L35" s="8">
        <v>825.1</v>
      </c>
      <c r="M35" s="8">
        <v>825.9</v>
      </c>
      <c r="N35" s="8">
        <v>833.6</v>
      </c>
      <c r="O35" s="8">
        <v>846.4</v>
      </c>
      <c r="P35" s="8">
        <v>850.8</v>
      </c>
      <c r="Q35" s="8">
        <v>849.4</v>
      </c>
      <c r="R35" s="8">
        <v>845.4</v>
      </c>
      <c r="S35" s="8">
        <v>846</v>
      </c>
      <c r="T35" s="8">
        <v>848.7</v>
      </c>
      <c r="U35" s="8">
        <v>847.1</v>
      </c>
      <c r="V35" s="8">
        <v>849.4</v>
      </c>
      <c r="W35" s="8">
        <v>858.1</v>
      </c>
      <c r="X35" s="8">
        <v>865.8</v>
      </c>
      <c r="Y35" s="8">
        <v>875.2</v>
      </c>
      <c r="Z35" s="8">
        <v>874.4</v>
      </c>
      <c r="AA35" s="8">
        <v>889.9</v>
      </c>
      <c r="AB35" s="8">
        <v>901.7</v>
      </c>
      <c r="AC35" s="8">
        <v>909.9</v>
      </c>
      <c r="AD35" s="8">
        <v>918</v>
      </c>
      <c r="AE35" s="8">
        <v>925.3</v>
      </c>
      <c r="AF35" s="8">
        <v>926.9</v>
      </c>
      <c r="AG35" s="8">
        <v>925.8</v>
      </c>
      <c r="AH35" s="8">
        <v>926.2</v>
      </c>
      <c r="AI35" s="8">
        <v>924.8</v>
      </c>
      <c r="AJ35" s="8">
        <v>926</v>
      </c>
      <c r="AK35" s="8">
        <v>927.2</v>
      </c>
    </row>
    <row r="36" spans="1:37" x14ac:dyDescent="0.3">
      <c r="A36" s="13" t="s">
        <v>60</v>
      </c>
      <c r="B36" s="8">
        <v>680.9</v>
      </c>
      <c r="C36" s="8">
        <v>677.3</v>
      </c>
      <c r="D36" s="8">
        <v>684.6</v>
      </c>
      <c r="E36" s="8">
        <v>696.6</v>
      </c>
      <c r="F36" s="8">
        <v>701.3</v>
      </c>
      <c r="G36" s="8">
        <v>708.7</v>
      </c>
      <c r="H36" s="8">
        <v>719.6</v>
      </c>
      <c r="I36" s="8">
        <v>726.8</v>
      </c>
      <c r="J36" s="8">
        <v>740.8</v>
      </c>
      <c r="K36" s="8">
        <v>759.7</v>
      </c>
      <c r="L36" s="8">
        <v>766.1</v>
      </c>
      <c r="M36" s="8">
        <v>773.2</v>
      </c>
      <c r="N36" s="8">
        <v>783.4</v>
      </c>
      <c r="O36" s="8">
        <v>796.7</v>
      </c>
      <c r="P36" s="8">
        <v>804.8</v>
      </c>
      <c r="Q36" s="8">
        <v>809.3</v>
      </c>
      <c r="R36" s="8">
        <v>811.3</v>
      </c>
      <c r="S36" s="8">
        <v>815.9</v>
      </c>
      <c r="T36" s="8">
        <v>820.9</v>
      </c>
      <c r="U36" s="8">
        <v>821</v>
      </c>
      <c r="V36" s="8">
        <v>823.4</v>
      </c>
      <c r="W36" s="8">
        <v>831.9</v>
      </c>
      <c r="X36" s="8">
        <v>839.1</v>
      </c>
      <c r="Y36" s="8">
        <v>850.4</v>
      </c>
      <c r="Z36" s="8">
        <v>857.8</v>
      </c>
      <c r="AA36" s="8">
        <v>869.7</v>
      </c>
      <c r="AB36" s="8">
        <v>880.6</v>
      </c>
      <c r="AC36" s="8">
        <v>889.3</v>
      </c>
      <c r="AD36" s="8">
        <v>900.2</v>
      </c>
      <c r="AE36" s="8">
        <v>907.5</v>
      </c>
      <c r="AF36" s="8">
        <v>909.2</v>
      </c>
      <c r="AG36" s="8">
        <v>908</v>
      </c>
      <c r="AH36" s="8">
        <v>908.3</v>
      </c>
      <c r="AI36" s="8">
        <v>906.9</v>
      </c>
      <c r="AJ36" s="8">
        <v>908.1</v>
      </c>
      <c r="AK36" s="8">
        <v>909.2</v>
      </c>
    </row>
    <row r="37" spans="1:37" x14ac:dyDescent="0.3">
      <c r="A37" s="13" t="s">
        <v>61</v>
      </c>
      <c r="B37" s="8">
        <v>58.8</v>
      </c>
      <c r="C37" s="8">
        <v>60.3</v>
      </c>
      <c r="D37" s="8">
        <v>61</v>
      </c>
      <c r="E37" s="8">
        <v>61.1</v>
      </c>
      <c r="F37" s="8">
        <v>64.400000000000006</v>
      </c>
      <c r="G37" s="8">
        <v>63.4</v>
      </c>
      <c r="H37" s="8">
        <v>64</v>
      </c>
      <c r="I37" s="8">
        <v>65.3</v>
      </c>
      <c r="J37" s="8">
        <v>68.8</v>
      </c>
      <c r="K37" s="8">
        <v>67.5</v>
      </c>
      <c r="L37" s="8">
        <v>59.1</v>
      </c>
      <c r="M37" s="8">
        <v>52.7</v>
      </c>
      <c r="N37" s="8">
        <v>50.3</v>
      </c>
      <c r="O37" s="8">
        <v>49.8</v>
      </c>
      <c r="P37" s="8">
        <v>46</v>
      </c>
      <c r="Q37" s="8">
        <v>40.200000000000003</v>
      </c>
      <c r="R37" s="8">
        <v>34</v>
      </c>
      <c r="S37" s="8">
        <v>30.1</v>
      </c>
      <c r="T37" s="8">
        <v>27.8</v>
      </c>
      <c r="U37" s="8">
        <v>26.1</v>
      </c>
      <c r="V37" s="8">
        <v>26</v>
      </c>
      <c r="W37" s="8">
        <v>26.3</v>
      </c>
      <c r="X37" s="8">
        <v>26.7</v>
      </c>
      <c r="Y37" s="8">
        <v>24.8</v>
      </c>
      <c r="Z37" s="8">
        <v>16.600000000000001</v>
      </c>
      <c r="AA37" s="8">
        <v>20.2</v>
      </c>
      <c r="AB37" s="8">
        <v>21.1</v>
      </c>
      <c r="AC37" s="8">
        <v>20.7</v>
      </c>
      <c r="AD37" s="8">
        <v>17.8</v>
      </c>
      <c r="AE37" s="8">
        <v>17.7</v>
      </c>
      <c r="AF37" s="8">
        <v>17.7</v>
      </c>
      <c r="AG37" s="8">
        <v>17.8</v>
      </c>
      <c r="AH37" s="8">
        <v>17.899999999999999</v>
      </c>
      <c r="AI37" s="8">
        <v>17.899999999999999</v>
      </c>
      <c r="AJ37" s="8">
        <v>17.899999999999999</v>
      </c>
      <c r="AK37" s="8">
        <v>18</v>
      </c>
    </row>
    <row r="38" spans="1:37" x14ac:dyDescent="0.3">
      <c r="A38" s="13" t="s">
        <v>67</v>
      </c>
      <c r="B38" s="8">
        <v>3.2</v>
      </c>
      <c r="C38" s="8">
        <v>7.8</v>
      </c>
      <c r="D38" s="8">
        <v>13.1</v>
      </c>
      <c r="E38" s="8">
        <v>16.399999999999999</v>
      </c>
      <c r="F38" s="8">
        <v>15.6</v>
      </c>
      <c r="G38" s="8">
        <v>16.399999999999999</v>
      </c>
      <c r="H38" s="8">
        <v>16.7</v>
      </c>
      <c r="I38" s="8">
        <v>17.2</v>
      </c>
      <c r="J38" s="8">
        <v>19</v>
      </c>
      <c r="K38" s="8">
        <v>25.3</v>
      </c>
      <c r="L38" s="8">
        <v>34</v>
      </c>
      <c r="M38" s="8">
        <v>44.8</v>
      </c>
      <c r="N38" s="8">
        <v>62.2</v>
      </c>
      <c r="O38" s="8">
        <v>79.3</v>
      </c>
      <c r="P38" s="8">
        <v>93.2</v>
      </c>
      <c r="Q38" s="8">
        <v>104.6</v>
      </c>
      <c r="R38" s="8">
        <v>110.3</v>
      </c>
      <c r="S38" s="8">
        <v>116.7</v>
      </c>
      <c r="T38" s="8">
        <v>121.4</v>
      </c>
      <c r="U38" s="8">
        <v>125.6</v>
      </c>
      <c r="V38" s="8">
        <v>128.69999999999999</v>
      </c>
      <c r="W38" s="8">
        <v>134.30000000000001</v>
      </c>
      <c r="X38" s="8">
        <v>138</v>
      </c>
      <c r="Y38" s="8">
        <v>140.9</v>
      </c>
      <c r="Z38" s="8">
        <v>142.6</v>
      </c>
      <c r="AA38" s="8">
        <v>143.5</v>
      </c>
      <c r="AB38" s="8">
        <v>142</v>
      </c>
      <c r="AC38" s="8">
        <v>143</v>
      </c>
      <c r="AD38" s="8">
        <v>144.30000000000001</v>
      </c>
      <c r="AE38" s="8">
        <v>143.30000000000001</v>
      </c>
      <c r="AF38" s="8">
        <v>142.9</v>
      </c>
      <c r="AG38" s="8">
        <v>143.5</v>
      </c>
      <c r="AH38" s="8">
        <v>143.69999999999999</v>
      </c>
      <c r="AI38" s="8">
        <v>143.69999999999999</v>
      </c>
      <c r="AJ38" s="8">
        <v>144</v>
      </c>
      <c r="AK38" s="8">
        <v>144.4</v>
      </c>
    </row>
    <row r="39" spans="1:37" x14ac:dyDescent="0.3">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sheetData>
  <mergeCells count="2">
    <mergeCell ref="A1:AK1"/>
    <mergeCell ref="A2:AK2"/>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A65B-CBFC-4A66-81BC-A753FA76A1B0}">
  <dimension ref="A1:AK14"/>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21" width="5" style="1" bestFit="1" customWidth="1"/>
    <col min="22" max="22" width="5.33203125" style="1" bestFit="1" customWidth="1"/>
    <col min="23" max="23" width="5" style="1" bestFit="1" customWidth="1"/>
    <col min="24" max="24" width="5.33203125" style="1" bestFit="1" customWidth="1"/>
    <col min="25" max="26" width="5" style="1" bestFit="1" customWidth="1"/>
    <col min="27" max="27" width="5.33203125" style="1" bestFit="1" customWidth="1"/>
    <col min="28" max="37" width="5" style="1" bestFit="1" customWidth="1"/>
    <col min="38" max="16384" width="9.109375" style="1"/>
  </cols>
  <sheetData>
    <row r="1" spans="1:37" ht="15" customHeight="1" x14ac:dyDescent="0.3">
      <c r="A1" s="28" t="s">
        <v>47</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38</v>
      </c>
      <c r="B4" s="6">
        <v>3.2</v>
      </c>
      <c r="C4" s="6">
        <v>4.5</v>
      </c>
      <c r="D4" s="6">
        <v>4.9000000000000004</v>
      </c>
      <c r="E4" s="6">
        <v>-5.3</v>
      </c>
      <c r="F4" s="6">
        <v>8.6</v>
      </c>
      <c r="G4" s="6">
        <v>-1.4</v>
      </c>
      <c r="H4" s="6">
        <v>4.0999999999999996</v>
      </c>
      <c r="I4" s="6">
        <v>-0.6</v>
      </c>
      <c r="J4" s="6">
        <v>7.8</v>
      </c>
      <c r="K4" s="6">
        <v>-3</v>
      </c>
      <c r="L4" s="6">
        <v>4</v>
      </c>
      <c r="M4" s="6">
        <v>1.9</v>
      </c>
      <c r="N4" s="6">
        <v>5.8</v>
      </c>
      <c r="O4" s="6">
        <v>1.7</v>
      </c>
      <c r="P4" s="6">
        <v>7.7</v>
      </c>
      <c r="Q4" s="6">
        <v>-0.3</v>
      </c>
      <c r="R4" s="6">
        <v>8.6</v>
      </c>
      <c r="S4" s="6">
        <v>-9.3000000000000007</v>
      </c>
      <c r="T4" s="6">
        <v>4.8</v>
      </c>
      <c r="U4" s="6">
        <v>14.3</v>
      </c>
      <c r="V4" s="6">
        <v>-11.1</v>
      </c>
      <c r="W4" s="6">
        <v>3.9</v>
      </c>
      <c r="X4" s="6">
        <v>-10.3</v>
      </c>
      <c r="Y4" s="6">
        <v>3.5</v>
      </c>
      <c r="Z4" s="6">
        <v>-5</v>
      </c>
      <c r="AA4" s="6">
        <v>-0.3</v>
      </c>
      <c r="AB4" s="6">
        <v>-2.2000000000000002</v>
      </c>
      <c r="AC4" s="6">
        <v>13.9</v>
      </c>
      <c r="AD4" s="6">
        <v>2.9</v>
      </c>
      <c r="AE4" s="6">
        <v>0</v>
      </c>
      <c r="AF4" s="6">
        <v>3.4</v>
      </c>
      <c r="AG4" s="6">
        <v>1.6</v>
      </c>
      <c r="AH4" s="6">
        <v>1.9</v>
      </c>
      <c r="AI4" s="6">
        <v>1.9</v>
      </c>
      <c r="AJ4" s="6">
        <v>1.5</v>
      </c>
      <c r="AK4" s="6">
        <v>1.4</v>
      </c>
    </row>
    <row r="5" spans="1:37" x14ac:dyDescent="0.3">
      <c r="A5" s="11" t="s">
        <v>39</v>
      </c>
      <c r="B5" s="8">
        <v>5.3</v>
      </c>
      <c r="C5" s="8">
        <v>7.3</v>
      </c>
      <c r="D5" s="8">
        <v>2.5</v>
      </c>
      <c r="E5" s="8">
        <v>2.1</v>
      </c>
      <c r="F5" s="8">
        <v>4.5</v>
      </c>
      <c r="G5" s="8">
        <v>0.2</v>
      </c>
      <c r="H5" s="8">
        <v>3.4</v>
      </c>
      <c r="I5" s="8">
        <v>3.5</v>
      </c>
      <c r="J5" s="8">
        <v>6.2</v>
      </c>
      <c r="K5" s="8">
        <v>3</v>
      </c>
      <c r="L5" s="8">
        <v>-1.6</v>
      </c>
      <c r="M5" s="8">
        <v>6.3</v>
      </c>
      <c r="N5" s="8">
        <v>-2</v>
      </c>
      <c r="O5" s="8">
        <v>4.5999999999999996</v>
      </c>
      <c r="P5" s="8">
        <v>5</v>
      </c>
      <c r="Q5" s="8">
        <v>-1</v>
      </c>
      <c r="R5" s="8">
        <v>-1</v>
      </c>
      <c r="S5" s="8">
        <v>3.8</v>
      </c>
      <c r="T5" s="8">
        <v>3.9</v>
      </c>
      <c r="U5" s="8">
        <v>2.8</v>
      </c>
      <c r="V5" s="8">
        <v>-2</v>
      </c>
      <c r="W5" s="8">
        <v>0.4</v>
      </c>
      <c r="X5" s="8">
        <v>-1.2</v>
      </c>
      <c r="Y5" s="8">
        <v>3.2</v>
      </c>
      <c r="Z5" s="8">
        <v>2.5</v>
      </c>
      <c r="AA5" s="8">
        <v>-10.1</v>
      </c>
      <c r="AB5" s="8">
        <v>7.3</v>
      </c>
      <c r="AC5" s="8">
        <v>2.2000000000000002</v>
      </c>
      <c r="AD5" s="8">
        <v>1.7</v>
      </c>
      <c r="AE5" s="8">
        <v>1.1000000000000001</v>
      </c>
      <c r="AF5" s="8">
        <v>0.2</v>
      </c>
      <c r="AG5" s="8">
        <v>1</v>
      </c>
      <c r="AH5" s="8">
        <v>1</v>
      </c>
      <c r="AI5" s="8">
        <v>1.2</v>
      </c>
      <c r="AJ5" s="8">
        <v>0.8</v>
      </c>
      <c r="AK5" s="8">
        <v>1</v>
      </c>
    </row>
    <row r="6" spans="1:37" x14ac:dyDescent="0.3">
      <c r="A6" s="11" t="s">
        <v>40</v>
      </c>
      <c r="B6" s="8">
        <v>0.7</v>
      </c>
      <c r="C6" s="8">
        <v>2.4</v>
      </c>
      <c r="D6" s="8">
        <v>-1.8</v>
      </c>
      <c r="E6" s="8">
        <v>1.5</v>
      </c>
      <c r="F6" s="8">
        <v>3.1</v>
      </c>
      <c r="G6" s="8">
        <v>1.1000000000000001</v>
      </c>
      <c r="H6" s="8">
        <v>-1.2</v>
      </c>
      <c r="I6" s="8">
        <v>3.8</v>
      </c>
      <c r="J6" s="8">
        <v>7.4</v>
      </c>
      <c r="K6" s="8">
        <v>4.3</v>
      </c>
      <c r="L6" s="8">
        <v>3.7</v>
      </c>
      <c r="M6" s="8">
        <v>-2.7</v>
      </c>
      <c r="N6" s="8">
        <v>-0.7</v>
      </c>
      <c r="O6" s="8">
        <v>2</v>
      </c>
      <c r="P6" s="8">
        <v>2.2000000000000002</v>
      </c>
      <c r="Q6" s="8">
        <v>-1.8</v>
      </c>
      <c r="R6" s="8">
        <v>1</v>
      </c>
      <c r="S6" s="8">
        <v>1</v>
      </c>
      <c r="T6" s="8">
        <v>-0.1</v>
      </c>
      <c r="U6" s="8">
        <v>2.2000000000000002</v>
      </c>
      <c r="V6" s="8">
        <v>-1.2</v>
      </c>
      <c r="W6" s="8">
        <v>-1.2</v>
      </c>
      <c r="X6" s="8">
        <v>0.8</v>
      </c>
      <c r="Y6" s="8">
        <v>1.6</v>
      </c>
      <c r="Z6" s="8">
        <v>-0.2</v>
      </c>
      <c r="AA6" s="8">
        <v>-2.1</v>
      </c>
      <c r="AB6" s="8">
        <v>-3.1</v>
      </c>
      <c r="AC6" s="8">
        <v>-1.8</v>
      </c>
      <c r="AD6" s="8">
        <v>2.6</v>
      </c>
      <c r="AE6" s="8">
        <v>2.6</v>
      </c>
      <c r="AF6" s="8">
        <v>1.6</v>
      </c>
      <c r="AG6" s="8">
        <v>0.8</v>
      </c>
      <c r="AH6" s="8">
        <v>0.8</v>
      </c>
      <c r="AI6" s="8">
        <v>0.6</v>
      </c>
      <c r="AJ6" s="8">
        <v>0.3</v>
      </c>
      <c r="AK6" s="8">
        <v>-0.2</v>
      </c>
    </row>
    <row r="7" spans="1:37" x14ac:dyDescent="0.3">
      <c r="A7" s="11" t="s">
        <v>41</v>
      </c>
      <c r="B7" s="8">
        <v>-0.9</v>
      </c>
      <c r="C7" s="8">
        <v>1.1000000000000001</v>
      </c>
      <c r="D7" s="8">
        <v>0.3</v>
      </c>
      <c r="E7" s="8">
        <v>2.5</v>
      </c>
      <c r="F7" s="8">
        <v>-1</v>
      </c>
      <c r="G7" s="8">
        <v>1</v>
      </c>
      <c r="H7" s="8">
        <v>0.4</v>
      </c>
      <c r="I7" s="8">
        <v>0.3</v>
      </c>
      <c r="J7" s="8">
        <v>2.2000000000000002</v>
      </c>
      <c r="K7" s="8">
        <v>1.6</v>
      </c>
      <c r="L7" s="8">
        <v>0.7</v>
      </c>
      <c r="M7" s="8">
        <v>1.1000000000000001</v>
      </c>
      <c r="N7" s="8">
        <v>0</v>
      </c>
      <c r="O7" s="8">
        <v>-1.4</v>
      </c>
      <c r="P7" s="8">
        <v>-0.1</v>
      </c>
      <c r="Q7" s="8">
        <v>0.2</v>
      </c>
      <c r="R7" s="8">
        <v>-0.2</v>
      </c>
      <c r="S7" s="8">
        <v>-0.1</v>
      </c>
      <c r="T7" s="8">
        <v>1.6</v>
      </c>
      <c r="U7" s="8">
        <v>0.7</v>
      </c>
      <c r="V7" s="8">
        <v>-0.1</v>
      </c>
      <c r="W7" s="8">
        <v>-0.2</v>
      </c>
      <c r="X7" s="8">
        <v>0.9</v>
      </c>
      <c r="Y7" s="8">
        <v>0.6</v>
      </c>
      <c r="Z7" s="8">
        <v>6.4</v>
      </c>
      <c r="AA7" s="8">
        <v>-0.7</v>
      </c>
      <c r="AB7" s="8">
        <v>-1.8</v>
      </c>
      <c r="AC7" s="8">
        <v>1</v>
      </c>
      <c r="AD7" s="8">
        <v>1.3</v>
      </c>
      <c r="AE7" s="8">
        <v>0.2</v>
      </c>
      <c r="AF7" s="8">
        <v>0.4</v>
      </c>
      <c r="AG7" s="8">
        <v>0.1</v>
      </c>
      <c r="AH7" s="8">
        <v>0.2</v>
      </c>
      <c r="AI7" s="8">
        <v>0.3</v>
      </c>
      <c r="AJ7" s="8">
        <v>0.1</v>
      </c>
      <c r="AK7" s="8">
        <v>0.1</v>
      </c>
    </row>
    <row r="8" spans="1:37" x14ac:dyDescent="0.3">
      <c r="A8" s="7" t="s">
        <v>42</v>
      </c>
      <c r="B8" s="8">
        <v>-2.8</v>
      </c>
      <c r="C8" s="8">
        <v>-0.3</v>
      </c>
      <c r="D8" s="8">
        <v>3.2</v>
      </c>
      <c r="E8" s="8">
        <v>1</v>
      </c>
      <c r="F8" s="8">
        <v>4.5999999999999996</v>
      </c>
      <c r="G8" s="8">
        <v>1.7</v>
      </c>
      <c r="H8" s="8">
        <v>5.7</v>
      </c>
      <c r="I8" s="8">
        <v>3.3</v>
      </c>
      <c r="J8" s="8">
        <v>2.2999999999999998</v>
      </c>
      <c r="K8" s="8">
        <v>4.2</v>
      </c>
      <c r="L8" s="8">
        <v>-0.2</v>
      </c>
      <c r="M8" s="8">
        <v>2</v>
      </c>
      <c r="N8" s="8">
        <v>2.7</v>
      </c>
      <c r="O8" s="8">
        <v>-0.1</v>
      </c>
      <c r="P8" s="8">
        <v>4.3</v>
      </c>
      <c r="Q8" s="8">
        <v>-0.5</v>
      </c>
      <c r="R8" s="8">
        <v>4.0999999999999996</v>
      </c>
      <c r="S8" s="8">
        <v>0.6</v>
      </c>
      <c r="T8" s="8">
        <v>4.5</v>
      </c>
      <c r="U8" s="8">
        <v>4.3</v>
      </c>
      <c r="V8" s="8">
        <v>-1.4</v>
      </c>
      <c r="W8" s="8">
        <v>0.9</v>
      </c>
      <c r="X8" s="8">
        <v>1.3</v>
      </c>
      <c r="Y8" s="8">
        <v>-0.9</v>
      </c>
      <c r="Z8" s="8">
        <v>-0.7</v>
      </c>
      <c r="AA8" s="8">
        <v>-0.7</v>
      </c>
      <c r="AB8" s="8">
        <v>0.4</v>
      </c>
      <c r="AC8" s="8">
        <v>0.8</v>
      </c>
      <c r="AD8" s="8">
        <v>-1.2</v>
      </c>
      <c r="AE8" s="8">
        <v>0.5</v>
      </c>
      <c r="AF8" s="8">
        <v>0.8</v>
      </c>
      <c r="AG8" s="8">
        <v>0.4</v>
      </c>
      <c r="AH8" s="8">
        <v>0.4</v>
      </c>
      <c r="AI8" s="8">
        <v>0.6</v>
      </c>
      <c r="AJ8" s="8">
        <v>0.5</v>
      </c>
      <c r="AK8" s="8">
        <v>0.6</v>
      </c>
    </row>
    <row r="9" spans="1:37" x14ac:dyDescent="0.3">
      <c r="A9" s="7" t="s">
        <v>43</v>
      </c>
      <c r="B9" s="8">
        <v>-0.9</v>
      </c>
      <c r="C9" s="8">
        <v>1.3</v>
      </c>
      <c r="D9" s="8">
        <v>-3.5</v>
      </c>
      <c r="E9" s="8">
        <v>3.8</v>
      </c>
      <c r="F9" s="8">
        <v>-4.7</v>
      </c>
      <c r="G9" s="8">
        <v>3.7</v>
      </c>
      <c r="H9" s="8">
        <v>1.7</v>
      </c>
      <c r="I9" s="8">
        <v>5.2</v>
      </c>
      <c r="J9" s="8">
        <v>4.2</v>
      </c>
      <c r="K9" s="8">
        <v>-1.6</v>
      </c>
      <c r="L9" s="8">
        <v>2.2000000000000002</v>
      </c>
      <c r="M9" s="8">
        <v>4.4000000000000004</v>
      </c>
      <c r="N9" s="8">
        <v>1.3</v>
      </c>
      <c r="O9" s="8">
        <v>-2.2999999999999998</v>
      </c>
      <c r="P9" s="8">
        <v>4</v>
      </c>
      <c r="Q9" s="8">
        <v>1.3</v>
      </c>
      <c r="R9" s="8">
        <v>-2.2000000000000002</v>
      </c>
      <c r="S9" s="8">
        <v>0.9</v>
      </c>
      <c r="T9" s="8">
        <v>1.7</v>
      </c>
      <c r="U9" s="8">
        <v>0.1</v>
      </c>
      <c r="V9" s="8">
        <v>0.3</v>
      </c>
      <c r="W9" s="8">
        <v>-4.2</v>
      </c>
      <c r="X9" s="8">
        <v>0.5</v>
      </c>
      <c r="Y9" s="8">
        <v>1.2</v>
      </c>
      <c r="Z9" s="8">
        <v>8.8000000000000007</v>
      </c>
      <c r="AA9" s="8">
        <v>3.3</v>
      </c>
      <c r="AB9" s="8">
        <v>-6.1</v>
      </c>
      <c r="AC9" s="8">
        <v>0.3</v>
      </c>
      <c r="AD9" s="8">
        <v>1.3</v>
      </c>
      <c r="AE9" s="8">
        <v>-0.1</v>
      </c>
      <c r="AF9" s="8">
        <v>-0.1</v>
      </c>
      <c r="AG9" s="8">
        <v>0.3</v>
      </c>
      <c r="AH9" s="8">
        <v>0.5</v>
      </c>
      <c r="AI9" s="8">
        <v>0.6</v>
      </c>
      <c r="AJ9" s="8">
        <v>0.4</v>
      </c>
      <c r="AK9" s="8">
        <v>0.6</v>
      </c>
    </row>
    <row r="10" spans="1:37" x14ac:dyDescent="0.3">
      <c r="A10" s="7" t="s">
        <v>44</v>
      </c>
      <c r="B10" s="8">
        <v>4</v>
      </c>
      <c r="C10" s="8">
        <v>6.3</v>
      </c>
      <c r="D10" s="8">
        <v>3</v>
      </c>
      <c r="E10" s="8">
        <v>15</v>
      </c>
      <c r="F10" s="8">
        <v>-0.5</v>
      </c>
      <c r="G10" s="8">
        <v>-0.6</v>
      </c>
      <c r="H10" s="8">
        <v>6.3</v>
      </c>
      <c r="I10" s="8">
        <v>-7.8</v>
      </c>
      <c r="J10" s="8">
        <v>9</v>
      </c>
      <c r="K10" s="8">
        <v>5.5</v>
      </c>
      <c r="L10" s="8">
        <v>9.6999999999999993</v>
      </c>
      <c r="M10" s="8">
        <v>-3.2</v>
      </c>
      <c r="N10" s="8">
        <v>-1.7</v>
      </c>
      <c r="O10" s="8">
        <v>15.2</v>
      </c>
      <c r="P10" s="8">
        <v>8.1</v>
      </c>
      <c r="Q10" s="8">
        <v>-3.3</v>
      </c>
      <c r="R10" s="8">
        <v>10</v>
      </c>
      <c r="S10" s="8">
        <v>-2.8</v>
      </c>
      <c r="T10" s="8">
        <v>4.0999999999999996</v>
      </c>
      <c r="U10" s="8">
        <v>5</v>
      </c>
      <c r="V10" s="8">
        <v>1.5</v>
      </c>
      <c r="W10" s="8">
        <v>4.7</v>
      </c>
      <c r="X10" s="8">
        <v>3.8</v>
      </c>
      <c r="Y10" s="8">
        <v>4.0999999999999996</v>
      </c>
      <c r="Z10" s="8">
        <v>-0.5</v>
      </c>
      <c r="AA10" s="8">
        <v>3.1</v>
      </c>
      <c r="AB10" s="8">
        <v>-6.9</v>
      </c>
      <c r="AC10" s="8">
        <v>-0.5</v>
      </c>
      <c r="AD10" s="8">
        <v>-1.1000000000000001</v>
      </c>
      <c r="AE10" s="8">
        <v>-0.1</v>
      </c>
      <c r="AF10" s="8">
        <v>3.1</v>
      </c>
      <c r="AG10" s="8">
        <v>2.5</v>
      </c>
      <c r="AH10" s="8">
        <v>2.1</v>
      </c>
      <c r="AI10" s="8">
        <v>2.2999999999999998</v>
      </c>
      <c r="AJ10" s="8">
        <v>2.2000000000000002</v>
      </c>
      <c r="AK10" s="8">
        <v>2.1</v>
      </c>
    </row>
    <row r="11" spans="1:37" x14ac:dyDescent="0.3">
      <c r="A11" s="7" t="s">
        <v>45</v>
      </c>
      <c r="B11" s="8">
        <v>1.1000000000000001</v>
      </c>
      <c r="C11" s="8">
        <v>0.7</v>
      </c>
      <c r="D11" s="8">
        <v>4.5</v>
      </c>
      <c r="E11" s="8">
        <v>2.6</v>
      </c>
      <c r="F11" s="8">
        <v>-0.7</v>
      </c>
      <c r="G11" s="8">
        <v>0</v>
      </c>
      <c r="H11" s="8">
        <v>-1.5</v>
      </c>
      <c r="I11" s="8">
        <v>-0.6</v>
      </c>
      <c r="J11" s="8">
        <v>1.4</v>
      </c>
      <c r="K11" s="8">
        <v>-2.8</v>
      </c>
      <c r="L11" s="8">
        <v>-2.5</v>
      </c>
      <c r="M11" s="8">
        <v>0.1</v>
      </c>
      <c r="N11" s="8">
        <v>-0.2</v>
      </c>
      <c r="O11" s="8">
        <v>2.2000000000000002</v>
      </c>
      <c r="P11" s="8">
        <v>0.7</v>
      </c>
      <c r="Q11" s="8">
        <v>0.9</v>
      </c>
      <c r="R11" s="8">
        <v>1</v>
      </c>
      <c r="S11" s="8">
        <v>-1.3</v>
      </c>
      <c r="T11" s="8">
        <v>0.2</v>
      </c>
      <c r="U11" s="8">
        <v>-3.1</v>
      </c>
      <c r="V11" s="8">
        <v>-0.1</v>
      </c>
      <c r="W11" s="8">
        <v>-1.5</v>
      </c>
      <c r="X11" s="8">
        <v>1.2</v>
      </c>
      <c r="Y11" s="8">
        <v>-1.1000000000000001</v>
      </c>
      <c r="Z11" s="8">
        <v>-3.9</v>
      </c>
      <c r="AA11" s="8">
        <v>8.3000000000000007</v>
      </c>
      <c r="AB11" s="8">
        <v>5</v>
      </c>
      <c r="AC11" s="8">
        <v>4.5999999999999996</v>
      </c>
      <c r="AD11" s="8">
        <v>3.3</v>
      </c>
      <c r="AE11" s="8">
        <v>1.2</v>
      </c>
      <c r="AF11" s="8">
        <v>0.7</v>
      </c>
      <c r="AG11" s="8">
        <v>-0.1</v>
      </c>
      <c r="AH11" s="8">
        <v>-0.1</v>
      </c>
      <c r="AI11" s="8">
        <v>-0.4</v>
      </c>
      <c r="AJ11" s="8">
        <v>-0.2</v>
      </c>
      <c r="AK11" s="8">
        <v>-0.1</v>
      </c>
    </row>
    <row r="12" spans="1:37" x14ac:dyDescent="0.3">
      <c r="A12" s="7" t="s">
        <v>46</v>
      </c>
      <c r="B12" s="8">
        <v>-3.2</v>
      </c>
      <c r="C12" s="8">
        <v>-0.7</v>
      </c>
      <c r="D12" s="8">
        <v>-1.6</v>
      </c>
      <c r="E12" s="8">
        <v>-0.9</v>
      </c>
      <c r="F12" s="8">
        <v>-1.7</v>
      </c>
      <c r="G12" s="8">
        <v>-0.3</v>
      </c>
      <c r="H12" s="8">
        <v>-1.7</v>
      </c>
      <c r="I12" s="8">
        <v>-1</v>
      </c>
      <c r="J12" s="8">
        <v>-0.4</v>
      </c>
      <c r="K12" s="8">
        <v>3.3</v>
      </c>
      <c r="L12" s="8">
        <v>-1</v>
      </c>
      <c r="M12" s="8">
        <v>0.2</v>
      </c>
      <c r="N12" s="8">
        <v>-1</v>
      </c>
      <c r="O12" s="8">
        <v>-5.3</v>
      </c>
      <c r="P12" s="8">
        <v>-4.9000000000000004</v>
      </c>
      <c r="Q12" s="8">
        <v>0.9</v>
      </c>
      <c r="R12" s="8">
        <v>-2.1</v>
      </c>
      <c r="S12" s="8">
        <v>0.6</v>
      </c>
      <c r="T12" s="8">
        <v>1</v>
      </c>
      <c r="U12" s="8">
        <v>0.6</v>
      </c>
      <c r="V12" s="8">
        <v>0.4</v>
      </c>
      <c r="W12" s="8">
        <v>1.3</v>
      </c>
      <c r="X12" s="8">
        <v>0.9</v>
      </c>
      <c r="Y12" s="8">
        <v>0.9</v>
      </c>
      <c r="Z12" s="8">
        <v>10.7</v>
      </c>
      <c r="AA12" s="8">
        <v>-4.2</v>
      </c>
      <c r="AB12" s="8">
        <v>-0.3</v>
      </c>
      <c r="AC12" s="8">
        <v>0.8</v>
      </c>
      <c r="AD12" s="8">
        <v>1.8</v>
      </c>
      <c r="AE12" s="8">
        <v>0</v>
      </c>
      <c r="AF12" s="8">
        <v>0.2</v>
      </c>
      <c r="AG12" s="8">
        <v>-0.2</v>
      </c>
      <c r="AH12" s="8">
        <v>0</v>
      </c>
      <c r="AI12" s="8">
        <v>0.2</v>
      </c>
      <c r="AJ12" s="8">
        <v>-0.1</v>
      </c>
      <c r="AK12" s="8">
        <v>-0.1</v>
      </c>
    </row>
    <row r="13" spans="1:37" x14ac:dyDescent="0.3">
      <c r="A13" s="11" t="s">
        <v>13</v>
      </c>
      <c r="B13" s="8">
        <v>0.9</v>
      </c>
      <c r="C13" s="8">
        <v>2.8</v>
      </c>
      <c r="D13" s="8">
        <v>0.8</v>
      </c>
      <c r="E13" s="8">
        <v>2</v>
      </c>
      <c r="F13" s="8">
        <v>0.8</v>
      </c>
      <c r="G13" s="8">
        <v>0.8</v>
      </c>
      <c r="H13" s="8">
        <v>0.8</v>
      </c>
      <c r="I13" s="8">
        <v>1.1000000000000001</v>
      </c>
      <c r="J13" s="8">
        <v>3.4</v>
      </c>
      <c r="K13" s="8">
        <v>1.9</v>
      </c>
      <c r="L13" s="8">
        <v>0.2</v>
      </c>
      <c r="M13" s="8">
        <v>1.9</v>
      </c>
      <c r="N13" s="8">
        <v>-0.4</v>
      </c>
      <c r="O13" s="8">
        <v>-0.3</v>
      </c>
      <c r="P13" s="8">
        <v>1</v>
      </c>
      <c r="Q13" s="8">
        <v>-0.2</v>
      </c>
      <c r="R13" s="8">
        <v>-0.2</v>
      </c>
      <c r="S13" s="8">
        <v>0.5</v>
      </c>
      <c r="T13" s="8">
        <v>1.8</v>
      </c>
      <c r="U13" s="8">
        <v>1.2</v>
      </c>
      <c r="V13" s="8">
        <v>-0.7</v>
      </c>
      <c r="W13" s="8">
        <v>-0.1</v>
      </c>
      <c r="X13" s="8">
        <v>0.3</v>
      </c>
      <c r="Y13" s="8">
        <v>1.1000000000000001</v>
      </c>
      <c r="Z13" s="8">
        <v>5.0999999999999996</v>
      </c>
      <c r="AA13" s="8">
        <v>-2.6</v>
      </c>
      <c r="AB13" s="8">
        <v>-0.4</v>
      </c>
      <c r="AC13" s="8">
        <v>1.1000000000000001</v>
      </c>
      <c r="AD13" s="8">
        <v>1.4</v>
      </c>
      <c r="AE13" s="8">
        <v>0.4</v>
      </c>
      <c r="AF13" s="8">
        <v>0.4</v>
      </c>
      <c r="AG13" s="8">
        <v>0.2</v>
      </c>
      <c r="AH13" s="8">
        <v>0.3</v>
      </c>
      <c r="AI13" s="8">
        <v>0.4</v>
      </c>
      <c r="AJ13" s="8">
        <v>0.2</v>
      </c>
      <c r="AK13" s="8">
        <v>0.2</v>
      </c>
    </row>
    <row r="14" spans="1:37" x14ac:dyDescent="0.3">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sheetData>
  <mergeCells count="2">
    <mergeCell ref="A1:AK1"/>
    <mergeCell ref="A2:AK2"/>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272F-95C2-4F46-AEE2-C42506984B7E}">
  <dimension ref="A1:AK14"/>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5" style="1" bestFit="1" customWidth="1"/>
    <col min="38" max="16384" width="9.109375" style="1"/>
  </cols>
  <sheetData>
    <row r="1" spans="1:37" ht="15" customHeight="1" x14ac:dyDescent="0.3">
      <c r="A1" s="28" t="s">
        <v>36</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9" t="s">
        <v>37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12" t="s">
        <v>38</v>
      </c>
      <c r="B4" s="6">
        <v>2.6</v>
      </c>
      <c r="C4" s="6">
        <v>2.4</v>
      </c>
      <c r="D4" s="6">
        <v>-0.8</v>
      </c>
      <c r="E4" s="6">
        <v>4.5999999999999996</v>
      </c>
      <c r="F4" s="6">
        <v>-0.9</v>
      </c>
      <c r="G4" s="6">
        <v>5</v>
      </c>
      <c r="H4" s="6">
        <v>1.6</v>
      </c>
      <c r="I4" s="6">
        <v>2.4</v>
      </c>
      <c r="J4" s="6">
        <v>6.7</v>
      </c>
      <c r="K4" s="6">
        <v>-1.1000000000000001</v>
      </c>
      <c r="L4" s="6">
        <v>4.4000000000000004</v>
      </c>
      <c r="M4" s="6">
        <v>2.6</v>
      </c>
      <c r="N4" s="6">
        <v>2.6</v>
      </c>
      <c r="O4" s="6">
        <v>-0.7</v>
      </c>
      <c r="P4" s="6">
        <v>2.7</v>
      </c>
      <c r="Q4" s="6">
        <v>7.8</v>
      </c>
      <c r="R4" s="6">
        <v>3.9</v>
      </c>
      <c r="S4" s="6">
        <v>3.4</v>
      </c>
      <c r="T4" s="6">
        <v>4.0999999999999996</v>
      </c>
      <c r="U4" s="6">
        <v>-0.1</v>
      </c>
      <c r="V4" s="6">
        <v>3.6</v>
      </c>
      <c r="W4" s="6">
        <v>5.5</v>
      </c>
      <c r="X4" s="6">
        <v>2.9</v>
      </c>
      <c r="Y4" s="6">
        <v>5.9</v>
      </c>
      <c r="Z4" s="6">
        <v>-1.7</v>
      </c>
      <c r="AA4" s="6">
        <v>-2</v>
      </c>
      <c r="AB4" s="6">
        <v>12.1</v>
      </c>
      <c r="AC4" s="6">
        <v>7.1</v>
      </c>
      <c r="AD4" s="6">
        <v>6.8</v>
      </c>
      <c r="AE4" s="6">
        <v>2.6</v>
      </c>
      <c r="AF4" s="6">
        <v>4.4000000000000004</v>
      </c>
      <c r="AG4" s="6">
        <v>4</v>
      </c>
      <c r="AH4" s="6">
        <v>2.7</v>
      </c>
      <c r="AI4" s="6">
        <v>2</v>
      </c>
      <c r="AJ4" s="6">
        <v>2.1</v>
      </c>
      <c r="AK4" s="6">
        <v>2.1</v>
      </c>
    </row>
    <row r="5" spans="1:37" x14ac:dyDescent="0.3">
      <c r="A5" s="11" t="s">
        <v>39</v>
      </c>
      <c r="B5" s="8">
        <v>2.9</v>
      </c>
      <c r="C5" s="8">
        <v>4.5</v>
      </c>
      <c r="D5" s="8">
        <v>1.2</v>
      </c>
      <c r="E5" s="8">
        <v>3.7</v>
      </c>
      <c r="F5" s="8">
        <v>0.7</v>
      </c>
      <c r="G5" s="8">
        <v>3</v>
      </c>
      <c r="H5" s="8">
        <v>4.5999999999999996</v>
      </c>
      <c r="I5" s="8">
        <v>2</v>
      </c>
      <c r="J5" s="8">
        <v>3.2</v>
      </c>
      <c r="K5" s="8">
        <v>1.1000000000000001</v>
      </c>
      <c r="L5" s="8">
        <v>3</v>
      </c>
      <c r="M5" s="8">
        <v>4</v>
      </c>
      <c r="N5" s="8">
        <v>2</v>
      </c>
      <c r="O5" s="8">
        <v>-2.9</v>
      </c>
      <c r="P5" s="8">
        <v>2.5</v>
      </c>
      <c r="Q5" s="8">
        <v>3.5</v>
      </c>
      <c r="R5" s="8">
        <v>3.5</v>
      </c>
      <c r="S5" s="8">
        <v>3.2</v>
      </c>
      <c r="T5" s="8">
        <v>2.5</v>
      </c>
      <c r="U5" s="8">
        <v>0.2</v>
      </c>
      <c r="V5" s="8">
        <v>0.8</v>
      </c>
      <c r="W5" s="8">
        <v>2.6</v>
      </c>
      <c r="X5" s="8">
        <v>0.8</v>
      </c>
      <c r="Y5" s="8">
        <v>2.2000000000000002</v>
      </c>
      <c r="Z5" s="8">
        <v>-2.9</v>
      </c>
      <c r="AA5" s="8">
        <v>5.2</v>
      </c>
      <c r="AB5" s="8">
        <v>6.5</v>
      </c>
      <c r="AC5" s="8">
        <v>6.4</v>
      </c>
      <c r="AD5" s="8">
        <v>4</v>
      </c>
      <c r="AE5" s="8">
        <v>3.7</v>
      </c>
      <c r="AF5" s="8">
        <v>3.3</v>
      </c>
      <c r="AG5" s="8">
        <v>4</v>
      </c>
      <c r="AH5" s="8">
        <v>2.5</v>
      </c>
      <c r="AI5" s="8">
        <v>2.1</v>
      </c>
      <c r="AJ5" s="8">
        <v>2.1</v>
      </c>
      <c r="AK5" s="8">
        <v>2.1</v>
      </c>
    </row>
    <row r="6" spans="1:37" x14ac:dyDescent="0.3">
      <c r="A6" s="11" t="s">
        <v>40</v>
      </c>
      <c r="B6" s="8">
        <v>-0.7</v>
      </c>
      <c r="C6" s="8">
        <v>3.3</v>
      </c>
      <c r="D6" s="8">
        <v>1.2</v>
      </c>
      <c r="E6" s="8">
        <v>7.1</v>
      </c>
      <c r="F6" s="8">
        <v>1.8</v>
      </c>
      <c r="G6" s="8">
        <v>1.5</v>
      </c>
      <c r="H6" s="8">
        <v>3.5</v>
      </c>
      <c r="I6" s="8">
        <v>2.6</v>
      </c>
      <c r="J6" s="8">
        <v>3.4</v>
      </c>
      <c r="K6" s="8">
        <v>-0.2</v>
      </c>
      <c r="L6" s="8">
        <v>3.6</v>
      </c>
      <c r="M6" s="8">
        <v>2.9</v>
      </c>
      <c r="N6" s="8">
        <v>3.9</v>
      </c>
      <c r="O6" s="8">
        <v>1.3</v>
      </c>
      <c r="P6" s="8">
        <v>-0.6</v>
      </c>
      <c r="Q6" s="8">
        <v>5.9</v>
      </c>
      <c r="R6" s="8">
        <v>2.4</v>
      </c>
      <c r="S6" s="8">
        <v>1.6</v>
      </c>
      <c r="T6" s="8">
        <v>3.3</v>
      </c>
      <c r="U6" s="8">
        <v>0.6</v>
      </c>
      <c r="V6" s="8">
        <v>1.7</v>
      </c>
      <c r="W6" s="8">
        <v>2.1</v>
      </c>
      <c r="X6" s="8">
        <v>4.0999999999999996</v>
      </c>
      <c r="Y6" s="8">
        <v>1.6</v>
      </c>
      <c r="Z6" s="8">
        <v>-5.8</v>
      </c>
      <c r="AA6" s="8">
        <v>7.3</v>
      </c>
      <c r="AB6" s="8">
        <v>6.4</v>
      </c>
      <c r="AC6" s="8">
        <v>8.6</v>
      </c>
      <c r="AD6" s="8">
        <v>4.9000000000000004</v>
      </c>
      <c r="AE6" s="8">
        <v>4.8</v>
      </c>
      <c r="AF6" s="8">
        <v>1.5</v>
      </c>
      <c r="AG6" s="8">
        <v>3.6</v>
      </c>
      <c r="AH6" s="8">
        <v>2.5</v>
      </c>
      <c r="AI6" s="8">
        <v>2.2000000000000002</v>
      </c>
      <c r="AJ6" s="8">
        <v>2.2000000000000002</v>
      </c>
      <c r="AK6" s="8">
        <v>2.2000000000000002</v>
      </c>
    </row>
    <row r="7" spans="1:37" x14ac:dyDescent="0.3">
      <c r="A7" s="11" t="s">
        <v>41</v>
      </c>
      <c r="B7" s="8">
        <v>0.9</v>
      </c>
      <c r="C7" s="8">
        <v>2.5</v>
      </c>
      <c r="D7" s="8">
        <v>1.2</v>
      </c>
      <c r="E7" s="8">
        <v>3.5</v>
      </c>
      <c r="F7" s="8">
        <v>2.4</v>
      </c>
      <c r="G7" s="8">
        <v>4.2</v>
      </c>
      <c r="H7" s="8">
        <v>4</v>
      </c>
      <c r="I7" s="8">
        <v>1.4</v>
      </c>
      <c r="J7" s="8">
        <v>1.2</v>
      </c>
      <c r="K7" s="8">
        <v>1.3</v>
      </c>
      <c r="L7" s="8">
        <v>2.8</v>
      </c>
      <c r="M7" s="8">
        <v>2.7</v>
      </c>
      <c r="N7" s="8">
        <v>3.3</v>
      </c>
      <c r="O7" s="8">
        <v>1.5</v>
      </c>
      <c r="P7" s="8">
        <v>0</v>
      </c>
      <c r="Q7" s="8">
        <v>2</v>
      </c>
      <c r="R7" s="8">
        <v>3</v>
      </c>
      <c r="S7" s="8">
        <v>2.1</v>
      </c>
      <c r="T7" s="8">
        <v>0.2</v>
      </c>
      <c r="U7" s="8">
        <v>0.1</v>
      </c>
      <c r="V7" s="8">
        <v>0.1</v>
      </c>
      <c r="W7" s="8">
        <v>2</v>
      </c>
      <c r="X7" s="8">
        <v>1.7</v>
      </c>
      <c r="Y7" s="8">
        <v>2</v>
      </c>
      <c r="Z7" s="8">
        <v>-3.3</v>
      </c>
      <c r="AA7" s="8">
        <v>6.2</v>
      </c>
      <c r="AB7" s="8">
        <v>8.6</v>
      </c>
      <c r="AC7" s="8">
        <v>8.3000000000000007</v>
      </c>
      <c r="AD7" s="8">
        <v>2.6</v>
      </c>
      <c r="AE7" s="8">
        <v>3.2</v>
      </c>
      <c r="AF7" s="8">
        <v>2.7</v>
      </c>
      <c r="AG7" s="8">
        <v>3.9</v>
      </c>
      <c r="AH7" s="8">
        <v>2.4</v>
      </c>
      <c r="AI7" s="8">
        <v>2.1</v>
      </c>
      <c r="AJ7" s="8">
        <v>2.1</v>
      </c>
      <c r="AK7" s="8">
        <v>2</v>
      </c>
    </row>
    <row r="8" spans="1:37" x14ac:dyDescent="0.3">
      <c r="A8" s="7" t="s">
        <v>42</v>
      </c>
      <c r="B8" s="8">
        <v>0.1</v>
      </c>
      <c r="C8" s="8">
        <v>5.7</v>
      </c>
      <c r="D8" s="8">
        <v>1.6</v>
      </c>
      <c r="E8" s="8">
        <v>5.7</v>
      </c>
      <c r="F8" s="8">
        <v>2.8</v>
      </c>
      <c r="G8" s="8">
        <v>2.6</v>
      </c>
      <c r="H8" s="8">
        <v>5.3</v>
      </c>
      <c r="I8" s="8">
        <v>2.7</v>
      </c>
      <c r="J8" s="8">
        <v>3.4</v>
      </c>
      <c r="K8" s="8">
        <v>0.4</v>
      </c>
      <c r="L8" s="8">
        <v>2.6</v>
      </c>
      <c r="M8" s="8">
        <v>1.8</v>
      </c>
      <c r="N8" s="8">
        <v>4</v>
      </c>
      <c r="O8" s="8">
        <v>1.6</v>
      </c>
      <c r="P8" s="8">
        <v>1.6</v>
      </c>
      <c r="Q8" s="8">
        <v>1.2</v>
      </c>
      <c r="R8" s="8">
        <v>3.6</v>
      </c>
      <c r="S8" s="8">
        <v>3</v>
      </c>
      <c r="T8" s="8">
        <v>-0.3</v>
      </c>
      <c r="U8" s="8">
        <v>0</v>
      </c>
      <c r="V8" s="8">
        <v>-0.3</v>
      </c>
      <c r="W8" s="8">
        <v>2.6</v>
      </c>
      <c r="X8" s="8">
        <v>2</v>
      </c>
      <c r="Y8" s="8">
        <v>2.4</v>
      </c>
      <c r="Z8" s="8">
        <v>-1.8</v>
      </c>
      <c r="AA8" s="8">
        <v>4</v>
      </c>
      <c r="AB8" s="8">
        <v>7.7</v>
      </c>
      <c r="AC8" s="8">
        <v>6.5</v>
      </c>
      <c r="AD8" s="8">
        <v>4.0999999999999996</v>
      </c>
      <c r="AE8" s="8">
        <v>2.6</v>
      </c>
      <c r="AF8" s="8">
        <v>2.7</v>
      </c>
      <c r="AG8" s="8">
        <v>3.7</v>
      </c>
      <c r="AH8" s="8">
        <v>2.2999999999999998</v>
      </c>
      <c r="AI8" s="8">
        <v>2</v>
      </c>
      <c r="AJ8" s="8">
        <v>2.1</v>
      </c>
      <c r="AK8" s="8">
        <v>2</v>
      </c>
    </row>
    <row r="9" spans="1:37" x14ac:dyDescent="0.3">
      <c r="A9" s="7" t="s">
        <v>43</v>
      </c>
      <c r="B9" s="8">
        <v>0.7</v>
      </c>
      <c r="C9" s="8">
        <v>1.6</v>
      </c>
      <c r="D9" s="8">
        <v>1.9</v>
      </c>
      <c r="E9" s="8">
        <v>3.1</v>
      </c>
      <c r="F9" s="8">
        <v>1.9</v>
      </c>
      <c r="G9" s="8">
        <v>3.4</v>
      </c>
      <c r="H9" s="8">
        <v>6.8</v>
      </c>
      <c r="I9" s="8">
        <v>2.1</v>
      </c>
      <c r="J9" s="8">
        <v>1.5</v>
      </c>
      <c r="K9" s="8">
        <v>1.1000000000000001</v>
      </c>
      <c r="L9" s="8">
        <v>4.4000000000000004</v>
      </c>
      <c r="M9" s="8">
        <v>3.9</v>
      </c>
      <c r="N9" s="8">
        <v>4.2</v>
      </c>
      <c r="O9" s="8">
        <v>2.7</v>
      </c>
      <c r="P9" s="8">
        <v>1.8</v>
      </c>
      <c r="Q9" s="8">
        <v>1.7</v>
      </c>
      <c r="R9" s="8">
        <v>3.4</v>
      </c>
      <c r="S9" s="8">
        <v>2.2999999999999998</v>
      </c>
      <c r="T9" s="8">
        <v>0.8</v>
      </c>
      <c r="U9" s="8">
        <v>1.4</v>
      </c>
      <c r="V9" s="8">
        <v>0.4</v>
      </c>
      <c r="W9" s="8">
        <v>1.2</v>
      </c>
      <c r="X9" s="8">
        <v>1.3</v>
      </c>
      <c r="Y9" s="8">
        <v>2.4</v>
      </c>
      <c r="Z9" s="8">
        <v>-8.1</v>
      </c>
      <c r="AA9" s="8">
        <v>10.4</v>
      </c>
      <c r="AB9" s="8">
        <v>8.6999999999999993</v>
      </c>
      <c r="AC9" s="8">
        <v>8.8000000000000007</v>
      </c>
      <c r="AD9" s="8">
        <v>2.7</v>
      </c>
      <c r="AE9" s="8">
        <v>2.1</v>
      </c>
      <c r="AF9" s="8">
        <v>2.5</v>
      </c>
      <c r="AG9" s="8">
        <v>4</v>
      </c>
      <c r="AH9" s="8">
        <v>2.5</v>
      </c>
      <c r="AI9" s="8">
        <v>2.2000000000000002</v>
      </c>
      <c r="AJ9" s="8">
        <v>2.2000000000000002</v>
      </c>
      <c r="AK9" s="8">
        <v>2.1</v>
      </c>
    </row>
    <row r="10" spans="1:37" x14ac:dyDescent="0.3">
      <c r="A10" s="7" t="s">
        <v>44</v>
      </c>
      <c r="B10" s="8">
        <v>2.7</v>
      </c>
      <c r="C10" s="8">
        <v>2.2999999999999998</v>
      </c>
      <c r="D10" s="8">
        <v>-1.5</v>
      </c>
      <c r="E10" s="8">
        <v>5.5</v>
      </c>
      <c r="F10" s="8">
        <v>1.8</v>
      </c>
      <c r="G10" s="8">
        <v>2.1</v>
      </c>
      <c r="H10" s="8">
        <v>3</v>
      </c>
      <c r="I10" s="8">
        <v>0.9</v>
      </c>
      <c r="J10" s="8">
        <v>1.4</v>
      </c>
      <c r="K10" s="8">
        <v>2.1</v>
      </c>
      <c r="L10" s="8">
        <v>3</v>
      </c>
      <c r="M10" s="8">
        <v>3.9</v>
      </c>
      <c r="N10" s="8">
        <v>4.5</v>
      </c>
      <c r="O10" s="8">
        <v>0.7</v>
      </c>
      <c r="P10" s="8">
        <v>-0.6</v>
      </c>
      <c r="Q10" s="8">
        <v>4.0999999999999996</v>
      </c>
      <c r="R10" s="8">
        <v>2.7</v>
      </c>
      <c r="S10" s="8">
        <v>1.9</v>
      </c>
      <c r="T10" s="8">
        <v>0.8</v>
      </c>
      <c r="U10" s="8">
        <v>0.1</v>
      </c>
      <c r="V10" s="8">
        <v>0.5</v>
      </c>
      <c r="W10" s="8">
        <v>2.1</v>
      </c>
      <c r="X10" s="8">
        <v>5</v>
      </c>
      <c r="Y10" s="8">
        <v>1</v>
      </c>
      <c r="Z10" s="8">
        <v>-0.1</v>
      </c>
      <c r="AA10" s="8">
        <v>2.8</v>
      </c>
      <c r="AB10" s="8">
        <v>7.6</v>
      </c>
      <c r="AC10" s="8">
        <v>9.8000000000000007</v>
      </c>
      <c r="AD10" s="8">
        <v>1.5</v>
      </c>
      <c r="AE10" s="8">
        <v>4.0999999999999996</v>
      </c>
      <c r="AF10" s="8">
        <v>3.2</v>
      </c>
      <c r="AG10" s="8">
        <v>3.9</v>
      </c>
      <c r="AH10" s="8">
        <v>2.4</v>
      </c>
      <c r="AI10" s="8">
        <v>2.2000000000000002</v>
      </c>
      <c r="AJ10" s="8">
        <v>2.2000000000000002</v>
      </c>
      <c r="AK10" s="8">
        <v>2.1</v>
      </c>
    </row>
    <row r="11" spans="1:37" x14ac:dyDescent="0.3">
      <c r="A11" s="7" t="s">
        <v>45</v>
      </c>
      <c r="B11" s="8">
        <v>1.6</v>
      </c>
      <c r="C11" s="8">
        <v>0.6</v>
      </c>
      <c r="D11" s="8">
        <v>2.4</v>
      </c>
      <c r="E11" s="8">
        <v>0.6</v>
      </c>
      <c r="F11" s="8">
        <v>1.6</v>
      </c>
      <c r="G11" s="8">
        <v>2.8</v>
      </c>
      <c r="H11" s="8">
        <v>5.2</v>
      </c>
      <c r="I11" s="8">
        <v>0.6</v>
      </c>
      <c r="J11" s="8">
        <v>0.6</v>
      </c>
      <c r="K11" s="8">
        <v>1.7</v>
      </c>
      <c r="L11" s="8">
        <v>1.6</v>
      </c>
      <c r="M11" s="8">
        <v>2.1</v>
      </c>
      <c r="N11" s="8">
        <v>4.2</v>
      </c>
      <c r="O11" s="8">
        <v>1.9</v>
      </c>
      <c r="P11" s="8">
        <v>-0.1</v>
      </c>
      <c r="Q11" s="8">
        <v>3</v>
      </c>
      <c r="R11" s="8">
        <v>3.3</v>
      </c>
      <c r="S11" s="8">
        <v>2.7</v>
      </c>
      <c r="T11" s="8">
        <v>-0.1</v>
      </c>
      <c r="U11" s="8">
        <v>-0.6</v>
      </c>
      <c r="V11" s="8">
        <v>-0.1</v>
      </c>
      <c r="W11" s="8">
        <v>1.8</v>
      </c>
      <c r="X11" s="8">
        <v>1.2</v>
      </c>
      <c r="Y11" s="8">
        <v>1.1000000000000001</v>
      </c>
      <c r="Z11" s="8">
        <v>-0.5</v>
      </c>
      <c r="AA11" s="8">
        <v>4.2</v>
      </c>
      <c r="AB11" s="8">
        <v>9</v>
      </c>
      <c r="AC11" s="8">
        <v>7.1</v>
      </c>
      <c r="AD11" s="8">
        <v>4.5</v>
      </c>
      <c r="AE11" s="8">
        <v>3.6</v>
      </c>
      <c r="AF11" s="8">
        <v>2.5</v>
      </c>
      <c r="AG11" s="8">
        <v>4.0999999999999996</v>
      </c>
      <c r="AH11" s="8">
        <v>2.5</v>
      </c>
      <c r="AI11" s="8">
        <v>2</v>
      </c>
      <c r="AJ11" s="8">
        <v>1.9</v>
      </c>
      <c r="AK11" s="8">
        <v>1.9</v>
      </c>
    </row>
    <row r="12" spans="1:37" x14ac:dyDescent="0.3">
      <c r="A12" s="7" t="s">
        <v>46</v>
      </c>
      <c r="B12" s="8">
        <v>0.4</v>
      </c>
      <c r="C12" s="8">
        <v>3.5</v>
      </c>
      <c r="D12" s="8">
        <v>1.2</v>
      </c>
      <c r="E12" s="8">
        <v>4.3</v>
      </c>
      <c r="F12" s="8">
        <v>3.9</v>
      </c>
      <c r="G12" s="8">
        <v>8.4</v>
      </c>
      <c r="H12" s="8">
        <v>1.6</v>
      </c>
      <c r="I12" s="8">
        <v>1.5</v>
      </c>
      <c r="J12" s="8">
        <v>0.7</v>
      </c>
      <c r="K12" s="8">
        <v>2.1</v>
      </c>
      <c r="L12" s="8">
        <v>2.6</v>
      </c>
      <c r="M12" s="8">
        <v>2.4</v>
      </c>
      <c r="N12" s="8">
        <v>1.7</v>
      </c>
      <c r="O12" s="8">
        <v>0.7</v>
      </c>
      <c r="P12" s="8">
        <v>-1.4</v>
      </c>
      <c r="Q12" s="8">
        <v>2</v>
      </c>
      <c r="R12" s="8">
        <v>3</v>
      </c>
      <c r="S12" s="8">
        <v>1.8</v>
      </c>
      <c r="T12" s="8">
        <v>0.5</v>
      </c>
      <c r="U12" s="8">
        <v>-0.2</v>
      </c>
      <c r="V12" s="8">
        <v>0.7</v>
      </c>
      <c r="W12" s="8">
        <v>3</v>
      </c>
      <c r="X12" s="8">
        <v>1.9</v>
      </c>
      <c r="Y12" s="8">
        <v>2.5</v>
      </c>
      <c r="Z12" s="8">
        <v>-2.2999999999999998</v>
      </c>
      <c r="AA12" s="8">
        <v>6.3</v>
      </c>
      <c r="AB12" s="8">
        <v>9</v>
      </c>
      <c r="AC12" s="8">
        <v>9</v>
      </c>
      <c r="AD12" s="8">
        <v>1.4</v>
      </c>
      <c r="AE12" s="8">
        <v>3.8</v>
      </c>
      <c r="AF12" s="8">
        <v>3</v>
      </c>
      <c r="AG12" s="8">
        <v>4</v>
      </c>
      <c r="AH12" s="8">
        <v>2.7</v>
      </c>
      <c r="AI12" s="8">
        <v>2.4</v>
      </c>
      <c r="AJ12" s="8">
        <v>2.4</v>
      </c>
      <c r="AK12" s="8">
        <v>2.2999999999999998</v>
      </c>
    </row>
    <row r="13" spans="1:37" x14ac:dyDescent="0.3">
      <c r="A13" s="11" t="s">
        <v>13</v>
      </c>
      <c r="B13" s="8">
        <v>1.3</v>
      </c>
      <c r="C13" s="8">
        <v>3.1</v>
      </c>
      <c r="D13" s="8">
        <v>1</v>
      </c>
      <c r="E13" s="8">
        <v>3.6</v>
      </c>
      <c r="F13" s="8">
        <v>1.8</v>
      </c>
      <c r="G13" s="8">
        <v>3.6</v>
      </c>
      <c r="H13" s="8">
        <v>3.9</v>
      </c>
      <c r="I13" s="8">
        <v>1.5</v>
      </c>
      <c r="J13" s="8">
        <v>1.8</v>
      </c>
      <c r="K13" s="8">
        <v>1</v>
      </c>
      <c r="L13" s="8">
        <v>2.8</v>
      </c>
      <c r="M13" s="8">
        <v>2.9</v>
      </c>
      <c r="N13" s="8">
        <v>2.9</v>
      </c>
      <c r="O13" s="8">
        <v>0.2</v>
      </c>
      <c r="P13" s="8">
        <v>0.4</v>
      </c>
      <c r="Q13" s="8">
        <v>2.6</v>
      </c>
      <c r="R13" s="8">
        <v>3</v>
      </c>
      <c r="S13" s="8">
        <v>2.2000000000000002</v>
      </c>
      <c r="T13" s="8">
        <v>0.8</v>
      </c>
      <c r="U13" s="8">
        <v>-0.1</v>
      </c>
      <c r="V13" s="8">
        <v>0.3</v>
      </c>
      <c r="W13" s="8">
        <v>2.1</v>
      </c>
      <c r="X13" s="8">
        <v>1.6</v>
      </c>
      <c r="Y13" s="8">
        <v>1.9</v>
      </c>
      <c r="Z13" s="8">
        <v>-3.4</v>
      </c>
      <c r="AA13" s="8">
        <v>6</v>
      </c>
      <c r="AB13" s="8">
        <v>8</v>
      </c>
      <c r="AC13" s="8">
        <v>7.9</v>
      </c>
      <c r="AD13" s="8">
        <v>3</v>
      </c>
      <c r="AE13" s="8">
        <v>3.3</v>
      </c>
      <c r="AF13" s="8">
        <v>2.7</v>
      </c>
      <c r="AG13" s="8">
        <v>3.8</v>
      </c>
      <c r="AH13" s="8">
        <v>2.4</v>
      </c>
      <c r="AI13" s="8">
        <v>2</v>
      </c>
      <c r="AJ13" s="8">
        <v>2</v>
      </c>
      <c r="AK13" s="8">
        <v>2</v>
      </c>
    </row>
    <row r="14" spans="1:37" x14ac:dyDescent="0.3">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sheetData>
  <mergeCells count="2">
    <mergeCell ref="A1:AK1"/>
    <mergeCell ref="A2:AK2"/>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CAC4-EE9D-4BBF-9174-C577C8036E94}">
  <dimension ref="A1:AK24"/>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37" width="5" style="1" bestFit="1" customWidth="1"/>
    <col min="38" max="16384" width="9.109375" style="1"/>
  </cols>
  <sheetData>
    <row r="1" spans="1:37" ht="15" customHeight="1" x14ac:dyDescent="0.3">
      <c r="A1" s="28" t="s">
        <v>14</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11" t="s">
        <v>15</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5" t="s">
        <v>16</v>
      </c>
      <c r="B4" s="6">
        <v>12.2</v>
      </c>
      <c r="C4" s="6">
        <v>13.3</v>
      </c>
      <c r="D4" s="6">
        <v>13</v>
      </c>
      <c r="E4" s="6">
        <v>13.8</v>
      </c>
      <c r="F4" s="6">
        <v>13.6</v>
      </c>
      <c r="G4" s="6">
        <v>13.2</v>
      </c>
      <c r="H4" s="6">
        <v>13.4</v>
      </c>
      <c r="I4" s="6">
        <v>13.6</v>
      </c>
      <c r="J4" s="6">
        <v>13.7</v>
      </c>
      <c r="K4" s="6">
        <v>13.9</v>
      </c>
      <c r="L4" s="6">
        <v>13.8</v>
      </c>
      <c r="M4" s="6">
        <v>14.4</v>
      </c>
      <c r="N4" s="6">
        <v>14</v>
      </c>
      <c r="O4" s="6">
        <v>14.4</v>
      </c>
      <c r="P4" s="6">
        <v>15</v>
      </c>
      <c r="Q4" s="6">
        <v>15.1</v>
      </c>
      <c r="R4" s="6">
        <v>13.5</v>
      </c>
      <c r="S4" s="6">
        <v>14.3</v>
      </c>
      <c r="T4" s="6">
        <v>12.2</v>
      </c>
      <c r="U4" s="6">
        <v>10.3</v>
      </c>
      <c r="V4" s="6">
        <v>14.7</v>
      </c>
      <c r="W4" s="6">
        <v>14.5</v>
      </c>
      <c r="X4" s="6">
        <v>11.3</v>
      </c>
      <c r="Y4" s="6">
        <v>15.2</v>
      </c>
      <c r="Z4" s="6">
        <v>13.4</v>
      </c>
      <c r="AA4" s="6">
        <v>17.399999999999999</v>
      </c>
      <c r="AB4" s="6">
        <v>16</v>
      </c>
      <c r="AC4" s="6">
        <v>13.7</v>
      </c>
      <c r="AD4" s="6">
        <v>13.4</v>
      </c>
      <c r="AE4" s="6">
        <v>12.1</v>
      </c>
      <c r="AF4" s="6">
        <v>7.7</v>
      </c>
      <c r="AG4" s="6">
        <v>7.7</v>
      </c>
      <c r="AH4" s="6">
        <v>7.6</v>
      </c>
      <c r="AI4" s="6">
        <v>9.9</v>
      </c>
      <c r="AJ4" s="6">
        <v>9.9</v>
      </c>
      <c r="AK4" s="6">
        <v>9.9</v>
      </c>
    </row>
    <row r="5" spans="1:37" x14ac:dyDescent="0.3">
      <c r="A5" s="3" t="s">
        <v>17</v>
      </c>
      <c r="B5" s="8">
        <v>71.7</v>
      </c>
      <c r="C5" s="8">
        <v>71.3</v>
      </c>
      <c r="D5" s="8">
        <v>74.3</v>
      </c>
      <c r="E5" s="8">
        <v>72.599999999999994</v>
      </c>
      <c r="F5" s="8">
        <v>75.7</v>
      </c>
      <c r="G5" s="8">
        <v>75.5</v>
      </c>
      <c r="H5" s="8">
        <v>74.5</v>
      </c>
      <c r="I5" s="8">
        <v>78.099999999999994</v>
      </c>
      <c r="J5" s="8">
        <v>80.599999999999994</v>
      </c>
      <c r="K5" s="8">
        <v>80.8</v>
      </c>
      <c r="L5" s="8">
        <v>79.099999999999994</v>
      </c>
      <c r="M5" s="8">
        <v>78.2</v>
      </c>
      <c r="N5" s="8">
        <v>82.3</v>
      </c>
      <c r="O5" s="8">
        <v>77.099999999999994</v>
      </c>
      <c r="P5" s="8">
        <v>82.4</v>
      </c>
      <c r="Q5" s="8">
        <v>78.099999999999994</v>
      </c>
      <c r="R5" s="8">
        <v>76</v>
      </c>
      <c r="S5" s="8">
        <v>78.5</v>
      </c>
      <c r="T5" s="8">
        <v>78.900000000000006</v>
      </c>
      <c r="U5" s="8">
        <v>81.5</v>
      </c>
      <c r="V5" s="8">
        <v>79.2</v>
      </c>
      <c r="W5" s="8">
        <v>83.5</v>
      </c>
      <c r="X5" s="8">
        <v>87.8</v>
      </c>
      <c r="Y5" s="8">
        <v>88</v>
      </c>
      <c r="Z5" s="8">
        <v>76.900000000000006</v>
      </c>
      <c r="AA5" s="8">
        <v>81.400000000000006</v>
      </c>
      <c r="AB5" s="8">
        <v>82.3</v>
      </c>
      <c r="AC5" s="8">
        <v>82.1</v>
      </c>
      <c r="AD5" s="8">
        <v>79.900000000000006</v>
      </c>
      <c r="AE5" s="8">
        <v>81.5</v>
      </c>
      <c r="AF5" s="8">
        <v>84.3</v>
      </c>
      <c r="AG5" s="8">
        <v>84.6</v>
      </c>
      <c r="AH5" s="8">
        <v>84.8</v>
      </c>
      <c r="AI5" s="8">
        <v>83.5</v>
      </c>
      <c r="AJ5" s="8">
        <v>83.9</v>
      </c>
      <c r="AK5" s="8">
        <v>83.9</v>
      </c>
    </row>
    <row r="6" spans="1:37" x14ac:dyDescent="0.3">
      <c r="A6" s="3" t="s">
        <v>18</v>
      </c>
      <c r="B6" s="8">
        <v>22.1</v>
      </c>
      <c r="C6" s="8">
        <v>22.3</v>
      </c>
      <c r="D6" s="8">
        <v>22.6</v>
      </c>
      <c r="E6" s="8">
        <v>23.8</v>
      </c>
      <c r="F6" s="8">
        <v>25.1</v>
      </c>
      <c r="G6" s="8">
        <v>23.8</v>
      </c>
      <c r="H6" s="8">
        <v>25.1</v>
      </c>
      <c r="I6" s="8">
        <v>24.9</v>
      </c>
      <c r="J6" s="8">
        <v>26.8</v>
      </c>
      <c r="K6" s="8">
        <v>27.4</v>
      </c>
      <c r="L6" s="8">
        <v>26</v>
      </c>
      <c r="M6" s="8">
        <v>26.8</v>
      </c>
      <c r="N6" s="8">
        <v>26.5</v>
      </c>
      <c r="O6" s="8">
        <v>28.8</v>
      </c>
      <c r="P6" s="8">
        <v>28.7</v>
      </c>
      <c r="Q6" s="8">
        <v>29.6</v>
      </c>
      <c r="R6" s="8">
        <v>29.7</v>
      </c>
      <c r="S6" s="8">
        <v>29.7</v>
      </c>
      <c r="T6" s="8">
        <v>31.6</v>
      </c>
      <c r="U6" s="8">
        <v>31.4</v>
      </c>
      <c r="V6" s="8">
        <v>31.2</v>
      </c>
      <c r="W6" s="8">
        <v>35.4</v>
      </c>
      <c r="X6" s="8">
        <v>34.6</v>
      </c>
      <c r="Y6" s="8">
        <v>38</v>
      </c>
      <c r="Z6" s="8">
        <v>31.8</v>
      </c>
      <c r="AA6" s="8">
        <v>35.9</v>
      </c>
      <c r="AB6" s="8">
        <v>38.299999999999997</v>
      </c>
      <c r="AC6" s="8">
        <v>39.799999999999997</v>
      </c>
      <c r="AD6" s="8">
        <v>37.1</v>
      </c>
      <c r="AE6" s="8">
        <v>37.5</v>
      </c>
      <c r="AF6" s="8">
        <v>38.200000000000003</v>
      </c>
      <c r="AG6" s="8">
        <v>38.299999999999997</v>
      </c>
      <c r="AH6" s="8">
        <v>38.4</v>
      </c>
      <c r="AI6" s="8">
        <v>38.200000000000003</v>
      </c>
      <c r="AJ6" s="8">
        <v>38.4</v>
      </c>
      <c r="AK6" s="8">
        <v>38.4</v>
      </c>
    </row>
    <row r="7" spans="1:37" ht="15" thickBot="1" x14ac:dyDescent="0.35">
      <c r="A7" s="3" t="s">
        <v>19</v>
      </c>
      <c r="B7" s="8">
        <v>-0.3</v>
      </c>
      <c r="C7" s="8">
        <v>0.2</v>
      </c>
      <c r="D7" s="8">
        <v>-0.7</v>
      </c>
      <c r="E7" s="8">
        <v>0.8</v>
      </c>
      <c r="F7" s="8">
        <v>0.5</v>
      </c>
      <c r="G7" s="8">
        <v>-0.8</v>
      </c>
      <c r="H7" s="8">
        <v>0.8</v>
      </c>
      <c r="I7" s="8">
        <v>0</v>
      </c>
      <c r="J7" s="8">
        <v>-0.1</v>
      </c>
      <c r="K7" s="8">
        <v>-0.5</v>
      </c>
      <c r="L7" s="8">
        <v>0</v>
      </c>
      <c r="M7" s="8">
        <v>1.1000000000000001</v>
      </c>
      <c r="N7" s="8">
        <v>-0.8</v>
      </c>
      <c r="O7" s="8">
        <v>0.9</v>
      </c>
      <c r="P7" s="8">
        <v>-0.4</v>
      </c>
      <c r="Q7" s="8">
        <v>-0.3</v>
      </c>
      <c r="R7" s="8">
        <v>0.6</v>
      </c>
      <c r="S7" s="8">
        <v>-0.5</v>
      </c>
      <c r="T7" s="8">
        <v>-0.5</v>
      </c>
      <c r="U7" s="8">
        <v>-0.9</v>
      </c>
      <c r="V7" s="8">
        <v>0.4</v>
      </c>
      <c r="W7" s="8">
        <v>1.2</v>
      </c>
      <c r="X7" s="8">
        <v>-0.5</v>
      </c>
      <c r="Y7" s="8">
        <v>-0.8</v>
      </c>
      <c r="Z7" s="8">
        <v>-0.7</v>
      </c>
      <c r="AA7" s="8">
        <v>1.4</v>
      </c>
      <c r="AB7" s="8">
        <v>-0.3</v>
      </c>
      <c r="AC7" s="8">
        <v>-0.2</v>
      </c>
      <c r="AD7" s="8">
        <v>0.6</v>
      </c>
      <c r="AE7" s="8">
        <v>0.4</v>
      </c>
      <c r="AF7" s="8">
        <v>0.4</v>
      </c>
      <c r="AG7" s="8">
        <v>0.4</v>
      </c>
      <c r="AH7" s="8">
        <v>0.4</v>
      </c>
      <c r="AI7" s="8">
        <v>0.4</v>
      </c>
      <c r="AJ7" s="8">
        <v>0.4</v>
      </c>
      <c r="AK7" s="8">
        <v>0.4</v>
      </c>
    </row>
    <row r="8" spans="1:37" ht="15" thickBot="1" x14ac:dyDescent="0.35">
      <c r="A8" s="5" t="s">
        <v>20</v>
      </c>
      <c r="B8" s="6">
        <v>61.6</v>
      </c>
      <c r="C8" s="6">
        <v>62.4</v>
      </c>
      <c r="D8" s="6">
        <v>64</v>
      </c>
      <c r="E8" s="6">
        <v>63.4</v>
      </c>
      <c r="F8" s="6">
        <v>64.8</v>
      </c>
      <c r="G8" s="6">
        <v>64.099999999999994</v>
      </c>
      <c r="H8" s="6">
        <v>63.6</v>
      </c>
      <c r="I8" s="6">
        <v>66.8</v>
      </c>
      <c r="J8" s="6">
        <v>67.400000000000006</v>
      </c>
      <c r="K8" s="6">
        <v>66.900000000000006</v>
      </c>
      <c r="L8" s="6">
        <v>66.900000000000006</v>
      </c>
      <c r="M8" s="6">
        <v>66.900000000000006</v>
      </c>
      <c r="N8" s="6">
        <v>69</v>
      </c>
      <c r="O8" s="6">
        <v>63.6</v>
      </c>
      <c r="P8" s="6">
        <v>68.3</v>
      </c>
      <c r="Q8" s="6">
        <v>63.4</v>
      </c>
      <c r="R8" s="6">
        <v>60.4</v>
      </c>
      <c r="S8" s="6">
        <v>62.6</v>
      </c>
      <c r="T8" s="6">
        <v>59</v>
      </c>
      <c r="U8" s="6">
        <v>59.5</v>
      </c>
      <c r="V8" s="6">
        <v>63.1</v>
      </c>
      <c r="W8" s="6">
        <v>63.9</v>
      </c>
      <c r="X8" s="6">
        <v>64</v>
      </c>
      <c r="Y8" s="6">
        <v>64.3</v>
      </c>
      <c r="Z8" s="6">
        <v>57.8</v>
      </c>
      <c r="AA8" s="6">
        <v>64.2</v>
      </c>
      <c r="AB8" s="6">
        <v>59.7</v>
      </c>
      <c r="AC8" s="6">
        <v>55.9</v>
      </c>
      <c r="AD8" s="6">
        <v>56.8</v>
      </c>
      <c r="AE8" s="6">
        <v>56.4</v>
      </c>
      <c r="AF8" s="6">
        <v>54.2</v>
      </c>
      <c r="AG8" s="6">
        <v>54.3</v>
      </c>
      <c r="AH8" s="6">
        <v>54.5</v>
      </c>
      <c r="AI8" s="6">
        <v>55.7</v>
      </c>
      <c r="AJ8" s="6">
        <v>55.9</v>
      </c>
      <c r="AK8" s="6">
        <v>55.9</v>
      </c>
    </row>
    <row r="9" spans="1:37" ht="15" thickBot="1" x14ac:dyDescent="0.35">
      <c r="A9" s="5" t="s">
        <v>21</v>
      </c>
      <c r="B9" s="6">
        <v>4.5</v>
      </c>
      <c r="C9" s="6">
        <v>5</v>
      </c>
      <c r="D9" s="6">
        <v>5.4</v>
      </c>
      <c r="E9" s="6">
        <v>4.5999999999999996</v>
      </c>
      <c r="F9" s="6">
        <v>5.3</v>
      </c>
      <c r="G9" s="6">
        <v>5.2</v>
      </c>
      <c r="H9" s="6">
        <v>6.8</v>
      </c>
      <c r="I9" s="6">
        <v>7.4</v>
      </c>
      <c r="J9" s="6">
        <v>7.7</v>
      </c>
      <c r="K9" s="6">
        <v>7.6</v>
      </c>
      <c r="L9" s="6">
        <v>8.3000000000000007</v>
      </c>
      <c r="M9" s="6">
        <v>9.1999999999999993</v>
      </c>
      <c r="N9" s="6">
        <v>9.5</v>
      </c>
      <c r="O9" s="6">
        <v>7</v>
      </c>
      <c r="P9" s="6">
        <v>7.6</v>
      </c>
      <c r="Q9" s="6">
        <v>6.7</v>
      </c>
      <c r="R9" s="6">
        <v>6</v>
      </c>
      <c r="S9" s="6">
        <v>6.2</v>
      </c>
      <c r="T9" s="6">
        <v>5.4</v>
      </c>
      <c r="U9" s="6">
        <v>5.8</v>
      </c>
      <c r="V9" s="6">
        <v>6.7</v>
      </c>
      <c r="W9" s="6">
        <v>7.5</v>
      </c>
      <c r="X9" s="6">
        <v>9.3000000000000007</v>
      </c>
      <c r="Y9" s="6">
        <v>8.1999999999999993</v>
      </c>
      <c r="Z9" s="6">
        <v>6.4</v>
      </c>
      <c r="AA9" s="6">
        <v>7.6</v>
      </c>
      <c r="AB9" s="6">
        <v>7.6</v>
      </c>
      <c r="AC9" s="6">
        <v>6.9</v>
      </c>
      <c r="AD9" s="6">
        <v>6.8</v>
      </c>
      <c r="AE9" s="6">
        <v>7</v>
      </c>
      <c r="AF9" s="6">
        <v>7.1</v>
      </c>
      <c r="AG9" s="6">
        <v>7.2</v>
      </c>
      <c r="AH9" s="6">
        <v>7.4</v>
      </c>
      <c r="AI9" s="6">
        <v>7.5</v>
      </c>
      <c r="AJ9" s="6">
        <v>7.7</v>
      </c>
      <c r="AK9" s="6">
        <v>7.8</v>
      </c>
    </row>
    <row r="10" spans="1:37" ht="15" thickBot="1" x14ac:dyDescent="0.35">
      <c r="A10" s="5" t="s">
        <v>22</v>
      </c>
      <c r="B10" s="6">
        <v>57.1</v>
      </c>
      <c r="C10" s="6">
        <v>57.4</v>
      </c>
      <c r="D10" s="6">
        <v>58.6</v>
      </c>
      <c r="E10" s="6">
        <v>58.8</v>
      </c>
      <c r="F10" s="6">
        <v>59.4</v>
      </c>
      <c r="G10" s="6">
        <v>58.9</v>
      </c>
      <c r="H10" s="6">
        <v>56.8</v>
      </c>
      <c r="I10" s="6">
        <v>59.3</v>
      </c>
      <c r="J10" s="6">
        <v>59.7</v>
      </c>
      <c r="K10" s="6">
        <v>59.3</v>
      </c>
      <c r="L10" s="6">
        <v>58.6</v>
      </c>
      <c r="M10" s="6">
        <v>57.6</v>
      </c>
      <c r="N10" s="6">
        <v>59.5</v>
      </c>
      <c r="O10" s="6">
        <v>56.6</v>
      </c>
      <c r="P10" s="6">
        <v>60.7</v>
      </c>
      <c r="Q10" s="6">
        <v>56.6</v>
      </c>
      <c r="R10" s="6">
        <v>54.3</v>
      </c>
      <c r="S10" s="6">
        <v>56.5</v>
      </c>
      <c r="T10" s="6">
        <v>53.6</v>
      </c>
      <c r="U10" s="6">
        <v>53.7</v>
      </c>
      <c r="V10" s="6">
        <v>56.5</v>
      </c>
      <c r="W10" s="6">
        <v>56.4</v>
      </c>
      <c r="X10" s="6">
        <v>54.7</v>
      </c>
      <c r="Y10" s="6">
        <v>56.1</v>
      </c>
      <c r="Z10" s="6">
        <v>51.4</v>
      </c>
      <c r="AA10" s="6">
        <v>56.6</v>
      </c>
      <c r="AB10" s="6">
        <v>52.1</v>
      </c>
      <c r="AC10" s="6">
        <v>49</v>
      </c>
      <c r="AD10" s="6">
        <v>50</v>
      </c>
      <c r="AE10" s="6">
        <v>49.5</v>
      </c>
      <c r="AF10" s="6">
        <v>47.1</v>
      </c>
      <c r="AG10" s="6">
        <v>47.1</v>
      </c>
      <c r="AH10" s="6">
        <v>47.1</v>
      </c>
      <c r="AI10" s="6">
        <v>48.2</v>
      </c>
      <c r="AJ10" s="6">
        <v>48.2</v>
      </c>
      <c r="AK10" s="6">
        <v>48.1</v>
      </c>
    </row>
    <row r="11" spans="1:37" ht="15" thickBot="1" x14ac:dyDescent="0.35">
      <c r="A11" s="5" t="s">
        <v>23</v>
      </c>
      <c r="B11" s="6">
        <v>1.1000000000000001</v>
      </c>
      <c r="C11" s="6">
        <v>1.2</v>
      </c>
      <c r="D11" s="6">
        <v>1.3</v>
      </c>
      <c r="E11" s="6">
        <v>1.5</v>
      </c>
      <c r="F11" s="6">
        <v>1.5</v>
      </c>
      <c r="G11" s="6">
        <v>1.4</v>
      </c>
      <c r="H11" s="6">
        <v>1.1000000000000001</v>
      </c>
      <c r="I11" s="6">
        <v>1.2</v>
      </c>
      <c r="J11" s="6">
        <v>1.2</v>
      </c>
      <c r="K11" s="6">
        <v>1.2</v>
      </c>
      <c r="L11" s="6">
        <v>1.2</v>
      </c>
      <c r="M11" s="6">
        <v>1.3</v>
      </c>
      <c r="N11" s="6">
        <v>1.4</v>
      </c>
      <c r="O11" s="6">
        <v>1.3</v>
      </c>
      <c r="P11" s="6">
        <v>1.4</v>
      </c>
      <c r="Q11" s="6">
        <v>1.5</v>
      </c>
      <c r="R11" s="6">
        <v>1.3</v>
      </c>
      <c r="S11" s="6">
        <v>1.3</v>
      </c>
      <c r="T11" s="6">
        <v>1.3</v>
      </c>
      <c r="U11" s="6">
        <v>1.4</v>
      </c>
      <c r="V11" s="6">
        <v>1.4</v>
      </c>
      <c r="W11" s="6">
        <v>1.6</v>
      </c>
      <c r="X11" s="6">
        <v>1.7</v>
      </c>
      <c r="Y11" s="6">
        <v>1.7</v>
      </c>
      <c r="Z11" s="6">
        <v>1.2</v>
      </c>
      <c r="AA11" s="6">
        <v>1.5</v>
      </c>
      <c r="AB11" s="6">
        <v>1.8</v>
      </c>
      <c r="AC11" s="6">
        <v>1.8</v>
      </c>
      <c r="AD11" s="6">
        <v>1.9</v>
      </c>
      <c r="AE11" s="6">
        <v>2.1</v>
      </c>
      <c r="AF11" s="6">
        <v>2.1</v>
      </c>
      <c r="AG11" s="6">
        <v>2.1</v>
      </c>
      <c r="AH11" s="6">
        <v>2.2000000000000002</v>
      </c>
      <c r="AI11" s="6">
        <v>2.2000000000000002</v>
      </c>
      <c r="AJ11" s="6">
        <v>2.2999999999999998</v>
      </c>
      <c r="AK11" s="6">
        <v>2.2999999999999998</v>
      </c>
    </row>
    <row r="12" spans="1:37" ht="15" thickBot="1" x14ac:dyDescent="0.35">
      <c r="A12" s="5" t="s">
        <v>24</v>
      </c>
      <c r="B12" s="6">
        <v>56</v>
      </c>
      <c r="C12" s="6">
        <v>56.2</v>
      </c>
      <c r="D12" s="6">
        <v>57.2</v>
      </c>
      <c r="E12" s="6">
        <v>57.3</v>
      </c>
      <c r="F12" s="6">
        <v>57.9</v>
      </c>
      <c r="G12" s="6">
        <v>57.6</v>
      </c>
      <c r="H12" s="6">
        <v>55.7</v>
      </c>
      <c r="I12" s="6">
        <v>58.1</v>
      </c>
      <c r="J12" s="6">
        <v>58.5</v>
      </c>
      <c r="K12" s="6">
        <v>58.1</v>
      </c>
      <c r="L12" s="6">
        <v>57.4</v>
      </c>
      <c r="M12" s="6">
        <v>56.3</v>
      </c>
      <c r="N12" s="6">
        <v>58.1</v>
      </c>
      <c r="O12" s="6">
        <v>55.4</v>
      </c>
      <c r="P12" s="6">
        <v>59.3</v>
      </c>
      <c r="Q12" s="6">
        <v>55.2</v>
      </c>
      <c r="R12" s="6">
        <v>53</v>
      </c>
      <c r="S12" s="6">
        <v>55.2</v>
      </c>
      <c r="T12" s="6">
        <v>52.3</v>
      </c>
      <c r="U12" s="6">
        <v>52.2</v>
      </c>
      <c r="V12" s="6">
        <v>55</v>
      </c>
      <c r="W12" s="6">
        <v>54.8</v>
      </c>
      <c r="X12" s="6">
        <v>53</v>
      </c>
      <c r="Y12" s="6">
        <v>54.4</v>
      </c>
      <c r="Z12" s="6">
        <v>50.2</v>
      </c>
      <c r="AA12" s="6">
        <v>55.1</v>
      </c>
      <c r="AB12" s="6">
        <v>50.3</v>
      </c>
      <c r="AC12" s="6">
        <v>47.2</v>
      </c>
      <c r="AD12" s="6">
        <v>48.1</v>
      </c>
      <c r="AE12" s="6">
        <v>47.4</v>
      </c>
      <c r="AF12" s="6">
        <v>45.1</v>
      </c>
      <c r="AG12" s="6">
        <v>45</v>
      </c>
      <c r="AH12" s="6">
        <v>44.9</v>
      </c>
      <c r="AI12" s="6">
        <v>45.9</v>
      </c>
      <c r="AJ12" s="6">
        <v>45.9</v>
      </c>
      <c r="AK12" s="6">
        <v>45.7</v>
      </c>
    </row>
    <row r="13" spans="1:37" x14ac:dyDescent="0.3">
      <c r="A13" s="5" t="s">
        <v>25</v>
      </c>
      <c r="B13" s="6">
        <v>64.099999999999994</v>
      </c>
      <c r="C13" s="6">
        <v>66.400000000000006</v>
      </c>
      <c r="D13" s="6">
        <v>67.8</v>
      </c>
      <c r="E13" s="6">
        <v>66.3</v>
      </c>
      <c r="F13" s="6">
        <v>68.599999999999994</v>
      </c>
      <c r="G13" s="6">
        <v>71.2</v>
      </c>
      <c r="H13" s="6">
        <v>82.3</v>
      </c>
      <c r="I13" s="6">
        <v>80.099999999999994</v>
      </c>
      <c r="J13" s="6">
        <v>76.900000000000006</v>
      </c>
      <c r="K13" s="6">
        <v>67.7</v>
      </c>
      <c r="L13" s="6">
        <v>67.599999999999994</v>
      </c>
      <c r="M13" s="6">
        <v>71</v>
      </c>
      <c r="N13" s="6">
        <v>67.599999999999994</v>
      </c>
      <c r="O13" s="6">
        <v>66</v>
      </c>
      <c r="P13" s="6">
        <v>67.8</v>
      </c>
      <c r="Q13" s="6">
        <v>64.8</v>
      </c>
      <c r="R13" s="6">
        <v>64.2</v>
      </c>
      <c r="S13" s="6">
        <v>61.9</v>
      </c>
      <c r="T13" s="6">
        <v>62.5</v>
      </c>
      <c r="U13" s="6">
        <v>60.5</v>
      </c>
      <c r="V13" s="6">
        <v>62.6</v>
      </c>
      <c r="W13" s="6">
        <v>64.8</v>
      </c>
      <c r="X13" s="6">
        <v>59.6</v>
      </c>
      <c r="Y13" s="6">
        <v>65.3</v>
      </c>
      <c r="Z13" s="6">
        <v>55.9</v>
      </c>
      <c r="AA13" s="6">
        <v>63.3</v>
      </c>
      <c r="AB13" s="6">
        <v>60.3</v>
      </c>
      <c r="AC13" s="6">
        <v>58.8</v>
      </c>
      <c r="AD13" s="6">
        <v>59.6</v>
      </c>
      <c r="AE13" s="6">
        <v>59.1</v>
      </c>
      <c r="AF13" s="6">
        <v>57.1</v>
      </c>
      <c r="AG13" s="6">
        <v>57.3</v>
      </c>
      <c r="AH13" s="6">
        <v>57.7</v>
      </c>
      <c r="AI13" s="6">
        <v>59.2</v>
      </c>
      <c r="AJ13" s="6">
        <v>59.6</v>
      </c>
      <c r="AK13" s="6">
        <v>59.7</v>
      </c>
    </row>
    <row r="14" spans="1:37" x14ac:dyDescent="0.3">
      <c r="A14" s="3" t="s">
        <v>26</v>
      </c>
      <c r="B14" s="8">
        <v>49.9</v>
      </c>
      <c r="C14" s="8">
        <v>51.7</v>
      </c>
      <c r="D14" s="8">
        <v>53</v>
      </c>
      <c r="E14" s="8">
        <v>51.3</v>
      </c>
      <c r="F14" s="8">
        <v>54.3</v>
      </c>
      <c r="G14" s="8">
        <v>58.1</v>
      </c>
      <c r="H14" s="8">
        <v>69.400000000000006</v>
      </c>
      <c r="I14" s="8">
        <v>66.5</v>
      </c>
      <c r="J14" s="8">
        <v>63.4</v>
      </c>
      <c r="K14" s="8">
        <v>53.9</v>
      </c>
      <c r="L14" s="8">
        <v>53.3</v>
      </c>
      <c r="M14" s="8">
        <v>56.3</v>
      </c>
      <c r="N14" s="8">
        <v>54</v>
      </c>
      <c r="O14" s="8">
        <v>53.2</v>
      </c>
      <c r="P14" s="8">
        <v>54.7</v>
      </c>
      <c r="Q14" s="8">
        <v>52.1</v>
      </c>
      <c r="R14" s="8">
        <v>53.2</v>
      </c>
      <c r="S14" s="8">
        <v>50.7</v>
      </c>
      <c r="T14" s="8">
        <v>52.7</v>
      </c>
      <c r="U14" s="8">
        <v>51.9</v>
      </c>
      <c r="V14" s="8">
        <v>51.2</v>
      </c>
      <c r="W14" s="8">
        <v>53.5</v>
      </c>
      <c r="X14" s="8">
        <v>50.6</v>
      </c>
      <c r="Y14" s="8">
        <v>54.1</v>
      </c>
      <c r="Z14" s="8">
        <v>46.5</v>
      </c>
      <c r="AA14" s="8">
        <v>51.9</v>
      </c>
      <c r="AB14" s="8">
        <v>49.6</v>
      </c>
      <c r="AC14" s="8">
        <v>50.8</v>
      </c>
      <c r="AD14" s="8">
        <v>51.9</v>
      </c>
      <c r="AE14" s="8">
        <v>52</v>
      </c>
      <c r="AF14" s="8">
        <v>52</v>
      </c>
      <c r="AG14" s="8">
        <v>52.2</v>
      </c>
      <c r="AH14" s="8">
        <v>52.5</v>
      </c>
      <c r="AI14" s="8">
        <v>52.8</v>
      </c>
      <c r="AJ14" s="8">
        <v>53.1</v>
      </c>
      <c r="AK14" s="8">
        <v>53.3</v>
      </c>
    </row>
    <row r="15" spans="1:37" x14ac:dyDescent="0.3">
      <c r="A15" s="3" t="s">
        <v>27</v>
      </c>
      <c r="B15" s="8">
        <v>2.4</v>
      </c>
      <c r="C15" s="8">
        <v>2.2999999999999998</v>
      </c>
      <c r="D15" s="8">
        <v>2.2000000000000002</v>
      </c>
      <c r="E15" s="8">
        <v>2.1</v>
      </c>
      <c r="F15" s="8">
        <v>2.4</v>
      </c>
      <c r="G15" s="8">
        <v>2.4</v>
      </c>
      <c r="H15" s="8">
        <v>2.4</v>
      </c>
      <c r="I15" s="8">
        <v>2.5</v>
      </c>
      <c r="J15" s="8">
        <v>2.5</v>
      </c>
      <c r="K15" s="8">
        <v>2.4</v>
      </c>
      <c r="L15" s="8">
        <v>2.4</v>
      </c>
      <c r="M15" s="8">
        <v>2.4</v>
      </c>
      <c r="N15" s="8">
        <v>2.4</v>
      </c>
      <c r="O15" s="8">
        <v>2.4</v>
      </c>
      <c r="P15" s="8">
        <v>2.7</v>
      </c>
      <c r="Q15" s="8">
        <v>2.4</v>
      </c>
      <c r="R15" s="8">
        <v>2.4</v>
      </c>
      <c r="S15" s="8">
        <v>2.2000000000000002</v>
      </c>
      <c r="T15" s="8">
        <v>2.2999999999999998</v>
      </c>
      <c r="U15" s="8">
        <v>2.2999999999999998</v>
      </c>
      <c r="V15" s="8">
        <v>2.4</v>
      </c>
      <c r="W15" s="8">
        <v>2.5</v>
      </c>
      <c r="X15" s="8">
        <v>2.6</v>
      </c>
      <c r="Y15" s="8">
        <v>2.7</v>
      </c>
      <c r="Z15" s="8">
        <v>2.2000000000000002</v>
      </c>
      <c r="AA15" s="8">
        <v>2.2999999999999998</v>
      </c>
      <c r="AB15" s="8">
        <v>2.1</v>
      </c>
      <c r="AC15" s="8">
        <v>2.2000000000000002</v>
      </c>
      <c r="AD15" s="8">
        <v>2.2000000000000002</v>
      </c>
      <c r="AE15" s="8">
        <v>2.2999999999999998</v>
      </c>
      <c r="AF15" s="8">
        <v>2.2000000000000002</v>
      </c>
      <c r="AG15" s="8">
        <v>2.2000000000000002</v>
      </c>
      <c r="AH15" s="8">
        <v>2.2999999999999998</v>
      </c>
      <c r="AI15" s="8">
        <v>2.2999999999999998</v>
      </c>
      <c r="AJ15" s="8">
        <v>2.2999999999999998</v>
      </c>
      <c r="AK15" s="8">
        <v>2.2999999999999998</v>
      </c>
    </row>
    <row r="16" spans="1:37" ht="15" thickBot="1" x14ac:dyDescent="0.35">
      <c r="A16" s="3" t="s">
        <v>28</v>
      </c>
      <c r="B16" s="8">
        <v>0.4</v>
      </c>
      <c r="C16" s="8">
        <v>0.3</v>
      </c>
      <c r="D16" s="8">
        <v>0.4</v>
      </c>
      <c r="E16" s="8">
        <v>0.4</v>
      </c>
      <c r="F16" s="8">
        <v>0.4</v>
      </c>
      <c r="G16" s="8">
        <v>0.4</v>
      </c>
      <c r="H16" s="8">
        <v>0.4</v>
      </c>
      <c r="I16" s="8">
        <v>0.4</v>
      </c>
      <c r="J16" s="8">
        <v>0.4</v>
      </c>
      <c r="K16" s="8">
        <v>0.4</v>
      </c>
      <c r="L16" s="8">
        <v>0.4</v>
      </c>
      <c r="M16" s="8">
        <v>0.4</v>
      </c>
      <c r="N16" s="8">
        <v>0.4</v>
      </c>
      <c r="O16" s="8">
        <v>0.4</v>
      </c>
      <c r="P16" s="8">
        <v>0.4</v>
      </c>
      <c r="Q16" s="8">
        <v>0.4</v>
      </c>
      <c r="R16" s="8">
        <v>0.4</v>
      </c>
      <c r="S16" s="8">
        <v>0.4</v>
      </c>
      <c r="T16" s="8">
        <v>0.4</v>
      </c>
      <c r="U16" s="8">
        <v>0.4</v>
      </c>
      <c r="V16" s="8">
        <v>0.4</v>
      </c>
      <c r="W16" s="8">
        <v>0.4</v>
      </c>
      <c r="X16" s="8">
        <v>0.4</v>
      </c>
      <c r="Y16" s="8">
        <v>0.4</v>
      </c>
      <c r="Z16" s="8">
        <v>0.4</v>
      </c>
      <c r="AA16" s="8">
        <v>0.4</v>
      </c>
      <c r="AB16" s="8">
        <v>0.3</v>
      </c>
      <c r="AC16" s="8">
        <v>0.4</v>
      </c>
      <c r="AD16" s="8">
        <v>0.3</v>
      </c>
      <c r="AE16" s="8">
        <v>0.3</v>
      </c>
      <c r="AF16" s="8">
        <v>0.3</v>
      </c>
      <c r="AG16" s="8">
        <v>0.3</v>
      </c>
      <c r="AH16" s="8">
        <v>0.4</v>
      </c>
      <c r="AI16" s="8">
        <v>0.4</v>
      </c>
      <c r="AJ16" s="8">
        <v>0.4</v>
      </c>
      <c r="AK16" s="8">
        <v>0.4</v>
      </c>
    </row>
    <row r="17" spans="1:37" ht="15" thickBot="1" x14ac:dyDescent="0.35">
      <c r="A17" s="5" t="s">
        <v>29</v>
      </c>
      <c r="B17" s="6">
        <v>39.1</v>
      </c>
      <c r="C17" s="6">
        <v>38.799999999999997</v>
      </c>
      <c r="D17" s="6">
        <v>39.799999999999997</v>
      </c>
      <c r="E17" s="6">
        <v>39.799999999999997</v>
      </c>
      <c r="F17" s="6">
        <v>40.799999999999997</v>
      </c>
      <c r="G17" s="6">
        <v>41.7</v>
      </c>
      <c r="H17" s="6">
        <v>39.9</v>
      </c>
      <c r="I17" s="6">
        <v>41.7</v>
      </c>
      <c r="J17" s="6">
        <v>42.1</v>
      </c>
      <c r="K17" s="6">
        <v>41.6</v>
      </c>
      <c r="L17" s="6">
        <v>40.299999999999997</v>
      </c>
      <c r="M17" s="6">
        <v>38.799999999999997</v>
      </c>
      <c r="N17" s="6">
        <v>41.7</v>
      </c>
      <c r="O17" s="6">
        <v>39.799999999999997</v>
      </c>
      <c r="P17" s="6">
        <v>43</v>
      </c>
      <c r="Q17" s="6">
        <v>39.6</v>
      </c>
      <c r="R17" s="6">
        <v>39.200000000000003</v>
      </c>
      <c r="S17" s="6">
        <v>41.4</v>
      </c>
      <c r="T17" s="6">
        <v>39.700000000000003</v>
      </c>
      <c r="U17" s="6">
        <v>41</v>
      </c>
      <c r="V17" s="6">
        <v>40.9</v>
      </c>
      <c r="W17" s="6">
        <v>40.700000000000003</v>
      </c>
      <c r="X17" s="6">
        <v>41.1</v>
      </c>
      <c r="Y17" s="6">
        <v>40.1</v>
      </c>
      <c r="Z17" s="6">
        <v>38.200000000000003</v>
      </c>
      <c r="AA17" s="6">
        <v>41</v>
      </c>
      <c r="AB17" s="6">
        <v>37.1</v>
      </c>
      <c r="AC17" s="6">
        <v>36.6</v>
      </c>
      <c r="AD17" s="6">
        <v>37.9</v>
      </c>
      <c r="AE17" s="6">
        <v>37.799999999999997</v>
      </c>
      <c r="AF17" s="6">
        <v>37.4</v>
      </c>
      <c r="AG17" s="6">
        <v>37.299999999999997</v>
      </c>
      <c r="AH17" s="6">
        <v>37</v>
      </c>
      <c r="AI17" s="6">
        <v>36.9</v>
      </c>
      <c r="AJ17" s="6">
        <v>36.700000000000003</v>
      </c>
      <c r="AK17" s="6">
        <v>36.700000000000003</v>
      </c>
    </row>
    <row r="18" spans="1:37" x14ac:dyDescent="0.3">
      <c r="A18" s="5" t="s">
        <v>30</v>
      </c>
      <c r="B18" s="6">
        <v>6</v>
      </c>
      <c r="C18" s="6">
        <v>6.1</v>
      </c>
      <c r="D18" s="6">
        <v>6</v>
      </c>
      <c r="E18" s="6">
        <v>6.5</v>
      </c>
      <c r="F18" s="6">
        <v>7</v>
      </c>
      <c r="G18" s="6">
        <v>6.8</v>
      </c>
      <c r="H18" s="6">
        <v>6.7</v>
      </c>
      <c r="I18" s="6">
        <v>6.7</v>
      </c>
      <c r="J18" s="6">
        <v>7.2</v>
      </c>
      <c r="K18" s="6">
        <v>7.5</v>
      </c>
      <c r="L18" s="6">
        <v>7</v>
      </c>
      <c r="M18" s="6">
        <v>7.1</v>
      </c>
      <c r="N18" s="6">
        <v>8.1</v>
      </c>
      <c r="O18" s="6">
        <v>6.4</v>
      </c>
      <c r="P18" s="6">
        <v>7</v>
      </c>
      <c r="Q18" s="6">
        <v>6.9</v>
      </c>
      <c r="R18" s="6">
        <v>7</v>
      </c>
      <c r="S18" s="6">
        <v>7.5</v>
      </c>
      <c r="T18" s="6">
        <v>8</v>
      </c>
      <c r="U18" s="6">
        <v>7.7</v>
      </c>
      <c r="V18" s="6">
        <v>7.6</v>
      </c>
      <c r="W18" s="6">
        <v>7.5</v>
      </c>
      <c r="X18" s="6">
        <v>7.8</v>
      </c>
      <c r="Y18" s="6">
        <v>7.3</v>
      </c>
      <c r="Z18" s="6">
        <v>6.9</v>
      </c>
      <c r="AA18" s="6">
        <v>7.3</v>
      </c>
      <c r="AB18" s="6">
        <v>6.4</v>
      </c>
      <c r="AC18" s="6">
        <v>6.4</v>
      </c>
      <c r="AD18" s="6">
        <v>6.9</v>
      </c>
      <c r="AE18" s="6">
        <v>7.4</v>
      </c>
      <c r="AF18" s="6">
        <v>7.6</v>
      </c>
      <c r="AG18" s="6">
        <v>7.5</v>
      </c>
      <c r="AH18" s="6">
        <v>7.6</v>
      </c>
      <c r="AI18" s="6">
        <v>7.6</v>
      </c>
      <c r="AJ18" s="6">
        <v>7.6</v>
      </c>
      <c r="AK18" s="6">
        <v>7.6</v>
      </c>
    </row>
    <row r="19" spans="1:37" ht="15" thickBot="1" x14ac:dyDescent="0.35">
      <c r="A19" s="3" t="s">
        <v>31</v>
      </c>
      <c r="B19" s="8">
        <v>33.299999999999997</v>
      </c>
      <c r="C19" s="8">
        <v>32.6</v>
      </c>
      <c r="D19" s="8">
        <v>33.299999999999997</v>
      </c>
      <c r="E19" s="8">
        <v>33.1</v>
      </c>
      <c r="F19" s="8">
        <v>33.6</v>
      </c>
      <c r="G19" s="8">
        <v>35.299999999999997</v>
      </c>
      <c r="H19" s="8">
        <v>33.6</v>
      </c>
      <c r="I19" s="8">
        <v>34.799999999999997</v>
      </c>
      <c r="J19" s="8">
        <v>34.5</v>
      </c>
      <c r="K19" s="8">
        <v>34.200000000000003</v>
      </c>
      <c r="L19" s="8">
        <v>33.700000000000003</v>
      </c>
      <c r="M19" s="8">
        <v>32.5</v>
      </c>
      <c r="N19" s="8">
        <v>33.9</v>
      </c>
      <c r="O19" s="8">
        <v>32.9</v>
      </c>
      <c r="P19" s="8">
        <v>35.4</v>
      </c>
      <c r="Q19" s="8">
        <v>32.6</v>
      </c>
      <c r="R19" s="8">
        <v>33</v>
      </c>
      <c r="S19" s="8">
        <v>34</v>
      </c>
      <c r="T19" s="8">
        <v>31.6</v>
      </c>
      <c r="U19" s="8">
        <v>33.1</v>
      </c>
      <c r="V19" s="8">
        <v>33.4</v>
      </c>
      <c r="W19" s="8">
        <v>32.9</v>
      </c>
      <c r="X19" s="8">
        <v>33.1</v>
      </c>
      <c r="Y19" s="8">
        <v>32.4</v>
      </c>
      <c r="Z19" s="8">
        <v>31.2</v>
      </c>
      <c r="AA19" s="8">
        <v>33.299999999999997</v>
      </c>
      <c r="AB19" s="8">
        <v>30.5</v>
      </c>
      <c r="AC19" s="8">
        <v>30</v>
      </c>
      <c r="AD19" s="8">
        <v>30.7</v>
      </c>
      <c r="AE19" s="8">
        <v>30.4</v>
      </c>
      <c r="AF19" s="8">
        <v>29.8</v>
      </c>
      <c r="AG19" s="8">
        <v>29.7</v>
      </c>
      <c r="AH19" s="8">
        <v>29.4</v>
      </c>
      <c r="AI19" s="8">
        <v>29.3</v>
      </c>
      <c r="AJ19" s="8">
        <v>29.1</v>
      </c>
      <c r="AK19" s="8">
        <v>29</v>
      </c>
    </row>
    <row r="20" spans="1:37" x14ac:dyDescent="0.3">
      <c r="A20" s="5" t="s">
        <v>32</v>
      </c>
      <c r="B20" s="6">
        <v>9.6999999999999993</v>
      </c>
      <c r="C20" s="6">
        <v>10.1</v>
      </c>
      <c r="D20" s="6">
        <v>10.5</v>
      </c>
      <c r="E20" s="6">
        <v>10.8</v>
      </c>
      <c r="F20" s="6">
        <v>11.6</v>
      </c>
      <c r="G20" s="6">
        <v>12.4</v>
      </c>
      <c r="H20" s="6">
        <v>11.3</v>
      </c>
      <c r="I20" s="6">
        <v>11.4</v>
      </c>
      <c r="J20" s="6">
        <v>10.6</v>
      </c>
      <c r="K20" s="6">
        <v>10.6</v>
      </c>
      <c r="L20" s="6">
        <v>10.7</v>
      </c>
      <c r="M20" s="6">
        <v>10.199999999999999</v>
      </c>
      <c r="N20" s="6">
        <v>10</v>
      </c>
      <c r="O20" s="6">
        <v>9.6999999999999993</v>
      </c>
      <c r="P20" s="6">
        <v>10.9</v>
      </c>
      <c r="Q20" s="6">
        <v>10.5</v>
      </c>
      <c r="R20" s="6">
        <v>10.5</v>
      </c>
      <c r="S20" s="6">
        <v>10.7</v>
      </c>
      <c r="T20" s="6">
        <v>10.6</v>
      </c>
      <c r="U20" s="6">
        <v>10.6</v>
      </c>
      <c r="V20" s="6">
        <v>10.6</v>
      </c>
      <c r="W20" s="6">
        <v>10.4</v>
      </c>
      <c r="X20" s="6">
        <v>10.7</v>
      </c>
      <c r="Y20" s="6">
        <v>10.7</v>
      </c>
      <c r="Z20" s="6">
        <v>10.6</v>
      </c>
      <c r="AA20" s="6">
        <v>11.1</v>
      </c>
      <c r="AB20" s="6">
        <v>9.9</v>
      </c>
      <c r="AC20" s="6">
        <v>9.5</v>
      </c>
      <c r="AD20" s="6">
        <v>9.8000000000000007</v>
      </c>
      <c r="AE20" s="6">
        <v>9.6</v>
      </c>
      <c r="AF20" s="6">
        <v>9.5</v>
      </c>
      <c r="AG20" s="6">
        <v>9.4</v>
      </c>
      <c r="AH20" s="6">
        <v>9.4</v>
      </c>
      <c r="AI20" s="6">
        <v>9.3000000000000007</v>
      </c>
      <c r="AJ20" s="6">
        <v>9.1999999999999993</v>
      </c>
      <c r="AK20" s="6">
        <v>9.1999999999999993</v>
      </c>
    </row>
    <row r="21" spans="1:37" x14ac:dyDescent="0.3">
      <c r="A21" s="3" t="s">
        <v>33</v>
      </c>
      <c r="B21" s="8">
        <v>7.7</v>
      </c>
      <c r="C21" s="8">
        <v>7.8</v>
      </c>
      <c r="D21" s="8">
        <v>8</v>
      </c>
      <c r="E21" s="8">
        <v>8.1</v>
      </c>
      <c r="F21" s="8">
        <v>8.1999999999999993</v>
      </c>
      <c r="G21" s="8">
        <v>8.4</v>
      </c>
      <c r="H21" s="8">
        <v>8.4</v>
      </c>
      <c r="I21" s="8">
        <v>8.6</v>
      </c>
      <c r="J21" s="8">
        <v>9</v>
      </c>
      <c r="K21" s="8">
        <v>8.6999999999999993</v>
      </c>
      <c r="L21" s="8">
        <v>8.9</v>
      </c>
      <c r="M21" s="8">
        <v>9.1</v>
      </c>
      <c r="N21" s="8">
        <v>9.1</v>
      </c>
      <c r="O21" s="8">
        <v>9</v>
      </c>
      <c r="P21" s="8">
        <v>8.9</v>
      </c>
      <c r="Q21" s="8">
        <v>8.8000000000000007</v>
      </c>
      <c r="R21" s="8">
        <v>8.5</v>
      </c>
      <c r="S21" s="8">
        <v>8.4</v>
      </c>
      <c r="T21" s="8">
        <v>8.5</v>
      </c>
      <c r="U21" s="8">
        <v>8.9</v>
      </c>
      <c r="V21" s="8">
        <v>9</v>
      </c>
      <c r="W21" s="8">
        <v>8.9</v>
      </c>
      <c r="X21" s="8">
        <v>8.9</v>
      </c>
      <c r="Y21" s="8">
        <v>8.8000000000000007</v>
      </c>
      <c r="Z21" s="8">
        <v>7.7</v>
      </c>
      <c r="AA21" s="8">
        <v>8.6</v>
      </c>
      <c r="AB21" s="8">
        <v>8.6999999999999993</v>
      </c>
      <c r="AC21" s="8">
        <v>8.9</v>
      </c>
      <c r="AD21" s="8">
        <v>8.9</v>
      </c>
      <c r="AE21" s="8">
        <v>8.9</v>
      </c>
      <c r="AF21" s="8">
        <v>8.6</v>
      </c>
      <c r="AG21" s="8">
        <v>8.6</v>
      </c>
      <c r="AH21" s="8">
        <v>8.4</v>
      </c>
      <c r="AI21" s="8">
        <v>8.3000000000000007</v>
      </c>
      <c r="AJ21" s="8">
        <v>8.3000000000000007</v>
      </c>
      <c r="AK21" s="8">
        <v>8.1999999999999993</v>
      </c>
    </row>
    <row r="22" spans="1:37" x14ac:dyDescent="0.3">
      <c r="A22" s="3" t="s">
        <v>34</v>
      </c>
      <c r="B22" s="8">
        <v>15.9</v>
      </c>
      <c r="C22" s="8">
        <v>14.8</v>
      </c>
      <c r="D22" s="8">
        <v>14.8</v>
      </c>
      <c r="E22" s="8">
        <v>14.2</v>
      </c>
      <c r="F22" s="8">
        <v>13.9</v>
      </c>
      <c r="G22" s="8">
        <v>14.4</v>
      </c>
      <c r="H22" s="8">
        <v>13.9</v>
      </c>
      <c r="I22" s="8">
        <v>14.8</v>
      </c>
      <c r="J22" s="8">
        <v>15</v>
      </c>
      <c r="K22" s="8">
        <v>14.9</v>
      </c>
      <c r="L22" s="8">
        <v>14.2</v>
      </c>
      <c r="M22" s="8">
        <v>13.3</v>
      </c>
      <c r="N22" s="8">
        <v>14.8</v>
      </c>
      <c r="O22" s="8">
        <v>14.3</v>
      </c>
      <c r="P22" s="8">
        <v>15.5</v>
      </c>
      <c r="Q22" s="8">
        <v>13.2</v>
      </c>
      <c r="R22" s="8">
        <v>13.9</v>
      </c>
      <c r="S22" s="8">
        <v>14.9</v>
      </c>
      <c r="T22" s="8">
        <v>12.5</v>
      </c>
      <c r="U22" s="8">
        <v>13.7</v>
      </c>
      <c r="V22" s="8">
        <v>13.8</v>
      </c>
      <c r="W22" s="8">
        <v>13.6</v>
      </c>
      <c r="X22" s="8">
        <v>13.6</v>
      </c>
      <c r="Y22" s="8">
        <v>12.9</v>
      </c>
      <c r="Z22" s="8">
        <v>12.8</v>
      </c>
      <c r="AA22" s="8">
        <v>13.7</v>
      </c>
      <c r="AB22" s="8">
        <v>11.9</v>
      </c>
      <c r="AC22" s="8">
        <v>11.7</v>
      </c>
      <c r="AD22" s="8">
        <v>12</v>
      </c>
      <c r="AE22" s="8">
        <v>11.9</v>
      </c>
      <c r="AF22" s="8">
        <v>11.7</v>
      </c>
      <c r="AG22" s="8">
        <v>11.8</v>
      </c>
      <c r="AH22" s="8">
        <v>11.7</v>
      </c>
      <c r="AI22" s="8">
        <v>11.6</v>
      </c>
      <c r="AJ22" s="8">
        <v>11.6</v>
      </c>
      <c r="AK22" s="8">
        <v>11.6</v>
      </c>
    </row>
    <row r="23" spans="1:37" x14ac:dyDescent="0.3">
      <c r="A23" s="3" t="s">
        <v>35</v>
      </c>
      <c r="B23" s="8">
        <v>-0.3</v>
      </c>
      <c r="C23" s="8">
        <v>0.1</v>
      </c>
      <c r="D23" s="8">
        <v>0.4</v>
      </c>
      <c r="E23" s="8">
        <v>0.2</v>
      </c>
      <c r="F23" s="8">
        <v>0.2</v>
      </c>
      <c r="G23" s="8">
        <v>-0.4</v>
      </c>
      <c r="H23" s="8">
        <v>-0.4</v>
      </c>
      <c r="I23" s="8">
        <v>0.2</v>
      </c>
      <c r="J23" s="8">
        <v>0.4</v>
      </c>
      <c r="K23" s="8">
        <v>-0.1</v>
      </c>
      <c r="L23" s="8">
        <v>-0.4</v>
      </c>
      <c r="M23" s="8">
        <v>-0.8</v>
      </c>
      <c r="N23" s="8">
        <v>-0.3</v>
      </c>
      <c r="O23" s="8">
        <v>0.4</v>
      </c>
      <c r="P23" s="8">
        <v>0.5</v>
      </c>
      <c r="Q23" s="8">
        <v>0.1</v>
      </c>
      <c r="R23" s="8">
        <v>-0.8</v>
      </c>
      <c r="S23" s="8">
        <v>-0.2</v>
      </c>
      <c r="T23" s="8">
        <v>0.1</v>
      </c>
      <c r="U23" s="8">
        <v>0.2</v>
      </c>
      <c r="V23" s="8">
        <v>-0.1</v>
      </c>
      <c r="W23" s="8">
        <v>0.2</v>
      </c>
      <c r="X23" s="8">
        <v>0.1</v>
      </c>
      <c r="Y23" s="8">
        <v>0.4</v>
      </c>
      <c r="Z23" s="8">
        <v>0.2</v>
      </c>
      <c r="AA23" s="8">
        <v>0.4</v>
      </c>
      <c r="AB23" s="8">
        <v>0.2</v>
      </c>
      <c r="AC23" s="8">
        <v>0.2</v>
      </c>
      <c r="AD23" s="8">
        <v>0.3</v>
      </c>
      <c r="AE23" s="8">
        <v>0.2</v>
      </c>
      <c r="AF23" s="8">
        <v>0.2</v>
      </c>
      <c r="AG23" s="8">
        <v>0.2</v>
      </c>
      <c r="AH23" s="8">
        <v>0.2</v>
      </c>
      <c r="AI23" s="8">
        <v>0.2</v>
      </c>
      <c r="AJ23" s="8">
        <v>0.2</v>
      </c>
      <c r="AK23" s="8">
        <v>0.2</v>
      </c>
    </row>
    <row r="24" spans="1:37" x14ac:dyDescent="0.3">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sheetData>
  <mergeCells count="1">
    <mergeCell ref="A1:AK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2F2F5-8FDB-445B-93DA-60903EB0817A}">
  <dimension ref="A1:AK16"/>
  <sheetViews>
    <sheetView showGridLines="0" workbookViewId="0">
      <pane xSplit="1" ySplit="3" topLeftCell="B4" activePane="bottomRight" state="frozenSplit"/>
      <selection pane="topRight" activeCell="B1" sqref="B1"/>
      <selection pane="bottomLeft" activeCell="A4" sqref="A4"/>
      <selection pane="bottomRight" sqref="A1:AK1"/>
    </sheetView>
  </sheetViews>
  <sheetFormatPr defaultColWidth="9.109375" defaultRowHeight="14.4" x14ac:dyDescent="0.3"/>
  <cols>
    <col min="1" max="1" width="70.6640625" style="1" customWidth="1"/>
    <col min="2" max="28" width="5.5546875" style="1" bestFit="1" customWidth="1"/>
    <col min="29" max="31" width="5" style="1" bestFit="1" customWidth="1"/>
    <col min="32" max="32" width="5.5546875" style="1" bestFit="1" customWidth="1"/>
    <col min="33" max="37" width="5" style="1" bestFit="1" customWidth="1"/>
    <col min="38" max="16384" width="9.109375" style="1"/>
  </cols>
  <sheetData>
    <row r="1" spans="1:37" ht="15" customHeight="1" x14ac:dyDescent="0.3">
      <c r="A1" s="28" t="s">
        <v>0</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37" ht="15" thickBot="1" x14ac:dyDescent="0.35">
      <c r="A2" s="2"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15" thickBot="1" x14ac:dyDescent="0.35">
      <c r="A3" s="4"/>
      <c r="B3" s="4">
        <v>1996</v>
      </c>
      <c r="C3" s="4">
        <v>1997</v>
      </c>
      <c r="D3" s="4">
        <v>1998</v>
      </c>
      <c r="E3" s="4">
        <v>1999</v>
      </c>
      <c r="F3" s="4">
        <v>2000</v>
      </c>
      <c r="G3" s="4">
        <v>2001</v>
      </c>
      <c r="H3" s="4">
        <v>2002</v>
      </c>
      <c r="I3" s="4">
        <v>2003</v>
      </c>
      <c r="J3" s="4">
        <v>2004</v>
      </c>
      <c r="K3" s="4">
        <v>2005</v>
      </c>
      <c r="L3" s="4">
        <v>2006</v>
      </c>
      <c r="M3" s="4">
        <v>2007</v>
      </c>
      <c r="N3" s="4">
        <v>2008</v>
      </c>
      <c r="O3" s="4">
        <v>2009</v>
      </c>
      <c r="P3" s="4">
        <v>2010</v>
      </c>
      <c r="Q3" s="4">
        <v>2011</v>
      </c>
      <c r="R3" s="4">
        <v>2012</v>
      </c>
      <c r="S3" s="4">
        <v>2013</v>
      </c>
      <c r="T3" s="4">
        <v>2014</v>
      </c>
      <c r="U3" s="4">
        <v>2015</v>
      </c>
      <c r="V3" s="4">
        <v>2016</v>
      </c>
      <c r="W3" s="4">
        <v>2017</v>
      </c>
      <c r="X3" s="4">
        <v>2018</v>
      </c>
      <c r="Y3" s="4">
        <v>2019</v>
      </c>
      <c r="Z3" s="4">
        <v>2020</v>
      </c>
      <c r="AA3" s="4">
        <v>2021</v>
      </c>
      <c r="AB3" s="4">
        <v>2022</v>
      </c>
      <c r="AC3" s="4">
        <v>2023</v>
      </c>
      <c r="AD3" s="4">
        <v>2024</v>
      </c>
      <c r="AE3" s="4">
        <v>2025</v>
      </c>
      <c r="AF3" s="4">
        <v>2026</v>
      </c>
      <c r="AG3" s="4">
        <v>2027</v>
      </c>
      <c r="AH3" s="4">
        <v>2028</v>
      </c>
      <c r="AI3" s="4">
        <v>2029</v>
      </c>
      <c r="AJ3" s="4">
        <v>2030</v>
      </c>
      <c r="AK3" s="4">
        <v>2031</v>
      </c>
    </row>
    <row r="4" spans="1:37" x14ac:dyDescent="0.3">
      <c r="A4" s="5" t="s">
        <v>2</v>
      </c>
      <c r="B4" s="6">
        <v>112</v>
      </c>
      <c r="C4" s="6">
        <v>106.2</v>
      </c>
      <c r="D4" s="6">
        <v>110.5</v>
      </c>
      <c r="E4" s="6">
        <v>105.2</v>
      </c>
      <c r="F4" s="6">
        <v>106.1</v>
      </c>
      <c r="G4" s="6">
        <v>106.5</v>
      </c>
      <c r="H4" s="6">
        <v>106.8</v>
      </c>
      <c r="I4" s="6">
        <v>108</v>
      </c>
      <c r="J4" s="6">
        <v>107.8</v>
      </c>
      <c r="K4" s="6">
        <v>105.5</v>
      </c>
      <c r="L4" s="6">
        <v>103.8</v>
      </c>
      <c r="M4" s="6">
        <v>101.6</v>
      </c>
      <c r="N4" s="6">
        <v>101.3</v>
      </c>
      <c r="O4" s="6">
        <v>94.7</v>
      </c>
      <c r="P4" s="6">
        <v>99.3</v>
      </c>
      <c r="Q4" s="6">
        <v>89.8</v>
      </c>
      <c r="R4" s="6">
        <v>88.9</v>
      </c>
      <c r="S4" s="6">
        <v>88.7</v>
      </c>
      <c r="T4" s="6">
        <v>82.7</v>
      </c>
      <c r="U4" s="6">
        <v>87</v>
      </c>
      <c r="V4" s="6">
        <v>85.1</v>
      </c>
      <c r="W4" s="6">
        <v>84.6</v>
      </c>
      <c r="X4" s="6">
        <v>85.3</v>
      </c>
      <c r="Y4" s="6">
        <v>85.6</v>
      </c>
      <c r="Z4" s="6">
        <v>78.599999999999994</v>
      </c>
      <c r="AA4" s="6">
        <v>81.599999999999994</v>
      </c>
      <c r="AB4" s="6">
        <v>76.3</v>
      </c>
      <c r="AC4" s="6">
        <v>73</v>
      </c>
      <c r="AD4" s="6">
        <v>72.900000000000006</v>
      </c>
      <c r="AE4" s="6">
        <v>73.599999999999994</v>
      </c>
      <c r="AF4" s="6">
        <v>75.8</v>
      </c>
      <c r="AG4" s="6">
        <v>75.5</v>
      </c>
      <c r="AH4" s="6">
        <v>74.8</v>
      </c>
      <c r="AI4" s="6">
        <v>71.5</v>
      </c>
      <c r="AJ4" s="6">
        <v>71.5</v>
      </c>
      <c r="AK4" s="6">
        <v>70.3</v>
      </c>
    </row>
    <row r="5" spans="1:37" x14ac:dyDescent="0.3">
      <c r="A5" s="7" t="s">
        <v>3</v>
      </c>
      <c r="B5" s="8">
        <v>111.2</v>
      </c>
      <c r="C5" s="8">
        <v>105.4</v>
      </c>
      <c r="D5" s="8">
        <v>109.8</v>
      </c>
      <c r="E5" s="8">
        <v>104.5</v>
      </c>
      <c r="F5" s="8">
        <v>105.3</v>
      </c>
      <c r="G5" s="8">
        <v>105.8</v>
      </c>
      <c r="H5" s="8">
        <v>106.1</v>
      </c>
      <c r="I5" s="8">
        <v>107.3</v>
      </c>
      <c r="J5" s="8">
        <v>107.2</v>
      </c>
      <c r="K5" s="8">
        <v>104.9</v>
      </c>
      <c r="L5" s="8">
        <v>103.1</v>
      </c>
      <c r="M5" s="8">
        <v>101</v>
      </c>
      <c r="N5" s="8">
        <v>100.7</v>
      </c>
      <c r="O5" s="8">
        <v>94.1</v>
      </c>
      <c r="P5" s="8">
        <v>98.6</v>
      </c>
      <c r="Q5" s="8">
        <v>89.2</v>
      </c>
      <c r="R5" s="8">
        <v>88.4</v>
      </c>
      <c r="S5" s="8">
        <v>88.2</v>
      </c>
      <c r="T5" s="8">
        <v>82.3</v>
      </c>
      <c r="U5" s="8">
        <v>86.5</v>
      </c>
      <c r="V5" s="8">
        <v>84.6</v>
      </c>
      <c r="W5" s="8">
        <v>84.2</v>
      </c>
      <c r="X5" s="8">
        <v>84.8</v>
      </c>
      <c r="Y5" s="8">
        <v>85.1</v>
      </c>
      <c r="Z5" s="8">
        <v>78.2</v>
      </c>
      <c r="AA5" s="8">
        <v>81.2</v>
      </c>
      <c r="AB5" s="8">
        <v>75.900000000000006</v>
      </c>
      <c r="AC5" s="8">
        <v>72.7</v>
      </c>
      <c r="AD5" s="8">
        <v>72.599999999999994</v>
      </c>
      <c r="AE5" s="8">
        <v>73.3</v>
      </c>
      <c r="AF5" s="8">
        <v>75.5</v>
      </c>
      <c r="AG5" s="8">
        <v>75.2</v>
      </c>
      <c r="AH5" s="8">
        <v>74.5</v>
      </c>
      <c r="AI5" s="8">
        <v>71.3</v>
      </c>
      <c r="AJ5" s="8">
        <v>71.2</v>
      </c>
      <c r="AK5" s="8">
        <v>70</v>
      </c>
    </row>
    <row r="6" spans="1:37" x14ac:dyDescent="0.3">
      <c r="A6" s="9" t="s">
        <v>4</v>
      </c>
      <c r="B6" s="8">
        <v>28.6</v>
      </c>
      <c r="C6" s="8">
        <v>27.5</v>
      </c>
      <c r="D6" s="8">
        <v>30.4</v>
      </c>
      <c r="E6" s="8">
        <v>26.7</v>
      </c>
      <c r="F6" s="8">
        <v>28.5</v>
      </c>
      <c r="G6" s="8">
        <v>26.1</v>
      </c>
      <c r="H6" s="8">
        <v>27.6</v>
      </c>
      <c r="I6" s="8">
        <v>28.8</v>
      </c>
      <c r="J6" s="8">
        <v>29.2</v>
      </c>
      <c r="K6" s="8">
        <v>29</v>
      </c>
      <c r="L6" s="8">
        <v>27.9</v>
      </c>
      <c r="M6" s="8">
        <v>27.2</v>
      </c>
      <c r="N6" s="8">
        <v>25.1</v>
      </c>
      <c r="O6" s="8">
        <v>25.6</v>
      </c>
      <c r="P6" s="8">
        <v>26.1</v>
      </c>
      <c r="Q6" s="8">
        <v>22.7</v>
      </c>
      <c r="R6" s="8">
        <v>22.5</v>
      </c>
      <c r="S6" s="8">
        <v>21.1</v>
      </c>
      <c r="T6" s="8">
        <v>20.100000000000001</v>
      </c>
      <c r="U6" s="8">
        <v>20.8</v>
      </c>
      <c r="V6" s="8">
        <v>19.5</v>
      </c>
      <c r="W6" s="8">
        <v>19.600000000000001</v>
      </c>
      <c r="X6" s="8">
        <v>19.600000000000001</v>
      </c>
      <c r="Y6" s="8">
        <v>20.9</v>
      </c>
      <c r="Z6" s="8">
        <v>18.899999999999999</v>
      </c>
      <c r="AA6" s="8">
        <v>18.2</v>
      </c>
      <c r="AB6" s="8">
        <v>18.5</v>
      </c>
      <c r="AC6" s="8">
        <v>15.6</v>
      </c>
      <c r="AD6" s="8">
        <v>14.8</v>
      </c>
      <c r="AE6" s="8">
        <v>16.5</v>
      </c>
      <c r="AF6" s="8">
        <v>20.7</v>
      </c>
      <c r="AG6" s="8">
        <v>20.9</v>
      </c>
      <c r="AH6" s="8">
        <v>21.6</v>
      </c>
      <c r="AI6" s="8">
        <v>19.2</v>
      </c>
      <c r="AJ6" s="8">
        <v>19.899999999999999</v>
      </c>
      <c r="AK6" s="8">
        <v>19.3</v>
      </c>
    </row>
    <row r="7" spans="1:37" x14ac:dyDescent="0.3">
      <c r="A7" s="9" t="s">
        <v>5</v>
      </c>
      <c r="B7" s="8">
        <v>22.6</v>
      </c>
      <c r="C7" s="8">
        <v>22</v>
      </c>
      <c r="D7" s="8">
        <v>22.5</v>
      </c>
      <c r="E7" s="8">
        <v>21.5</v>
      </c>
      <c r="F7" s="8">
        <v>21.7</v>
      </c>
      <c r="G7" s="8">
        <v>21.7</v>
      </c>
      <c r="H7" s="8">
        <v>21</v>
      </c>
      <c r="I7" s="8">
        <v>19.899999999999999</v>
      </c>
      <c r="J7" s="8">
        <v>19.600000000000001</v>
      </c>
      <c r="K7" s="8">
        <v>19</v>
      </c>
      <c r="L7" s="8">
        <v>19.2</v>
      </c>
      <c r="M7" s="8">
        <v>19.2</v>
      </c>
      <c r="N7" s="8">
        <v>19.399999999999999</v>
      </c>
      <c r="O7" s="8">
        <v>13.9</v>
      </c>
      <c r="P7" s="8">
        <v>16</v>
      </c>
      <c r="Q7" s="8">
        <v>15.6</v>
      </c>
      <c r="R7" s="8">
        <v>14.7</v>
      </c>
      <c r="S7" s="8">
        <v>14.4</v>
      </c>
      <c r="T7" s="8">
        <v>13.9</v>
      </c>
      <c r="U7" s="8">
        <v>13.9</v>
      </c>
      <c r="V7" s="8">
        <v>13.8</v>
      </c>
      <c r="W7" s="8">
        <v>13.9</v>
      </c>
      <c r="X7" s="8">
        <v>14.2</v>
      </c>
      <c r="Y7" s="8">
        <v>14</v>
      </c>
      <c r="Z7" s="8">
        <v>13.9</v>
      </c>
      <c r="AA7" s="8">
        <v>14.6</v>
      </c>
      <c r="AB7" s="8">
        <v>12.9</v>
      </c>
      <c r="AC7" s="8">
        <v>12.6</v>
      </c>
      <c r="AD7" s="8">
        <v>13</v>
      </c>
      <c r="AE7" s="8">
        <v>12.5</v>
      </c>
      <c r="AF7" s="8">
        <v>11.9</v>
      </c>
      <c r="AG7" s="8">
        <v>11.4</v>
      </c>
      <c r="AH7" s="8">
        <v>11.2</v>
      </c>
      <c r="AI7" s="8">
        <v>10.9</v>
      </c>
      <c r="AJ7" s="8">
        <v>10.5</v>
      </c>
      <c r="AK7" s="8">
        <v>10.4</v>
      </c>
    </row>
    <row r="8" spans="1:37" x14ac:dyDescent="0.3">
      <c r="A8" s="9" t="s">
        <v>6</v>
      </c>
      <c r="B8" s="8">
        <v>23.4</v>
      </c>
      <c r="C8" s="8">
        <v>23.6</v>
      </c>
      <c r="D8" s="8">
        <v>24.3</v>
      </c>
      <c r="E8" s="8">
        <v>24.6</v>
      </c>
      <c r="F8" s="8">
        <v>25</v>
      </c>
      <c r="G8" s="8">
        <v>25.6</v>
      </c>
      <c r="H8" s="8">
        <v>25.9</v>
      </c>
      <c r="I8" s="8">
        <v>26.5</v>
      </c>
      <c r="J8" s="8">
        <v>27.6</v>
      </c>
      <c r="K8" s="8">
        <v>26.8</v>
      </c>
      <c r="L8" s="8">
        <v>27.4</v>
      </c>
      <c r="M8" s="8">
        <v>28.2</v>
      </c>
      <c r="N8" s="8">
        <v>28.3</v>
      </c>
      <c r="O8" s="8">
        <v>27.5</v>
      </c>
      <c r="P8" s="8">
        <v>26.8</v>
      </c>
      <c r="Q8" s="8">
        <v>26.3</v>
      </c>
      <c r="R8" s="8">
        <v>25.5</v>
      </c>
      <c r="S8" s="8">
        <v>25</v>
      </c>
      <c r="T8" s="8">
        <v>25.3</v>
      </c>
      <c r="U8" s="8">
        <v>27</v>
      </c>
      <c r="V8" s="8">
        <v>26.7</v>
      </c>
      <c r="W8" s="8">
        <v>26.2</v>
      </c>
      <c r="X8" s="8">
        <v>26.4</v>
      </c>
      <c r="Y8" s="8">
        <v>26.2</v>
      </c>
      <c r="Z8" s="8">
        <v>21.9</v>
      </c>
      <c r="AA8" s="8">
        <v>24.1</v>
      </c>
      <c r="AB8" s="8">
        <v>24.4</v>
      </c>
      <c r="AC8" s="8">
        <v>24.8</v>
      </c>
      <c r="AD8" s="8">
        <v>24.9</v>
      </c>
      <c r="AE8" s="8">
        <v>24.6</v>
      </c>
      <c r="AF8" s="8">
        <v>23.9</v>
      </c>
      <c r="AG8" s="8">
        <v>23.7</v>
      </c>
      <c r="AH8" s="8">
        <v>23</v>
      </c>
      <c r="AI8" s="8">
        <v>22.7</v>
      </c>
      <c r="AJ8" s="8">
        <v>22.6</v>
      </c>
      <c r="AK8" s="8">
        <v>22.4</v>
      </c>
    </row>
    <row r="9" spans="1:37" x14ac:dyDescent="0.3">
      <c r="A9" s="9" t="s">
        <v>7</v>
      </c>
      <c r="B9" s="8">
        <v>36.5</v>
      </c>
      <c r="C9" s="8">
        <v>32.1</v>
      </c>
      <c r="D9" s="8">
        <v>32.4</v>
      </c>
      <c r="E9" s="8">
        <v>31.4</v>
      </c>
      <c r="F9" s="8">
        <v>29.8</v>
      </c>
      <c r="G9" s="8">
        <v>32.1</v>
      </c>
      <c r="H9" s="8">
        <v>31.4</v>
      </c>
      <c r="I9" s="8">
        <v>32</v>
      </c>
      <c r="J9" s="8">
        <v>30.5</v>
      </c>
      <c r="K9" s="8">
        <v>29.9</v>
      </c>
      <c r="L9" s="8">
        <v>28.5</v>
      </c>
      <c r="M9" s="8">
        <v>26.2</v>
      </c>
      <c r="N9" s="8">
        <v>27.7</v>
      </c>
      <c r="O9" s="8">
        <v>27</v>
      </c>
      <c r="P9" s="8">
        <v>29.6</v>
      </c>
      <c r="Q9" s="8">
        <v>24.5</v>
      </c>
      <c r="R9" s="8">
        <v>25.6</v>
      </c>
      <c r="S9" s="8">
        <v>27.6</v>
      </c>
      <c r="T9" s="8">
        <v>22.9</v>
      </c>
      <c r="U9" s="8">
        <v>24.7</v>
      </c>
      <c r="V9" s="8">
        <v>24.6</v>
      </c>
      <c r="W9" s="8">
        <v>24.3</v>
      </c>
      <c r="X9" s="8">
        <v>24.5</v>
      </c>
      <c r="Y9" s="8">
        <v>24</v>
      </c>
      <c r="Z9" s="8">
        <v>23.3</v>
      </c>
      <c r="AA9" s="8">
        <v>24.2</v>
      </c>
      <c r="AB9" s="8">
        <v>20</v>
      </c>
      <c r="AC9" s="8">
        <v>19.7</v>
      </c>
      <c r="AD9" s="8">
        <v>19.8</v>
      </c>
      <c r="AE9" s="8">
        <v>19.600000000000001</v>
      </c>
      <c r="AF9" s="8">
        <v>19</v>
      </c>
      <c r="AG9" s="8">
        <v>19</v>
      </c>
      <c r="AH9" s="8">
        <v>18.600000000000001</v>
      </c>
      <c r="AI9" s="8">
        <v>18.3</v>
      </c>
      <c r="AJ9" s="8">
        <v>18.100000000000001</v>
      </c>
      <c r="AK9" s="8">
        <v>17.899999999999999</v>
      </c>
    </row>
    <row r="10" spans="1:37" x14ac:dyDescent="0.3">
      <c r="A10" s="9" t="s">
        <v>8</v>
      </c>
      <c r="B10" s="8">
        <v>0.2</v>
      </c>
      <c r="C10" s="8">
        <v>0.2</v>
      </c>
      <c r="D10" s="8">
        <v>0.2</v>
      </c>
      <c r="E10" s="8">
        <v>0.2</v>
      </c>
      <c r="F10" s="8">
        <v>0.2</v>
      </c>
      <c r="G10" s="8">
        <v>0.2</v>
      </c>
      <c r="H10" s="8">
        <v>0.2</v>
      </c>
      <c r="I10" s="8">
        <v>0.2</v>
      </c>
      <c r="J10" s="8">
        <v>0.2</v>
      </c>
      <c r="K10" s="8">
        <v>0.2</v>
      </c>
      <c r="L10" s="8">
        <v>0.2</v>
      </c>
      <c r="M10" s="8">
        <v>0.2</v>
      </c>
      <c r="N10" s="8">
        <v>0.2</v>
      </c>
      <c r="O10" s="8">
        <v>0.2</v>
      </c>
      <c r="P10" s="8">
        <v>0.1</v>
      </c>
      <c r="Q10" s="8">
        <v>0.1</v>
      </c>
      <c r="R10" s="8">
        <v>0.1</v>
      </c>
      <c r="S10" s="8">
        <v>0.1</v>
      </c>
      <c r="T10" s="8">
        <v>0.1</v>
      </c>
      <c r="U10" s="8">
        <v>0.1</v>
      </c>
      <c r="V10" s="8">
        <v>0.1</v>
      </c>
      <c r="W10" s="8">
        <v>0.1</v>
      </c>
      <c r="X10" s="8">
        <v>0.1</v>
      </c>
      <c r="Y10" s="8">
        <v>0.1</v>
      </c>
      <c r="Z10" s="8">
        <v>0.1</v>
      </c>
      <c r="AA10" s="8">
        <v>0.1</v>
      </c>
      <c r="AB10" s="8">
        <v>0.1</v>
      </c>
      <c r="AC10" s="8">
        <v>0.1</v>
      </c>
      <c r="AD10" s="8">
        <v>0.1</v>
      </c>
      <c r="AE10" s="8">
        <v>0.1</v>
      </c>
      <c r="AF10" s="8">
        <v>0.1</v>
      </c>
      <c r="AG10" s="8">
        <v>0.1</v>
      </c>
      <c r="AH10" s="8">
        <v>0.1</v>
      </c>
      <c r="AI10" s="8">
        <v>0.1</v>
      </c>
      <c r="AJ10" s="8">
        <v>0.1</v>
      </c>
      <c r="AK10" s="8">
        <v>0.1</v>
      </c>
    </row>
    <row r="11" spans="1:37" ht="15" thickBot="1" x14ac:dyDescent="0.35">
      <c r="A11" s="7" t="s">
        <v>9</v>
      </c>
      <c r="B11" s="8">
        <v>0.8</v>
      </c>
      <c r="C11" s="8">
        <v>0.8</v>
      </c>
      <c r="D11" s="8">
        <v>0.7</v>
      </c>
      <c r="E11" s="8">
        <v>0.7</v>
      </c>
      <c r="F11" s="8">
        <v>0.8</v>
      </c>
      <c r="G11" s="8">
        <v>0.7</v>
      </c>
      <c r="H11" s="8">
        <v>0.7</v>
      </c>
      <c r="I11" s="8">
        <v>0.6</v>
      </c>
      <c r="J11" s="8">
        <v>0.6</v>
      </c>
      <c r="K11" s="8">
        <v>0.6</v>
      </c>
      <c r="L11" s="8">
        <v>0.7</v>
      </c>
      <c r="M11" s="8">
        <v>0.6</v>
      </c>
      <c r="N11" s="8">
        <v>0.6</v>
      </c>
      <c r="O11" s="8">
        <v>0.6</v>
      </c>
      <c r="P11" s="8">
        <v>0.6</v>
      </c>
      <c r="Q11" s="8">
        <v>0.6</v>
      </c>
      <c r="R11" s="8">
        <v>0.5</v>
      </c>
      <c r="S11" s="8">
        <v>0.5</v>
      </c>
      <c r="T11" s="8">
        <v>0.5</v>
      </c>
      <c r="U11" s="8">
        <v>0.5</v>
      </c>
      <c r="V11" s="8">
        <v>0.5</v>
      </c>
      <c r="W11" s="8">
        <v>0.5</v>
      </c>
      <c r="X11" s="8">
        <v>0.5</v>
      </c>
      <c r="Y11" s="8">
        <v>0.5</v>
      </c>
      <c r="Z11" s="8">
        <v>0.4</v>
      </c>
      <c r="AA11" s="8">
        <v>0.4</v>
      </c>
      <c r="AB11" s="8">
        <v>0.4</v>
      </c>
      <c r="AC11" s="8">
        <v>0.3</v>
      </c>
      <c r="AD11" s="8">
        <v>0.3</v>
      </c>
      <c r="AE11" s="8">
        <v>0.3</v>
      </c>
      <c r="AF11" s="8">
        <v>0.3</v>
      </c>
      <c r="AG11" s="8">
        <v>0.3</v>
      </c>
      <c r="AH11" s="8">
        <v>0.3</v>
      </c>
      <c r="AI11" s="8">
        <v>0.3</v>
      </c>
      <c r="AJ11" s="8">
        <v>0.3</v>
      </c>
      <c r="AK11" s="8">
        <v>0.3</v>
      </c>
    </row>
    <row r="12" spans="1:37" ht="15" thickBot="1" x14ac:dyDescent="0.35">
      <c r="A12" s="5" t="s">
        <v>10</v>
      </c>
      <c r="B12" s="6">
        <v>28.8</v>
      </c>
      <c r="C12" s="6">
        <v>26.1</v>
      </c>
      <c r="D12" s="6">
        <v>27.3</v>
      </c>
      <c r="E12" s="6">
        <v>26.5</v>
      </c>
      <c r="F12" s="6">
        <v>27.7</v>
      </c>
      <c r="G12" s="6">
        <v>26.3</v>
      </c>
      <c r="H12" s="6">
        <v>26.2</v>
      </c>
      <c r="I12" s="6">
        <v>26.1</v>
      </c>
      <c r="J12" s="6">
        <v>27.1</v>
      </c>
      <c r="K12" s="6">
        <v>26.5</v>
      </c>
      <c r="L12" s="6">
        <v>25.8</v>
      </c>
      <c r="M12" s="6">
        <v>24.3</v>
      </c>
      <c r="N12" s="6">
        <v>24.9</v>
      </c>
      <c r="O12" s="6">
        <v>19</v>
      </c>
      <c r="P12" s="6">
        <v>21.7</v>
      </c>
      <c r="Q12" s="6">
        <v>21.1</v>
      </c>
      <c r="R12" s="6">
        <v>19.399999999999999</v>
      </c>
      <c r="S12" s="6">
        <v>20.100000000000001</v>
      </c>
      <c r="T12" s="6">
        <v>20.399999999999999</v>
      </c>
      <c r="U12" s="6">
        <v>20.5</v>
      </c>
      <c r="V12" s="6">
        <v>21</v>
      </c>
      <c r="W12" s="6">
        <v>20.9</v>
      </c>
      <c r="X12" s="6">
        <v>21.2</v>
      </c>
      <c r="Y12" s="6">
        <v>19.899999999999999</v>
      </c>
      <c r="Z12" s="6">
        <v>17.7</v>
      </c>
      <c r="AA12" s="6">
        <v>17.600000000000001</v>
      </c>
      <c r="AB12" s="6">
        <v>16.5</v>
      </c>
      <c r="AC12" s="6">
        <v>14.9</v>
      </c>
      <c r="AD12" s="6">
        <v>15.7</v>
      </c>
      <c r="AE12" s="6">
        <v>15.3</v>
      </c>
      <c r="AF12" s="6">
        <v>14.9</v>
      </c>
      <c r="AG12" s="6">
        <v>14.5</v>
      </c>
      <c r="AH12" s="6">
        <v>14.2</v>
      </c>
      <c r="AI12" s="6">
        <v>13.9</v>
      </c>
      <c r="AJ12" s="6">
        <v>13.6</v>
      </c>
      <c r="AK12" s="6">
        <v>13.4</v>
      </c>
    </row>
    <row r="13" spans="1:37" ht="15" thickBot="1" x14ac:dyDescent="0.35">
      <c r="A13" s="5" t="s">
        <v>11</v>
      </c>
      <c r="B13" s="6">
        <v>11.2</v>
      </c>
      <c r="C13" s="6">
        <v>11.1</v>
      </c>
      <c r="D13" s="6">
        <v>11</v>
      </c>
      <c r="E13" s="6">
        <v>11</v>
      </c>
      <c r="F13" s="6">
        <v>10.199999999999999</v>
      </c>
      <c r="G13" s="6">
        <v>10</v>
      </c>
      <c r="H13" s="6">
        <v>9.9</v>
      </c>
      <c r="I13" s="6">
        <v>9.5</v>
      </c>
      <c r="J13" s="6">
        <v>9.4</v>
      </c>
      <c r="K13" s="6">
        <v>9.3000000000000007</v>
      </c>
      <c r="L13" s="6">
        <v>9.1</v>
      </c>
      <c r="M13" s="6">
        <v>9.1999999999999993</v>
      </c>
      <c r="N13" s="6">
        <v>9.1</v>
      </c>
      <c r="O13" s="6">
        <v>9.1999999999999993</v>
      </c>
      <c r="P13" s="6">
        <v>9.1999999999999993</v>
      </c>
      <c r="Q13" s="6">
        <v>9.1</v>
      </c>
      <c r="R13" s="6">
        <v>9</v>
      </c>
      <c r="S13" s="6">
        <v>9</v>
      </c>
      <c r="T13" s="6">
        <v>9.1</v>
      </c>
      <c r="U13" s="6">
        <v>9.1</v>
      </c>
      <c r="V13" s="6">
        <v>9.1</v>
      </c>
      <c r="W13" s="6">
        <v>9</v>
      </c>
      <c r="X13" s="6">
        <v>8.9</v>
      </c>
      <c r="Y13" s="6">
        <v>8.9</v>
      </c>
      <c r="Z13" s="6">
        <v>8.9</v>
      </c>
      <c r="AA13" s="6">
        <v>8.8000000000000007</v>
      </c>
      <c r="AB13" s="6">
        <v>8.5</v>
      </c>
      <c r="AC13" s="6">
        <v>8.5</v>
      </c>
      <c r="AD13" s="6">
        <v>8.3000000000000007</v>
      </c>
      <c r="AE13" s="6">
        <v>8.1999999999999993</v>
      </c>
      <c r="AF13" s="6">
        <v>8.1999999999999993</v>
      </c>
      <c r="AG13" s="6">
        <v>8.1999999999999993</v>
      </c>
      <c r="AH13" s="6">
        <v>8.1</v>
      </c>
      <c r="AI13" s="6">
        <v>8.1</v>
      </c>
      <c r="AJ13" s="6">
        <v>8</v>
      </c>
      <c r="AK13" s="6">
        <v>8</v>
      </c>
    </row>
    <row r="14" spans="1:37" ht="15" thickBot="1" x14ac:dyDescent="0.35">
      <c r="A14" s="5" t="s">
        <v>12</v>
      </c>
      <c r="B14" s="6">
        <v>4.8</v>
      </c>
      <c r="C14" s="6">
        <v>4.8</v>
      </c>
      <c r="D14" s="6">
        <v>4.7</v>
      </c>
      <c r="E14" s="6">
        <v>4.4000000000000004</v>
      </c>
      <c r="F14" s="6">
        <v>4.2</v>
      </c>
      <c r="G14" s="6">
        <v>3.8</v>
      </c>
      <c r="H14" s="6">
        <v>3.8</v>
      </c>
      <c r="I14" s="6">
        <v>3.4</v>
      </c>
      <c r="J14" s="6">
        <v>3.5</v>
      </c>
      <c r="K14" s="6">
        <v>3.4</v>
      </c>
      <c r="L14" s="6">
        <v>3.4</v>
      </c>
      <c r="M14" s="6">
        <v>3.3</v>
      </c>
      <c r="N14" s="6">
        <v>3.1</v>
      </c>
      <c r="O14" s="6">
        <v>2.9</v>
      </c>
      <c r="P14" s="6">
        <v>2.8</v>
      </c>
      <c r="Q14" s="6">
        <v>2.5</v>
      </c>
      <c r="R14" s="6">
        <v>2.4</v>
      </c>
      <c r="S14" s="6">
        <v>2.1</v>
      </c>
      <c r="T14" s="6">
        <v>1.9</v>
      </c>
      <c r="U14" s="6">
        <v>1.9</v>
      </c>
      <c r="V14" s="6">
        <v>1.8</v>
      </c>
      <c r="W14" s="6">
        <v>1.8</v>
      </c>
      <c r="X14" s="6">
        <v>1.7</v>
      </c>
      <c r="Y14" s="6">
        <v>1.6</v>
      </c>
      <c r="Z14" s="6">
        <v>1.5</v>
      </c>
      <c r="AA14" s="6">
        <v>1.4</v>
      </c>
      <c r="AB14" s="6">
        <v>1.3</v>
      </c>
      <c r="AC14" s="6">
        <v>1.3</v>
      </c>
      <c r="AD14" s="6">
        <v>1.2</v>
      </c>
      <c r="AE14" s="6">
        <v>1.1000000000000001</v>
      </c>
      <c r="AF14" s="6">
        <v>1.1000000000000001</v>
      </c>
      <c r="AG14" s="6">
        <v>1.1000000000000001</v>
      </c>
      <c r="AH14" s="6">
        <v>1.1000000000000001</v>
      </c>
      <c r="AI14" s="6">
        <v>1.1000000000000001</v>
      </c>
      <c r="AJ14" s="6">
        <v>1</v>
      </c>
      <c r="AK14" s="6">
        <v>1</v>
      </c>
    </row>
    <row r="15" spans="1:37" x14ac:dyDescent="0.3">
      <c r="A15" s="5" t="s">
        <v>13</v>
      </c>
      <c r="B15" s="6">
        <v>156.69999999999999</v>
      </c>
      <c r="C15" s="6">
        <v>148.19999999999999</v>
      </c>
      <c r="D15" s="6">
        <v>153.5</v>
      </c>
      <c r="E15" s="6">
        <v>147.1</v>
      </c>
      <c r="F15" s="6">
        <v>148.19999999999999</v>
      </c>
      <c r="G15" s="6">
        <v>146.6</v>
      </c>
      <c r="H15" s="6">
        <v>146.69999999999999</v>
      </c>
      <c r="I15" s="6">
        <v>147</v>
      </c>
      <c r="J15" s="6">
        <v>147.9</v>
      </c>
      <c r="K15" s="6">
        <v>144.69999999999999</v>
      </c>
      <c r="L15" s="6">
        <v>142.1</v>
      </c>
      <c r="M15" s="6">
        <v>138.4</v>
      </c>
      <c r="N15" s="6">
        <v>138.4</v>
      </c>
      <c r="O15" s="6">
        <v>125.8</v>
      </c>
      <c r="P15" s="6">
        <v>133</v>
      </c>
      <c r="Q15" s="6">
        <v>122.5</v>
      </c>
      <c r="R15" s="6">
        <v>119.8</v>
      </c>
      <c r="S15" s="6">
        <v>119.9</v>
      </c>
      <c r="T15" s="6">
        <v>114.1</v>
      </c>
      <c r="U15" s="6">
        <v>118.4</v>
      </c>
      <c r="V15" s="6">
        <v>117</v>
      </c>
      <c r="W15" s="6">
        <v>116.4</v>
      </c>
      <c r="X15" s="6">
        <v>117.2</v>
      </c>
      <c r="Y15" s="6">
        <v>116.1</v>
      </c>
      <c r="Z15" s="6">
        <v>106.7</v>
      </c>
      <c r="AA15" s="6">
        <v>109.5</v>
      </c>
      <c r="AB15" s="6">
        <v>102.6</v>
      </c>
      <c r="AC15" s="6">
        <v>97.8</v>
      </c>
      <c r="AD15" s="6">
        <v>98</v>
      </c>
      <c r="AE15" s="6">
        <v>98.3</v>
      </c>
      <c r="AF15" s="6">
        <v>100</v>
      </c>
      <c r="AG15" s="6">
        <v>99.2</v>
      </c>
      <c r="AH15" s="6">
        <v>98.2</v>
      </c>
      <c r="AI15" s="6">
        <v>94.6</v>
      </c>
      <c r="AJ15" s="6">
        <v>94.2</v>
      </c>
      <c r="AK15" s="6">
        <v>92.7</v>
      </c>
    </row>
    <row r="16" spans="1:37" x14ac:dyDescent="0.3">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sheetData>
  <mergeCells count="1">
    <mergeCell ref="A1:AK1"/>
  </mergeCells>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Contents</vt:lpstr>
      <vt:lpstr>T01</vt:lpstr>
      <vt:lpstr>T02</vt:lpstr>
      <vt:lpstr>T03</vt:lpstr>
      <vt:lpstr>T04</vt:lpstr>
      <vt:lpstr>T05</vt:lpstr>
      <vt:lpstr>T06</vt:lpstr>
      <vt:lpstr>T07</vt:lpstr>
      <vt:lpstr>T08</vt:lpstr>
      <vt:lpstr>T09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 Bryon</dc:creator>
  <cp:lastModifiedBy>Delphine Bassilière</cp:lastModifiedBy>
  <dcterms:created xsi:type="dcterms:W3CDTF">2026-06-09T07:12:53Z</dcterms:created>
  <dcterms:modified xsi:type="dcterms:W3CDTF">2026-06-10T08:37:38Z</dcterms:modified>
</cp:coreProperties>
</file>