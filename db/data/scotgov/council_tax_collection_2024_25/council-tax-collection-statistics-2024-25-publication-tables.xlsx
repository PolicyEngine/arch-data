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 Projects/Council Tax Collection/2024-25/Final Docs/"/>
    </mc:Choice>
  </mc:AlternateContent>
  <xr:revisionPtr revIDLastSave="335" documentId="8_{F4770D2D-300A-49DE-AED8-444902F2AC4E}" xr6:coauthVersionLast="47" xr6:coauthVersionMax="47" xr10:uidLastSave="{B2358DF0-65C4-4033-9E27-C4E578042CFA}"/>
  <bookViews>
    <workbookView xWindow="-110" yWindow="-110" windowWidth="19420" windowHeight="11500" tabRatio="665" xr2:uid="{00000000-000D-0000-FFFF-FFFF00000000}"/>
  </bookViews>
  <sheets>
    <sheet name="Contents" sheetId="28" r:id="rId1"/>
    <sheet name="Notes" sheetId="29" r:id="rId2"/>
    <sheet name="Figure 1" sheetId="13" r:id="rId3"/>
    <sheet name="Figure 2" sheetId="55" r:id="rId4"/>
    <sheet name="Figure 3" sheetId="36" r:id="rId5"/>
    <sheet name="Figure 4" sheetId="56" r:id="rId6"/>
    <sheet name="Figure 5" sheetId="50" r:id="rId7"/>
    <sheet name="Figure 6" sheetId="57" r:id="rId8"/>
    <sheet name="Figure 7" sheetId="18" r:id="rId9"/>
    <sheet name="Figure 8" sheetId="25" r:id="rId10"/>
    <sheet name="Figure 9" sheetId="51" r:id="rId11"/>
    <sheet name="Figure 10" sheetId="53" r:id="rId12"/>
    <sheet name="Archived data" sheetId="44" r:id="rId13"/>
  </sheets>
  <definedNames>
    <definedName name="_xlnm._FilterDatabase" localSheetId="4" hidden="1">'Figure 3'!$A$13:$K$46</definedName>
    <definedName name="_xlnm.Print_Area" localSheetId="12">'Archived data'!#REF!</definedName>
    <definedName name="_xlnm.Print_Area" localSheetId="0">Contents!$A$1:$F$23</definedName>
    <definedName name="_xlnm.Print_Area" localSheetId="2">'Figure 1'!$A$1:$J$39</definedName>
    <definedName name="_xlnm.Print_Area" localSheetId="4">'Figure 3'!$A$1:$I$47</definedName>
    <definedName name="_xlnm.Print_Area" localSheetId="6">'Figure 5'!$A$1:$J$45</definedName>
    <definedName name="_xlnm.Print_Area" localSheetId="8">'Figure 7'!$A$1:$J$13</definedName>
    <definedName name="_xlnm.Print_Area" localSheetId="9">'Figure 8'!$A$1:$J$18</definedName>
    <definedName name="_xlnm.Print_Area" localSheetId="10">'Figure 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36" l="1"/>
  <c r="R26" i="36"/>
</calcChain>
</file>

<file path=xl/sharedStrings.xml><?xml version="1.0" encoding="utf-8"?>
<sst xmlns="http://schemas.openxmlformats.org/spreadsheetml/2006/main" count="355" uniqueCount="217">
  <si>
    <t>1999-00</t>
  </si>
  <si>
    <t>2000-01</t>
  </si>
  <si>
    <t>2001-02</t>
  </si>
  <si>
    <t>2002-03</t>
  </si>
  <si>
    <t>2003-04</t>
  </si>
  <si>
    <t>Scotland</t>
  </si>
  <si>
    <t>Aberdeen City</t>
  </si>
  <si>
    <t>Aberdeenshire</t>
  </si>
  <si>
    <t>Argyll &amp; Bute</t>
  </si>
  <si>
    <t>Dumfries &amp; Galloway</t>
  </si>
  <si>
    <t>East Dunbartonshire</t>
  </si>
  <si>
    <t>Highland</t>
  </si>
  <si>
    <t>Inverclyde</t>
  </si>
  <si>
    <t>Shetland Islands</t>
  </si>
  <si>
    <t>2004-05</t>
  </si>
  <si>
    <t>2007-08</t>
  </si>
  <si>
    <t>2006-07</t>
  </si>
  <si>
    <t>2005-06</t>
  </si>
  <si>
    <t>2008-09</t>
  </si>
  <si>
    <t>2009-10</t>
  </si>
  <si>
    <t>2010-11</t>
  </si>
  <si>
    <t>2011-12</t>
  </si>
  <si>
    <t>2012-13</t>
  </si>
  <si>
    <t>2013-14</t>
  </si>
  <si>
    <t>Percentage collected after billing year</t>
  </si>
  <si>
    <t>2014-15</t>
  </si>
  <si>
    <t>2015-16</t>
  </si>
  <si>
    <t>Net amount 
billed (£000s)</t>
  </si>
  <si>
    <t>Year to which 
bill refers</t>
  </si>
  <si>
    <t>Notes</t>
  </si>
  <si>
    <t>Percentage collected 
in billing year</t>
  </si>
  <si>
    <t>Percentage</t>
  </si>
  <si>
    <t>received as</t>
  </si>
  <si>
    <t>at year end</t>
  </si>
  <si>
    <t>(31 March)</t>
  </si>
  <si>
    <t>Max</t>
  </si>
  <si>
    <t>Average (Scotland)</t>
  </si>
  <si>
    <t>Min</t>
  </si>
  <si>
    <t>For commentary and advice on these statistics please refer to the main publication.</t>
  </si>
  <si>
    <t>Contents</t>
  </si>
  <si>
    <t>For commentary and further details on these statistics please refer to the main publication.</t>
  </si>
  <si>
    <t>4. Enquiries</t>
  </si>
  <si>
    <t>Copies of this publication are available on the Scottish Government's website at:</t>
  </si>
  <si>
    <t>For enquiries about this publication, please contact:</t>
  </si>
  <si>
    <t xml:space="preserve">The Scottish Government's Council Tax Receipts Return (CTRR) collects data from local authorities on the total amounts of Council Tax billed and the total amounts </t>
  </si>
  <si>
    <t xml:space="preserve">As part of the quality assurance procedure, the Scottish Government carries out validation checks on the incoming data to identify possible errors. Potential problems </t>
  </si>
  <si>
    <t xml:space="preserve">are identified in a number of ways, including comparing the data received to: other known sources; data from previous years; and data from other local authorities. </t>
  </si>
  <si>
    <t>the Scottish Government website:</t>
  </si>
  <si>
    <t>Further information on Sources, Uses and Quality of Local Government Finance National Statistics can be found on the Local Government Finance Statistics pages of</t>
  </si>
  <si>
    <t xml:space="preserve">Where appropriate, views are also sought from policy colleagues – for example where a change in the data may be attributable to a policy change. To ensure the data </t>
  </si>
  <si>
    <t>2. Data Definitions</t>
  </si>
  <si>
    <t>3. Data Sources</t>
  </si>
  <si>
    <t>Directors of Finance and follow accountancy standards where applicable. Final audited figures will be published by the Scottish Government later in the year.</t>
  </si>
  <si>
    <t>Total for 
previous years</t>
  </si>
  <si>
    <t>Years</t>
  </si>
  <si>
    <t>Previous</t>
  </si>
  <si>
    <t>2016-17</t>
  </si>
  <si>
    <t>2017-18</t>
  </si>
  <si>
    <t xml:space="preserve"> </t>
  </si>
  <si>
    <t xml:space="preserve">2016-17 </t>
  </si>
  <si>
    <t>2018-19</t>
  </si>
  <si>
    <t xml:space="preserve">2017-18 </t>
  </si>
  <si>
    <t>Argyll and Bute</t>
  </si>
  <si>
    <t>2019-20</t>
  </si>
  <si>
    <t xml:space="preserve">collected for all years from 1999-00 to date - their continued cooperation is gratefully acknowledged.  </t>
  </si>
  <si>
    <t>The number of years covered by this return has been reduced as earlier years collections data is now fairly static. Years prior to 1999-00 have been archived.</t>
  </si>
  <si>
    <t xml:space="preserve">Data is requested from 1999-00 in line with the Scottish Parliament being established and the period of time over which Council Tax arrears can be pursued. </t>
  </si>
  <si>
    <t>is of a high quality, the Scottish Government then works with the relevant local authorities to resolve any data issues identified.</t>
  </si>
  <si>
    <t xml:space="preserve">2018-19 </t>
  </si>
  <si>
    <t>Proportion</t>
  </si>
  <si>
    <t>Council Tax</t>
  </si>
  <si>
    <t>Amount recv'd 
(£000s) as at
31 March 2019</t>
  </si>
  <si>
    <t>Amount 
uncollected 
(£000s) as at 
31 March 2019</t>
  </si>
  <si>
    <t>1998-99</t>
  </si>
  <si>
    <t>1997-98</t>
  </si>
  <si>
    <t>1996-97</t>
  </si>
  <si>
    <t>1993-94 to 1995-96</t>
  </si>
  <si>
    <t>Archived data -   Table 1: Council Tax billed and received as at March 2019</t>
  </si>
  <si>
    <t>Archived data as at 31 March 2019</t>
  </si>
  <si>
    <t>https://www.gov.scot/publications/local-government-finance-statistics-methodology-and-background/</t>
  </si>
  <si>
    <t xml:space="preserve">Should you require analysis that does not appear in this spreadsheet then please contact: </t>
  </si>
  <si>
    <t>2020-21</t>
  </si>
  <si>
    <t xml:space="preserve">2019-20 </t>
  </si>
  <si>
    <t xml:space="preserve">  </t>
  </si>
  <si>
    <t>Return to Contents</t>
  </si>
  <si>
    <t/>
  </si>
  <si>
    <t>NDR Distributable Amount</t>
  </si>
  <si>
    <t>Total General Funding</t>
  </si>
  <si>
    <t>https://www.gov.scot/collections/local-government-finance-statistics/#counciltax</t>
  </si>
  <si>
    <t>2021-22</t>
  </si>
  <si>
    <t>The figures are before any amounts written off for bad or doubtful debt. They reflect any correction to liabilities following billing.</t>
  </si>
  <si>
    <t>Other Funding</t>
  </si>
  <si>
    <t>Percentage 
received as at
31 March 2019</t>
  </si>
  <si>
    <t>Local authorities have reported their collection rates on a 'line by line' accounting basis for:</t>
  </si>
  <si>
    <r>
      <t xml:space="preserve">All figures are </t>
    </r>
    <r>
      <rPr>
        <b/>
        <sz val="12"/>
        <rFont val="Arial"/>
        <family val="2"/>
      </rPr>
      <t>net</t>
    </r>
    <r>
      <rPr>
        <sz val="12"/>
        <rFont val="Arial"/>
        <family val="2"/>
      </rPr>
      <t xml:space="preserve"> of discounts (e.g. single person discount), exemptions and surcharges.</t>
    </r>
  </si>
  <si>
    <t>Angus</t>
  </si>
  <si>
    <t>City of Edinburgh</t>
  </si>
  <si>
    <t>Clackmannanshire</t>
  </si>
  <si>
    <t>Dundee City</t>
  </si>
  <si>
    <t>East Ayrshire</t>
  </si>
  <si>
    <t>East Lothian</t>
  </si>
  <si>
    <t>East Renfrewshire</t>
  </si>
  <si>
    <t>Falkirk</t>
  </si>
  <si>
    <t>Fife</t>
  </si>
  <si>
    <t>Glasgow City</t>
  </si>
  <si>
    <t>Midlothian</t>
  </si>
  <si>
    <t>Moray</t>
  </si>
  <si>
    <t>Na h-Eileanan Siar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</si>
  <si>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</si>
  <si>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</si>
  <si>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</si>
  <si>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</si>
  <si>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</si>
  <si>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</si>
  <si>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South Ayrshire</t>
  </si>
  <si>
    <t>South Lanarkshire</t>
  </si>
  <si>
    <t>Stirling</t>
  </si>
  <si>
    <t>West Dunbartonshire</t>
  </si>
  <si>
    <t>West Lothian</t>
  </si>
  <si>
    <r>
      <t xml:space="preserve">Source: </t>
    </r>
    <r>
      <rPr>
        <sz val="12"/>
        <rFont val="Arial"/>
        <family val="2"/>
      </rPr>
      <t>Council Tax Receipts Return (CTRR)</t>
    </r>
  </si>
  <si>
    <r>
      <rPr>
        <b/>
        <sz val="12"/>
        <color theme="1"/>
        <rFont val="Arial"/>
        <family val="2"/>
      </rPr>
      <t xml:space="preserve">Source: </t>
    </r>
    <r>
      <rPr>
        <sz val="12"/>
        <color theme="1"/>
        <rFont val="Arial"/>
        <family val="2"/>
      </rPr>
      <t>LFR A0</t>
    </r>
  </si>
  <si>
    <t>Years prior to the latest year are closer to final collection rates as local authorities have had longer to collect late payments.</t>
  </si>
  <si>
    <t>Figures for amounts billed and collected up to and including 1995-96 include Council Water Charges</t>
  </si>
  <si>
    <t>Dumfries and Galloway has only provided figures from 1996-97 onwards</t>
  </si>
  <si>
    <t>For years prior to 1996-97, surcharges have been included for Aberdeenshire, Argyll and Bute, East Lothian, East Renfrewshire, Eilean Siar, Fife, North Ayrshire, Renfrewshire, Scottish Borders and Shetland Islands.</t>
  </si>
  <si>
    <t>2022-23</t>
  </si>
  <si>
    <t>Tax account, so could contribute towards their Council Tax liability and/or water and sewerage charges.</t>
  </si>
  <si>
    <t>Eligible households included those in Council Tax bands A-D or in receipt of a Council Tax Reduction (CTR) and for whom payment was made as a credit to their Council</t>
  </si>
  <si>
    <t>All figures are net of discounts (e.g. single person discount) and exemptions. They are after Council Tax Benefit/Reduction and exclude Water and Sewerage Charges but will</t>
  </si>
  <si>
    <t>their Council Tax (but not Water and Sewerage).</t>
  </si>
  <si>
    <t>as part payment of their Council Tax.</t>
  </si>
  <si>
    <t>Figures exclude Council Tax Benefit/Reduction and Water and Sewerage Charges but will include any Cost of Living payments used to meet individual Council Tax liabilities.</t>
  </si>
  <si>
    <t xml:space="preserve">Figures exclude Council Tax Benefit/Reduction and Water and Sewerage Charges but will include any Cost of Living payments used to meet individual Council Tax liabilities.  </t>
  </si>
  <si>
    <t xml:space="preserve">Figures exclude Council Tax Benefit/Reduction and Water and Sewerage Charges but will include any Cost of Living payments used to meet individual Council Tax liabilities. </t>
  </si>
  <si>
    <t>lgfstats@gov.scot</t>
  </si>
  <si>
    <t>1. An Accredited Official Statistics Publication for Scotland</t>
  </si>
  <si>
    <t>Statistics on Local Government Finance and Council Tax Collection in Scotland were assessed together on 28 June 2012.   </t>
  </si>
  <si>
    <t>Assessment Report 225 - Statistics on Local Government Finance and Council Tax Collection in Scotland (statisticsauthority.gov.uk)</t>
  </si>
  <si>
    <t xml:space="preserve">These statistics are accredited official statistics. </t>
  </si>
  <si>
    <t xml:space="preserve">The Office for Statistics Regulation has independently reviewed and accredited these statistics as complying with the </t>
  </si>
  <si>
    <t>standards of trustworthiness, quality, and value in the Code of Practice for Statistics.</t>
  </si>
  <si>
    <t>2023-24</t>
  </si>
  <si>
    <t>Figure 1: Council Tax billed and received</t>
  </si>
  <si>
    <t>Figure 3: In-year Council Tax percentage received, by year to which the bill refers by Local Authority</t>
  </si>
  <si>
    <r>
      <t xml:space="preserve">include any </t>
    </r>
    <r>
      <rPr>
        <b/>
        <sz val="13"/>
        <color theme="1"/>
        <rFont val="Arial"/>
        <family val="2"/>
      </rPr>
      <t>Cost of Living payments</t>
    </r>
    <r>
      <rPr>
        <sz val="13"/>
        <color theme="1"/>
        <rFont val="Arial"/>
        <family val="2"/>
      </rPr>
      <t xml:space="preserve"> used to meet individual Council Tax liabilities. Therefore, the amounts billed represent what those liable have been asked to pay towards </t>
    </r>
  </si>
  <si>
    <r>
      <t xml:space="preserve">The </t>
    </r>
    <r>
      <rPr>
        <b/>
        <sz val="13"/>
        <rFont val="Arial"/>
        <family val="2"/>
      </rPr>
      <t>Cost of Living payment</t>
    </r>
    <r>
      <rPr>
        <sz val="13"/>
        <color theme="1"/>
        <rFont val="Arial"/>
        <family val="2"/>
      </rPr>
      <t xml:space="preserve"> was a single £150 Council Tax payment made to eligible households in April 2022 by local authorities on behalf of the Scottish Government.</t>
    </r>
  </si>
  <si>
    <r>
      <t xml:space="preserve">The CTRR data is collected after the end of the financial year, but </t>
    </r>
    <r>
      <rPr>
        <b/>
        <sz val="13"/>
        <color indexed="8"/>
        <rFont val="Arial"/>
        <family val="2"/>
      </rPr>
      <t>before audit, and is therefore provisional</t>
    </r>
    <r>
      <rPr>
        <sz val="13"/>
        <color indexed="8"/>
        <rFont val="Arial"/>
        <family val="2"/>
      </rPr>
      <t xml:space="preserve">. These financial returns are approved by local authority </t>
    </r>
  </si>
  <si>
    <t xml:space="preserve">Figure 8: Percentage of Council Tax received as at 31 March each year, by year to which the bill refers </t>
  </si>
  <si>
    <t>General Funding Source</t>
  </si>
  <si>
    <t>General Revenue Grant (GRG)</t>
  </si>
  <si>
    <t>This worksheet contains one table. Please note the following:</t>
  </si>
  <si>
    <t xml:space="preserve">Na h-Eileanan Siar </t>
  </si>
  <si>
    <t>Dumfries and Galloway (l)</t>
  </si>
  <si>
    <t xml:space="preserve">Midlothian </t>
  </si>
  <si>
    <t>Perth and Kinross (l)</t>
  </si>
  <si>
    <t xml:space="preserve">Stirling </t>
  </si>
  <si>
    <t xml:space="preserve">Falkirk </t>
  </si>
  <si>
    <t>Figure 2 is an accessible chart and is available in the main publication</t>
  </si>
  <si>
    <t>Figure 4 is an accessible chart and is available in the main publication</t>
  </si>
  <si>
    <t>Figure 6 is an accessible chart and is available in the main publication</t>
  </si>
  <si>
    <t>Figure 9 is an accessible chart and is available in the main publication</t>
  </si>
  <si>
    <t>Figures 2, 4, 6 and 9 are accessible charts and feature in the main publication only.</t>
  </si>
  <si>
    <t>Figure 2: Council Tax Billed Continues to Rise</t>
  </si>
  <si>
    <t>Figure 8: Percentage of Council Tax received as at 31 March each year, by year to which the bill refers</t>
  </si>
  <si>
    <t xml:space="preserve">Figure 9: Bands B and E have the potential to yield the most Council Tax  </t>
  </si>
  <si>
    <r>
      <t xml:space="preserve">The 2022-23 collection rate is affected by households using the £150 </t>
    </r>
    <r>
      <rPr>
        <b/>
        <sz val="13"/>
        <color theme="1"/>
        <rFont val="Arial"/>
        <family val="2"/>
      </rPr>
      <t xml:space="preserve">Cost of Living payment, </t>
    </r>
    <r>
      <rPr>
        <sz val="13"/>
        <color theme="1"/>
        <rFont val="Arial"/>
        <family val="2"/>
      </rPr>
      <t>administered by local authorities on behalf of the Scottish Government.</t>
    </r>
  </si>
  <si>
    <r>
      <t xml:space="preserve">Source: </t>
    </r>
    <r>
      <rPr>
        <sz val="12"/>
        <rFont val="Arial"/>
        <family val="2"/>
      </rPr>
      <t>Council Tax Receipts Return (CTRR)</t>
    </r>
    <r>
      <rPr>
        <b/>
        <sz val="12"/>
        <rFont val="Arial"/>
        <family val="2"/>
      </rPr>
      <t xml:space="preserve">  </t>
    </r>
  </si>
  <si>
    <t>Council Tax Collection Statistics, 2024-25</t>
  </si>
  <si>
    <t>Figure 5: Percentage of Council Tax received as at 31 March 2025, by year to which the bill refers and Local Authority</t>
  </si>
  <si>
    <t xml:space="preserve">Figure 6: An increasing proportion of 2013-14 Council Tax has been collected over the past twelve years </t>
  </si>
  <si>
    <t>Figure 7: In-year Council Tax percentage received and total Council Tax percentage received as at 31 March 2025, by year to which the bill refers</t>
  </si>
  <si>
    <t>Figure 10: Local Authority Revenue Funding, 2023-24</t>
  </si>
  <si>
    <t>2024-25</t>
  </si>
  <si>
    <r>
      <t xml:space="preserve">Source: </t>
    </r>
    <r>
      <rPr>
        <sz val="12"/>
        <rFont val="Arial"/>
        <family val="2"/>
      </rPr>
      <t xml:space="preserve"> Council Tax Receipts Return (CTRR)</t>
    </r>
  </si>
  <si>
    <t xml:space="preserve"> The 2023-24 GRG figure differs to the Finance Circular allocation. </t>
  </si>
  <si>
    <t>‘Other Funding’ includes government grants paid to joint boards, income received through NDR TIF and BRIS schemes plus capital to revenue transfers</t>
  </si>
  <si>
    <t>CTRR is the source of the data.</t>
  </si>
  <si>
    <t>City of Edinburgh (l-m)</t>
  </si>
  <si>
    <t>East Lothian (e-m)</t>
  </si>
  <si>
    <t>Scottish Borders (g-m)</t>
  </si>
  <si>
    <t>South Ayrshire (e-m)</t>
  </si>
  <si>
    <t>West Dunbartonshire (l-m)</t>
  </si>
  <si>
    <t>West Lothian (l-m)</t>
  </si>
  <si>
    <t>Figure 4: In-year Council Tax collection remains steady</t>
  </si>
  <si>
    <t>This workbook contains data tables for Council Tax Collection Statistics 2024-25, published as part of the Accredited Official Statistics Publication:</t>
  </si>
  <si>
    <t>The Council Tax Receipts Return (CTRR) Q4 2024-25 was issued to local authorities in April 2025 and relates to their Council Tax billing and receipts to 31 March 2025.</t>
  </si>
  <si>
    <t>The 2024-25 collection rate is typically lower since it is effectively the in-year collection rate (i.e. before any late payments).</t>
  </si>
  <si>
    <t>Years prior to 2024-25 are closer to final collection rates as local authorities have had longer to collect late payments.</t>
  </si>
  <si>
    <r>
      <t xml:space="preserve">All figures are </t>
    </r>
    <r>
      <rPr>
        <b/>
        <sz val="12"/>
        <color theme="1"/>
        <rFont val="Arial"/>
        <family val="2"/>
      </rPr>
      <t>net</t>
    </r>
    <r>
      <rPr>
        <sz val="12"/>
        <color theme="1"/>
        <rFont val="Arial"/>
        <family val="2"/>
      </rPr>
      <t xml:space="preserve"> of discounts (e.g. single person discount), exemptions and surcharges.</t>
    </r>
  </si>
  <si>
    <r>
      <t xml:space="preserve">Source: </t>
    </r>
    <r>
      <rPr>
        <sz val="12"/>
        <color theme="1"/>
        <rFont val="Arial"/>
        <family val="2"/>
      </rPr>
      <t>Council Tax Receipts Return (CTRR)</t>
    </r>
  </si>
  <si>
    <t>Latest Year to 
31 March 2025</t>
  </si>
  <si>
    <t>1999-00 to 2023-24</t>
  </si>
  <si>
    <t>Total for all years 
to 31 March 2025</t>
  </si>
  <si>
    <t>1999-00 to 2024-25</t>
  </si>
  <si>
    <t>Amount recv'd 
(£000s) as at
31 March 2025</t>
  </si>
  <si>
    <t>Amount 
uncollected 
(£000s) as at 
31 March 2025</t>
  </si>
  <si>
    <t>Percentage 
received as at
31 March 2025</t>
  </si>
  <si>
    <t>Figures for 2024-25 are provisional</t>
  </si>
  <si>
    <t>Figure 5:  Percentage of Council Tax received as at 31 March 2025, by year to which the bill refers and Local Authority</t>
  </si>
  <si>
    <t>Percentage received as at 31 March 2025</t>
  </si>
  <si>
    <t>Note - the lower Council Tax collection rate in Comhairle nan Eilean Siar for the latest year 2024-25 is due to the council rebuilding its processes and dealing with backlogs following a cyber-attack in late 2023. </t>
  </si>
  <si>
    <t>This limited the amount of bill recovery work throughout much of that year. The council have now started a process of extended recovery.</t>
  </si>
  <si>
    <t>Figures from 2005-06 onwards include additional amounts in respect of reduced Second Home/Long Term Empty property discounts and premiums.</t>
  </si>
  <si>
    <t xml:space="preserve"> (b) 2013-14 (c) 2014-15 (d) 2015-16 (e) 2016-17 (f) 2017-18 (g) 2018-19 (h) 2019-20 (i) 2020-21 (j) 2021-22 (k) 2022-23 (l) 2023-24 (m) 2024-25</t>
  </si>
  <si>
    <t>Angus (b-m)</t>
  </si>
  <si>
    <t>Clackmannanshire (b-m)</t>
  </si>
  <si>
    <t>Dundee City (b-m)</t>
  </si>
  <si>
    <t>East Ayrshire (b-m)</t>
  </si>
  <si>
    <t>East Renfrewshire (b-m)</t>
  </si>
  <si>
    <t>Fife (b-m)</t>
  </si>
  <si>
    <t>Glasgow City (b-m)</t>
  </si>
  <si>
    <t>Moray (b-m)</t>
  </si>
  <si>
    <t>North Ayrshire (b-m)</t>
  </si>
  <si>
    <t>North Lanarkshire (b-m)</t>
  </si>
  <si>
    <t>Orkney Islands (b-m)</t>
  </si>
  <si>
    <t>Renfrewshire (b-m)</t>
  </si>
  <si>
    <t>South Lanarkshire (b-m)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</si>
</sst>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.0"/>
    <numFmt numFmtId="166" formatCode="#,##0_ ;\-#,##0\ "/>
    <numFmt numFmtId="167" formatCode="#,##0.00000"/>
    <numFmt numFmtId="168" formatCode="0.00000000000"/>
    <numFmt numFmtId="169" formatCode="0.0%"/>
    <numFmt numFmtId="170" formatCode="#,##0;\-#,##0;\-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7.5"/>
      <color indexed="12"/>
      <name val="Times New Roman"/>
      <family val="1"/>
    </font>
    <font>
      <sz val="9"/>
      <name val="Arial"/>
      <family val="2"/>
    </font>
    <font>
      <u/>
      <sz val="12"/>
      <color indexed="12"/>
      <name val="Arial"/>
      <family val="2"/>
    </font>
    <font>
      <sz val="10"/>
      <name val="Geneva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2"/>
      <color theme="0" tint="-0.499984740745262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sz val="10"/>
      <color theme="4"/>
      <name val="Arial"/>
      <family val="2"/>
    </font>
    <font>
      <u/>
      <sz val="12"/>
      <color rgb="FF0563C1"/>
      <name val="Arial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4"/>
      <name val="Arial"/>
      <family val="2"/>
    </font>
    <font>
      <sz val="10"/>
      <color theme="0" tint="-0.34998626667073579"/>
      <name val="Arial"/>
      <family val="2"/>
    </font>
    <font>
      <sz val="8"/>
      <name val="Arial"/>
      <family val="2"/>
    </font>
    <font>
      <sz val="13"/>
      <name val="Arial"/>
      <family val="2"/>
    </font>
    <font>
      <u/>
      <sz val="13"/>
      <color indexed="12"/>
      <name val="Arial"/>
      <family val="2"/>
    </font>
    <font>
      <sz val="13"/>
      <color rgb="FFFF0000"/>
      <name val="Arial"/>
      <family val="2"/>
    </font>
    <font>
      <sz val="13"/>
      <color theme="1"/>
      <name val="Arial"/>
      <family val="2"/>
    </font>
    <font>
      <sz val="13"/>
      <color theme="0" tint="-0.499984740745262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u/>
      <sz val="13"/>
      <color rgb="FF0000FF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u/>
      <sz val="13"/>
      <color theme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2"/>
      <name val="Aptos"/>
      <family val="2"/>
    </font>
    <font>
      <b/>
      <sz val="10"/>
      <color theme="1"/>
      <name val="Arial"/>
      <family val="2"/>
    </font>
    <font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2C486E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0" fontId="33" fillId="0" borderId="0" applyNumberFormat="0" applyFill="0" applyBorder="0" applyAlignment="0" applyProtection="0"/>
    <xf numFmtId="0" fontId="2" fillId="0" borderId="0"/>
    <xf numFmtId="0" fontId="1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7" fillId="0" borderId="6" applyNumberFormat="0" applyFill="0" applyAlignment="0" applyProtection="0"/>
    <xf numFmtId="43" fontId="1" fillId="0" borderId="0" applyFont="0" applyFill="0" applyBorder="0" applyAlignment="0" applyProtection="0"/>
    <xf numFmtId="9" fontId="52" fillId="0" borderId="0" applyFont="0" applyFill="0" applyBorder="0" applyAlignment="0" applyProtection="0"/>
  </cellStyleXfs>
  <cellXfs count="233">
    <xf numFmtId="0" fontId="0" fillId="0" borderId="0" xfId="0"/>
    <xf numFmtId="0" fontId="4" fillId="0" borderId="0" xfId="0" applyFont="1" applyAlignment="1">
      <alignment vertical="center"/>
    </xf>
    <xf numFmtId="0" fontId="10" fillId="0" borderId="0" xfId="0" quotePrefix="1" applyFont="1" applyAlignment="1">
      <alignment horizontal="right" vertical="center"/>
    </xf>
    <xf numFmtId="165" fontId="12" fillId="0" borderId="0" xfId="0" applyNumberFormat="1" applyFo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vertical="center"/>
    </xf>
    <xf numFmtId="164" fontId="0" fillId="0" borderId="0" xfId="0" applyNumberFormat="1"/>
    <xf numFmtId="164" fontId="8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0" xfId="0" applyFont="1"/>
    <xf numFmtId="165" fontId="6" fillId="0" borderId="0" xfId="0" applyNumberFormat="1" applyFont="1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14" fillId="0" borderId="0" xfId="0" applyFont="1" applyAlignment="1">
      <alignment vertical="center"/>
    </xf>
    <xf numFmtId="0" fontId="6" fillId="2" borderId="0" xfId="2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0" fillId="0" borderId="0" xfId="0" applyFont="1" applyAlignment="1">
      <alignment vertical="center"/>
    </xf>
    <xf numFmtId="164" fontId="26" fillId="0" borderId="0" xfId="0" applyNumberFormat="1" applyFont="1" applyAlignment="1">
      <alignment vertical="center"/>
    </xf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42"/>
    <xf numFmtId="0" fontId="19" fillId="3" borderId="0" xfId="42" applyFont="1" applyFill="1" applyAlignment="1">
      <alignment horizontal="right" vertical="center" wrapText="1"/>
    </xf>
    <xf numFmtId="0" fontId="19" fillId="3" borderId="0" xfId="42" applyFont="1" applyFill="1" applyAlignment="1">
      <alignment horizontal="left" vertical="center" wrapText="1"/>
    </xf>
    <xf numFmtId="0" fontId="4" fillId="2" borderId="0" xfId="42" applyFill="1"/>
    <xf numFmtId="0" fontId="4" fillId="2" borderId="0" xfId="42" applyFill="1" applyAlignment="1">
      <alignment vertical="center"/>
    </xf>
    <xf numFmtId="2" fontId="4" fillId="4" borderId="0" xfId="42" applyNumberFormat="1" applyFill="1" applyAlignment="1">
      <alignment horizontal="left" vertical="center" wrapText="1"/>
    </xf>
    <xf numFmtId="166" fontId="4" fillId="4" borderId="0" xfId="42" applyNumberFormat="1" applyFill="1" applyAlignment="1">
      <alignment horizontal="right" vertical="center" wrapText="1"/>
    </xf>
    <xf numFmtId="166" fontId="4" fillId="4" borderId="0" xfId="42" quotePrefix="1" applyNumberFormat="1" applyFill="1" applyAlignment="1">
      <alignment horizontal="right" vertical="center" wrapText="1"/>
    </xf>
    <xf numFmtId="0" fontId="4" fillId="0" borderId="0" xfId="42" applyAlignment="1">
      <alignment vertical="center"/>
    </xf>
    <xf numFmtId="165" fontId="4" fillId="0" borderId="0" xfId="42" applyNumberFormat="1" applyAlignment="1">
      <alignment vertical="center"/>
    </xf>
    <xf numFmtId="0" fontId="8" fillId="0" borderId="0" xfId="42" applyFont="1" applyAlignment="1">
      <alignment vertical="center"/>
    </xf>
    <xf numFmtId="164" fontId="4" fillId="0" borderId="0" xfId="42" applyNumberFormat="1" applyAlignment="1">
      <alignment horizontal="right" vertical="center"/>
    </xf>
    <xf numFmtId="0" fontId="14" fillId="0" borderId="0" xfId="42" quotePrefix="1" applyFont="1" applyAlignment="1">
      <alignment wrapText="1"/>
    </xf>
    <xf numFmtId="0" fontId="14" fillId="0" borderId="0" xfId="42" applyFont="1" applyAlignment="1">
      <alignment vertical="center"/>
    </xf>
    <xf numFmtId="165" fontId="14" fillId="0" borderId="0" xfId="42" applyNumberFormat="1" applyFont="1" applyAlignment="1">
      <alignment vertical="center"/>
    </xf>
    <xf numFmtId="0" fontId="28" fillId="0" borderId="0" xfId="42" applyFont="1" applyAlignment="1">
      <alignment vertical="center"/>
    </xf>
    <xf numFmtId="0" fontId="5" fillId="0" borderId="0" xfId="42" applyFont="1" applyAlignment="1">
      <alignment horizontal="left" vertical="center"/>
    </xf>
    <xf numFmtId="0" fontId="10" fillId="2" borderId="0" xfId="42" quotePrefix="1" applyFont="1" applyFill="1" applyAlignment="1">
      <alignment horizontal="right"/>
    </xf>
    <xf numFmtId="0" fontId="4" fillId="2" borderId="0" xfId="42" quotePrefix="1" applyFill="1"/>
    <xf numFmtId="3" fontId="4" fillId="4" borderId="1" xfId="42" applyNumberFormat="1" applyFill="1" applyBorder="1" applyAlignment="1">
      <alignment horizontal="right" vertical="center"/>
    </xf>
    <xf numFmtId="166" fontId="4" fillId="4" borderId="1" xfId="42" quotePrefix="1" applyNumberFormat="1" applyFill="1" applyBorder="1" applyAlignment="1">
      <alignment horizontal="right" vertical="center" wrapText="1"/>
    </xf>
    <xf numFmtId="164" fontId="4" fillId="4" borderId="1" xfId="42" quotePrefix="1" applyNumberFormat="1" applyFill="1" applyBorder="1" applyAlignment="1">
      <alignment horizontal="right" vertical="center" wrapText="1"/>
    </xf>
    <xf numFmtId="166" fontId="4" fillId="4" borderId="1" xfId="42" applyNumberFormat="1" applyFill="1" applyBorder="1" applyAlignment="1">
      <alignment horizontal="right" vertical="center" wrapText="1"/>
    </xf>
    <xf numFmtId="0" fontId="4" fillId="4" borderId="1" xfId="42" applyFill="1" applyBorder="1" applyAlignment="1">
      <alignment horizontal="left" vertical="center" wrapText="1"/>
    </xf>
    <xf numFmtId="0" fontId="27" fillId="2" borderId="0" xfId="42" applyFont="1" applyFill="1" applyAlignment="1">
      <alignment vertical="center"/>
    </xf>
    <xf numFmtId="0" fontId="27" fillId="2" borderId="0" xfId="42" applyFont="1" applyFill="1"/>
    <xf numFmtId="2" fontId="4" fillId="2" borderId="0" xfId="42" applyNumberFormat="1" applyFill="1" applyAlignment="1">
      <alignment horizontal="left" vertical="center" wrapText="1"/>
    </xf>
    <xf numFmtId="166" fontId="4" fillId="2" borderId="0" xfId="42" applyNumberFormat="1" applyFill="1" applyAlignment="1">
      <alignment horizontal="right" vertical="center" wrapText="1"/>
    </xf>
    <xf numFmtId="166" fontId="4" fillId="2" borderId="0" xfId="42" quotePrefix="1" applyNumberFormat="1" applyFill="1" applyAlignment="1">
      <alignment horizontal="right" vertical="center" wrapText="1"/>
    </xf>
    <xf numFmtId="164" fontId="4" fillId="2" borderId="0" xfId="42" quotePrefix="1" applyNumberFormat="1" applyFill="1" applyAlignment="1">
      <alignment horizontal="right" vertical="center" wrapText="1"/>
    </xf>
    <xf numFmtId="164" fontId="4" fillId="4" borderId="0" xfId="42" quotePrefix="1" applyNumberFormat="1" applyFill="1" applyAlignment="1">
      <alignment horizontal="right" vertical="center" wrapText="1"/>
    </xf>
    <xf numFmtId="0" fontId="4" fillId="2" borderId="0" xfId="42" applyFill="1" applyAlignment="1">
      <alignment horizontal="left" vertical="center"/>
    </xf>
    <xf numFmtId="166" fontId="20" fillId="0" borderId="0" xfId="42" applyNumberFormat="1" applyFont="1"/>
    <xf numFmtId="0" fontId="20" fillId="0" borderId="0" xfId="42" applyFont="1"/>
    <xf numFmtId="0" fontId="20" fillId="2" borderId="0" xfId="42" applyFont="1" applyFill="1"/>
    <xf numFmtId="0" fontId="20" fillId="2" borderId="0" xfId="42" applyFont="1" applyFill="1" applyAlignment="1">
      <alignment vertical="center"/>
    </xf>
    <xf numFmtId="168" fontId="20" fillId="2" borderId="0" xfId="42" applyNumberFormat="1" applyFont="1" applyFill="1" applyAlignment="1">
      <alignment vertical="center"/>
    </xf>
    <xf numFmtId="0" fontId="20" fillId="2" borderId="0" xfId="0" applyFont="1" applyFill="1"/>
    <xf numFmtId="0" fontId="32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3" fontId="26" fillId="0" borderId="0" xfId="43" applyNumberFormat="1" applyFont="1"/>
    <xf numFmtId="0" fontId="3" fillId="4" borderId="0" xfId="42" applyFont="1" applyFill="1" applyAlignment="1">
      <alignment vertical="center"/>
    </xf>
    <xf numFmtId="0" fontId="3" fillId="2" borderId="0" xfId="42" applyFont="1" applyFill="1" applyAlignment="1">
      <alignment vertical="center"/>
    </xf>
    <xf numFmtId="0" fontId="3" fillId="0" borderId="0" xfId="42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42" applyFont="1"/>
    <xf numFmtId="164" fontId="3" fillId="0" borderId="0" xfId="42" applyNumberFormat="1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0" borderId="5" xfId="42" applyBorder="1" applyAlignment="1">
      <alignment vertical="center"/>
    </xf>
    <xf numFmtId="164" fontId="3" fillId="0" borderId="0" xfId="42" applyNumberFormat="1" applyFont="1" applyAlignment="1">
      <alignment vertical="center"/>
    </xf>
    <xf numFmtId="164" fontId="3" fillId="0" borderId="2" xfId="42" applyNumberFormat="1" applyFont="1" applyBorder="1" applyAlignment="1">
      <alignment horizontal="right" vertical="center"/>
    </xf>
    <xf numFmtId="0" fontId="29" fillId="2" borderId="0" xfId="51" applyFont="1" applyFill="1" applyAlignment="1">
      <alignment horizontal="right" vertical="center"/>
    </xf>
    <xf numFmtId="0" fontId="29" fillId="2" borderId="0" xfId="51" applyFont="1" applyFill="1" applyAlignment="1">
      <alignment vertical="center"/>
    </xf>
    <xf numFmtId="0" fontId="21" fillId="2" borderId="0" xfId="51" applyFont="1" applyFill="1" applyAlignment="1">
      <alignment vertical="center"/>
    </xf>
    <xf numFmtId="0" fontId="29" fillId="2" borderId="0" xfId="52" applyFont="1" applyFill="1"/>
    <xf numFmtId="0" fontId="31" fillId="2" borderId="0" xfId="51" applyFont="1" applyFill="1" applyAlignment="1">
      <alignment vertical="center"/>
    </xf>
    <xf numFmtId="0" fontId="11" fillId="2" borderId="0" xfId="40" applyFill="1" applyAlignment="1" applyProtection="1">
      <alignment vertical="center"/>
    </xf>
    <xf numFmtId="0" fontId="34" fillId="2" borderId="0" xfId="51" applyFont="1" applyFill="1" applyAlignment="1">
      <alignment vertical="center"/>
    </xf>
    <xf numFmtId="0" fontId="34" fillId="5" borderId="0" xfId="51" applyFont="1" applyFill="1" applyAlignment="1">
      <alignment vertical="center"/>
    </xf>
    <xf numFmtId="0" fontId="9" fillId="5" borderId="0" xfId="51" applyFont="1" applyFill="1" applyAlignment="1">
      <alignment vertical="center"/>
    </xf>
    <xf numFmtId="0" fontId="9" fillId="5" borderId="0" xfId="51" applyFont="1" applyFill="1" applyAlignment="1">
      <alignment vertical="center" wrapText="1"/>
    </xf>
    <xf numFmtId="0" fontId="35" fillId="2" borderId="0" xfId="51" applyFont="1" applyFill="1" applyAlignment="1">
      <alignment vertical="center"/>
    </xf>
    <xf numFmtId="0" fontId="36" fillId="2" borderId="0" xfId="51" applyFont="1" applyFill="1" applyAlignment="1">
      <alignment vertical="center"/>
    </xf>
    <xf numFmtId="2" fontId="29" fillId="2" borderId="0" xfId="54" applyNumberFormat="1" applyFont="1" applyFill="1" applyBorder="1" applyAlignment="1">
      <alignment vertical="center"/>
    </xf>
    <xf numFmtId="0" fontId="5" fillId="5" borderId="0" xfId="51" quotePrefix="1" applyFont="1" applyFill="1" applyAlignment="1">
      <alignment vertical="center"/>
    </xf>
    <xf numFmtId="0" fontId="5" fillId="5" borderId="0" xfId="51" applyFont="1" applyFill="1" applyAlignment="1">
      <alignment vertical="center"/>
    </xf>
    <xf numFmtId="0" fontId="36" fillId="5" borderId="0" xfId="51" applyFont="1" applyFill="1" applyAlignment="1">
      <alignment vertical="center"/>
    </xf>
    <xf numFmtId="0" fontId="35" fillId="5" borderId="0" xfId="51" quotePrefix="1" applyFont="1" applyFill="1" applyAlignment="1">
      <alignment vertical="center"/>
    </xf>
    <xf numFmtId="10" fontId="29" fillId="2" borderId="0" xfId="54" applyNumberFormat="1" applyFont="1" applyFill="1" applyAlignment="1">
      <alignment vertical="center"/>
    </xf>
    <xf numFmtId="9" fontId="29" fillId="2" borderId="0" xfId="54" applyFont="1" applyFill="1" applyAlignment="1">
      <alignment vertical="center"/>
    </xf>
    <xf numFmtId="170" fontId="29" fillId="2" borderId="0" xfId="51" applyNumberFormat="1" applyFont="1" applyFill="1" applyAlignment="1">
      <alignment vertical="center"/>
    </xf>
    <xf numFmtId="169" fontId="29" fillId="2" borderId="0" xfId="54" applyNumberFormat="1" applyFont="1" applyFill="1" applyAlignment="1">
      <alignment vertical="center"/>
    </xf>
    <xf numFmtId="0" fontId="15" fillId="0" borderId="0" xfId="40" quotePrefix="1" applyFont="1" applyFill="1" applyAlignment="1" applyProtection="1">
      <alignment vertical="center"/>
    </xf>
    <xf numFmtId="0" fontId="3" fillId="4" borderId="0" xfId="42" applyFont="1" applyFill="1" applyAlignment="1">
      <alignment horizontal="center" vertical="center"/>
    </xf>
    <xf numFmtId="0" fontId="38" fillId="2" borderId="0" xfId="55" applyFont="1" applyFill="1" applyBorder="1" applyAlignment="1">
      <alignment vertical="center"/>
    </xf>
    <xf numFmtId="0" fontId="25" fillId="2" borderId="0" xfId="50" applyFont="1" applyFill="1" applyAlignment="1">
      <alignment vertical="center"/>
    </xf>
    <xf numFmtId="0" fontId="12" fillId="2" borderId="0" xfId="40" applyFont="1" applyFill="1" applyAlignment="1" applyProtection="1">
      <alignment vertical="center"/>
    </xf>
    <xf numFmtId="0" fontId="12" fillId="2" borderId="0" xfId="42" quotePrefix="1" applyFont="1" applyFill="1"/>
    <xf numFmtId="0" fontId="6" fillId="2" borderId="0" xfId="42" quotePrefix="1" applyFont="1" applyFill="1" applyAlignment="1">
      <alignment horizontal="left"/>
    </xf>
    <xf numFmtId="0" fontId="12" fillId="0" borderId="0" xfId="42" quotePrefix="1" applyFont="1"/>
    <xf numFmtId="0" fontId="6" fillId="0" borderId="0" xfId="42" applyFont="1" applyAlignment="1">
      <alignment vertical="center"/>
    </xf>
    <xf numFmtId="0" fontId="12" fillId="0" borderId="0" xfId="42" quotePrefix="1" applyFont="1" applyAlignment="1">
      <alignment horizontal="left"/>
    </xf>
    <xf numFmtId="0" fontId="18" fillId="2" borderId="0" xfId="0" applyFont="1" applyFill="1" applyAlignment="1">
      <alignment vertical="center"/>
    </xf>
    <xf numFmtId="0" fontId="39" fillId="2" borderId="0" xfId="42" applyFont="1" applyFill="1" applyAlignment="1">
      <alignment vertical="center"/>
    </xf>
    <xf numFmtId="3" fontId="39" fillId="2" borderId="0" xfId="42" applyNumberFormat="1" applyFont="1" applyFill="1" applyAlignment="1">
      <alignment vertical="center"/>
    </xf>
    <xf numFmtId="0" fontId="3" fillId="2" borderId="0" xfId="42" applyFont="1" applyFill="1" applyAlignment="1">
      <alignment horizontal="center" vertical="center"/>
    </xf>
    <xf numFmtId="0" fontId="3" fillId="0" borderId="2" xfId="42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64" fontId="18" fillId="0" borderId="0" xfId="0" applyNumberFormat="1" applyFont="1" applyAlignment="1">
      <alignment vertical="center"/>
    </xf>
    <xf numFmtId="0" fontId="41" fillId="0" borderId="0" xfId="0" applyFont="1"/>
    <xf numFmtId="0" fontId="41" fillId="0" borderId="0" xfId="0" applyFont="1" applyAlignment="1">
      <alignment vertical="center"/>
    </xf>
    <xf numFmtId="0" fontId="39" fillId="2" borderId="0" xfId="0" applyFont="1" applyFill="1"/>
    <xf numFmtId="164" fontId="20" fillId="0" borderId="0" xfId="0" applyNumberFormat="1" applyFont="1" applyAlignment="1">
      <alignment vertical="center"/>
    </xf>
    <xf numFmtId="0" fontId="12" fillId="2" borderId="0" xfId="0" applyFont="1" applyFill="1" applyAlignment="1">
      <alignment vertical="center"/>
    </xf>
    <xf numFmtId="0" fontId="42" fillId="0" borderId="0" xfId="40" quotePrefix="1" applyFont="1" applyFill="1" applyAlignment="1" applyProtection="1">
      <alignment vertical="center"/>
    </xf>
    <xf numFmtId="0" fontId="41" fillId="2" borderId="0" xfId="2" applyFont="1" applyFill="1"/>
    <xf numFmtId="0" fontId="41" fillId="2" borderId="0" xfId="2" applyFont="1" applyFill="1" applyAlignment="1">
      <alignment wrapText="1"/>
    </xf>
    <xf numFmtId="0" fontId="44" fillId="2" borderId="0" xfId="0" applyFont="1" applyFill="1"/>
    <xf numFmtId="0" fontId="45" fillId="2" borderId="0" xfId="0" applyFont="1" applyFill="1"/>
    <xf numFmtId="0" fontId="42" fillId="2" borderId="0" xfId="40" applyFont="1" applyFill="1" applyAlignment="1" applyProtection="1"/>
    <xf numFmtId="0" fontId="41" fillId="2" borderId="0" xfId="2" applyFont="1" applyFill="1" applyAlignment="1">
      <alignment vertical="top"/>
    </xf>
    <xf numFmtId="0" fontId="41" fillId="2" borderId="0" xfId="2" applyFont="1" applyFill="1" applyAlignment="1">
      <alignment vertical="top" wrapText="1"/>
    </xf>
    <xf numFmtId="0" fontId="42" fillId="0" borderId="0" xfId="40" applyFont="1" applyFill="1" applyAlignment="1" applyProtection="1">
      <alignment wrapText="1"/>
    </xf>
    <xf numFmtId="0" fontId="46" fillId="2" borderId="0" xfId="2" applyFont="1" applyFill="1"/>
    <xf numFmtId="0" fontId="42" fillId="2" borderId="0" xfId="41" applyFont="1" applyFill="1" applyAlignment="1" applyProtection="1">
      <alignment vertical="center"/>
    </xf>
    <xf numFmtId="0" fontId="44" fillId="2" borderId="0" xfId="0" applyFont="1" applyFill="1" applyAlignment="1">
      <alignment vertical="center"/>
    </xf>
    <xf numFmtId="14" fontId="44" fillId="2" borderId="0" xfId="0" applyNumberFormat="1" applyFont="1" applyFill="1" applyAlignment="1">
      <alignment vertical="center"/>
    </xf>
    <xf numFmtId="0" fontId="47" fillId="2" borderId="0" xfId="0" applyFont="1" applyFill="1"/>
    <xf numFmtId="0" fontId="42" fillId="0" borderId="0" xfId="40" applyFont="1" applyAlignment="1" applyProtection="1">
      <alignment vertical="center"/>
    </xf>
    <xf numFmtId="0" fontId="48" fillId="0" borderId="0" xfId="40" applyFont="1" applyAlignment="1" applyProtection="1">
      <alignment vertical="center"/>
    </xf>
    <xf numFmtId="0" fontId="44" fillId="2" borderId="0" xfId="0" applyFont="1" applyFill="1" applyAlignment="1">
      <alignment horizontal="left" vertical="center"/>
    </xf>
    <xf numFmtId="0" fontId="43" fillId="2" borderId="0" xfId="0" applyFont="1" applyFill="1"/>
    <xf numFmtId="0" fontId="41" fillId="2" borderId="0" xfId="42" applyFont="1" applyFill="1"/>
    <xf numFmtId="0" fontId="43" fillId="2" borderId="0" xfId="42" applyFont="1" applyFill="1"/>
    <xf numFmtId="0" fontId="44" fillId="2" borderId="0" xfId="42" applyFont="1" applyFill="1"/>
    <xf numFmtId="0" fontId="44" fillId="2" borderId="0" xfId="42" applyFont="1" applyFill="1" applyAlignment="1">
      <alignment horizontal="left" vertical="center"/>
    </xf>
    <xf numFmtId="0" fontId="51" fillId="2" borderId="0" xfId="40" applyFont="1" applyFill="1" applyBorder="1" applyAlignment="1" applyProtection="1"/>
    <xf numFmtId="169" fontId="4" fillId="0" borderId="0" xfId="57" applyNumberFormat="1" applyFont="1" applyAlignment="1">
      <alignment vertical="center"/>
    </xf>
    <xf numFmtId="169" fontId="32" fillId="0" borderId="0" xfId="57" applyNumberFormat="1" applyFont="1" applyAlignment="1">
      <alignment vertical="center"/>
    </xf>
    <xf numFmtId="0" fontId="3" fillId="4" borderId="0" xfId="42" applyFont="1" applyFill="1" applyAlignment="1">
      <alignment vertical="center" wrapText="1"/>
    </xf>
    <xf numFmtId="0" fontId="53" fillId="7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6" borderId="0" xfId="0" applyFont="1" applyFill="1" applyAlignment="1">
      <alignment vertical="center"/>
    </xf>
    <xf numFmtId="0" fontId="53" fillId="7" borderId="0" xfId="0" applyFont="1" applyFill="1" applyAlignment="1">
      <alignment horizontal="right" vertical="center"/>
    </xf>
    <xf numFmtId="164" fontId="8" fillId="0" borderId="0" xfId="42" applyNumberFormat="1" applyFont="1" applyAlignment="1">
      <alignment horizontal="right" vertical="center"/>
    </xf>
    <xf numFmtId="164" fontId="3" fillId="4" borderId="0" xfId="42" applyNumberFormat="1" applyFont="1" applyFill="1" applyAlignment="1">
      <alignment horizontal="right" vertical="center"/>
    </xf>
    <xf numFmtId="164" fontId="3" fillId="0" borderId="0" xfId="42" applyNumberFormat="1" applyFont="1" applyAlignment="1">
      <alignment horizontal="right" vertical="center"/>
    </xf>
    <xf numFmtId="164" fontId="3" fillId="2" borderId="0" xfId="42" applyNumberFormat="1" applyFont="1" applyFill="1" applyAlignment="1">
      <alignment horizontal="right" vertical="center"/>
    </xf>
    <xf numFmtId="164" fontId="3" fillId="0" borderId="5" xfId="42" applyNumberFormat="1" applyFont="1" applyBorder="1" applyAlignment="1">
      <alignment horizontal="right" vertical="center"/>
    </xf>
    <xf numFmtId="3" fontId="0" fillId="2" borderId="0" xfId="0" applyNumberFormat="1" applyFill="1" applyAlignment="1">
      <alignment vertical="center"/>
    </xf>
    <xf numFmtId="2" fontId="20" fillId="2" borderId="0" xfId="42" applyNumberFormat="1" applyFont="1" applyFill="1" applyAlignment="1">
      <alignment vertical="center"/>
    </xf>
    <xf numFmtId="164" fontId="3" fillId="4" borderId="0" xfId="42" applyNumberFormat="1" applyFont="1" applyFill="1" applyAlignment="1">
      <alignment vertical="center"/>
    </xf>
    <xf numFmtId="164" fontId="3" fillId="2" borderId="0" xfId="42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3" fillId="0" borderId="5" xfId="42" applyFont="1" applyBorder="1" applyAlignment="1">
      <alignment vertical="center" wrapText="1"/>
    </xf>
    <xf numFmtId="0" fontId="19" fillId="3" borderId="5" xfId="42" applyFont="1" applyFill="1" applyBorder="1" applyAlignment="1">
      <alignment horizontal="right" vertical="center" wrapText="1"/>
    </xf>
    <xf numFmtId="0" fontId="19" fillId="3" borderId="5" xfId="42" applyFont="1" applyFill="1" applyBorder="1" applyAlignment="1">
      <alignment horizontal="left" vertical="center" wrapText="1"/>
    </xf>
    <xf numFmtId="0" fontId="42" fillId="0" borderId="0" xfId="40" applyFont="1" applyFill="1" applyAlignment="1" applyProtection="1">
      <alignment vertical="center"/>
    </xf>
    <xf numFmtId="0" fontId="15" fillId="2" borderId="0" xfId="40" applyFont="1" applyFill="1" applyAlignment="1" applyProtection="1"/>
    <xf numFmtId="0" fontId="32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0" fillId="0" borderId="0" xfId="42" applyFont="1" applyAlignment="1">
      <alignment vertical="center"/>
    </xf>
    <xf numFmtId="0" fontId="4" fillId="4" borderId="0" xfId="42" applyFill="1" applyAlignment="1">
      <alignment vertical="center"/>
    </xf>
    <xf numFmtId="164" fontId="0" fillId="0" borderId="5" xfId="0" applyNumberFormat="1" applyBorder="1"/>
    <xf numFmtId="164" fontId="0" fillId="4" borderId="0" xfId="0" applyNumberFormat="1" applyFill="1"/>
    <xf numFmtId="164" fontId="8" fillId="0" borderId="0" xfId="0" applyNumberFormat="1" applyFont="1"/>
    <xf numFmtId="0" fontId="24" fillId="2" borderId="0" xfId="2" applyFont="1" applyFill="1"/>
    <xf numFmtId="0" fontId="44" fillId="2" borderId="0" xfId="2" applyFont="1" applyFill="1"/>
    <xf numFmtId="0" fontId="17" fillId="2" borderId="0" xfId="42" applyFont="1" applyFill="1"/>
    <xf numFmtId="166" fontId="17" fillId="0" borderId="0" xfId="42" applyNumberFormat="1" applyFont="1"/>
    <xf numFmtId="0" fontId="17" fillId="0" borderId="0" xfId="42" applyFont="1"/>
    <xf numFmtId="0" fontId="17" fillId="2" borderId="0" xfId="0" applyFont="1" applyFill="1"/>
    <xf numFmtId="0" fontId="21" fillId="2" borderId="0" xfId="40" applyFont="1" applyFill="1" applyAlignment="1" applyProtection="1">
      <alignment vertical="center"/>
    </xf>
    <xf numFmtId="0" fontId="21" fillId="2" borderId="0" xfId="42" quotePrefix="1" applyFont="1" applyFill="1"/>
    <xf numFmtId="0" fontId="30" fillId="2" borderId="0" xfId="42" quotePrefix="1" applyFont="1" applyFill="1" applyAlignment="1">
      <alignment horizontal="left"/>
    </xf>
    <xf numFmtId="0" fontId="17" fillId="2" borderId="0" xfId="42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55" fillId="2" borderId="7" xfId="42" applyFont="1" applyFill="1" applyBorder="1" applyAlignment="1">
      <alignment vertical="center" wrapText="1"/>
    </xf>
    <xf numFmtId="0" fontId="55" fillId="4" borderId="7" xfId="0" applyFont="1" applyFill="1" applyBorder="1" applyAlignment="1">
      <alignment vertical="center"/>
    </xf>
    <xf numFmtId="3" fontId="55" fillId="4" borderId="1" xfId="0" applyNumberFormat="1" applyFont="1" applyFill="1" applyBorder="1" applyAlignment="1">
      <alignment horizontal="right" vertical="center" wrapText="1"/>
    </xf>
    <xf numFmtId="3" fontId="55" fillId="4" borderId="1" xfId="0" applyNumberFormat="1" applyFont="1" applyFill="1" applyBorder="1" applyAlignment="1">
      <alignment horizontal="right" vertical="center"/>
    </xf>
    <xf numFmtId="169" fontId="55" fillId="4" borderId="1" xfId="57" applyNumberFormat="1" applyFont="1" applyFill="1" applyBorder="1" applyAlignment="1">
      <alignment horizontal="right" vertical="center"/>
    </xf>
    <xf numFmtId="0" fontId="55" fillId="2" borderId="0" xfId="42" applyFont="1" applyFill="1" applyAlignment="1">
      <alignment vertical="center" wrapText="1"/>
    </xf>
    <xf numFmtId="3" fontId="17" fillId="0" borderId="0" xfId="0" applyNumberFormat="1" applyFont="1" applyAlignment="1">
      <alignment horizontal="right" vertical="center" wrapText="1"/>
    </xf>
    <xf numFmtId="3" fontId="17" fillId="0" borderId="0" xfId="0" applyNumberFormat="1" applyFont="1" applyAlignment="1">
      <alignment horizontal="right" vertical="center"/>
    </xf>
    <xf numFmtId="169" fontId="17" fillId="0" borderId="0" xfId="57" applyNumberFormat="1" applyFont="1" applyFill="1" applyBorder="1" applyAlignment="1">
      <alignment horizontal="right" vertical="center"/>
    </xf>
    <xf numFmtId="0" fontId="17" fillId="4" borderId="0" xfId="0" applyFont="1" applyFill="1" applyAlignment="1">
      <alignment vertical="center"/>
    </xf>
    <xf numFmtId="3" fontId="17" fillId="4" borderId="0" xfId="0" applyNumberFormat="1" applyFont="1" applyFill="1" applyAlignment="1">
      <alignment horizontal="right" vertical="center" wrapText="1"/>
    </xf>
    <xf numFmtId="3" fontId="17" fillId="4" borderId="0" xfId="0" applyNumberFormat="1" applyFont="1" applyFill="1" applyAlignment="1">
      <alignment horizontal="right" vertical="center"/>
    </xf>
    <xf numFmtId="169" fontId="17" fillId="4" borderId="0" xfId="57" applyNumberFormat="1" applyFont="1" applyFill="1" applyBorder="1" applyAlignment="1">
      <alignment horizontal="right" vertical="center"/>
    </xf>
    <xf numFmtId="2" fontId="17" fillId="0" borderId="0" xfId="42" applyNumberFormat="1" applyFont="1" applyAlignment="1">
      <alignment horizontal="left" vertical="center" wrapText="1"/>
    </xf>
    <xf numFmtId="2" fontId="17" fillId="4" borderId="0" xfId="42" applyNumberFormat="1" applyFont="1" applyFill="1" applyAlignment="1">
      <alignment horizontal="left" vertical="center" wrapText="1"/>
    </xf>
    <xf numFmtId="0" fontId="55" fillId="2" borderId="0" xfId="42" quotePrefix="1" applyFont="1" applyFill="1" applyAlignment="1">
      <alignment horizontal="left" vertical="center"/>
    </xf>
    <xf numFmtId="166" fontId="55" fillId="2" borderId="0" xfId="42" quotePrefix="1" applyNumberFormat="1" applyFont="1" applyFill="1" applyAlignment="1">
      <alignment horizontal="left" vertical="center"/>
    </xf>
    <xf numFmtId="166" fontId="17" fillId="2" borderId="0" xfId="42" applyNumberFormat="1" applyFont="1" applyFill="1" applyAlignment="1">
      <alignment vertical="center"/>
    </xf>
    <xf numFmtId="167" fontId="17" fillId="2" borderId="0" xfId="42" applyNumberFormat="1" applyFont="1" applyFill="1" applyAlignment="1">
      <alignment vertical="center"/>
    </xf>
    <xf numFmtId="0" fontId="55" fillId="2" borderId="0" xfId="42" applyFont="1" applyFill="1" applyAlignment="1">
      <alignment vertical="center"/>
    </xf>
    <xf numFmtId="3" fontId="17" fillId="0" borderId="1" xfId="0" applyNumberFormat="1" applyFont="1" applyBorder="1" applyAlignment="1">
      <alignment horizontal="right" vertical="center" wrapText="1"/>
    </xf>
    <xf numFmtId="3" fontId="17" fillId="0" borderId="1" xfId="0" applyNumberFormat="1" applyFont="1" applyBorder="1" applyAlignment="1">
      <alignment horizontal="right" vertical="center"/>
    </xf>
    <xf numFmtId="169" fontId="17" fillId="0" borderId="1" xfId="57" applyNumberFormat="1" applyFont="1" applyFill="1" applyBorder="1" applyAlignment="1">
      <alignment horizontal="right" vertical="center"/>
    </xf>
    <xf numFmtId="0" fontId="55" fillId="2" borderId="3" xfId="42" quotePrefix="1" applyFont="1" applyFill="1" applyBorder="1" applyAlignment="1">
      <alignment horizontal="left" vertical="center" wrapText="1"/>
    </xf>
    <xf numFmtId="0" fontId="55" fillId="2" borderId="3" xfId="42" applyFont="1" applyFill="1" applyBorder="1" applyAlignment="1">
      <alignment horizontal="left" vertical="center" wrapText="1"/>
    </xf>
    <xf numFmtId="3" fontId="55" fillId="2" borderId="4" xfId="42" applyNumberFormat="1" applyFont="1" applyFill="1" applyBorder="1" applyAlignment="1">
      <alignment horizontal="right" vertical="center" wrapText="1"/>
    </xf>
    <xf numFmtId="169" fontId="55" fillId="2" borderId="1" xfId="57" applyNumberFormat="1" applyFont="1" applyFill="1" applyBorder="1" applyAlignment="1">
      <alignment horizontal="right" vertical="center"/>
    </xf>
    <xf numFmtId="0" fontId="55" fillId="2" borderId="5" xfId="42" quotePrefix="1" applyFont="1" applyFill="1" applyBorder="1" applyAlignment="1">
      <alignment horizontal="left" vertical="center" wrapText="1"/>
    </xf>
    <xf numFmtId="0" fontId="55" fillId="2" borderId="5" xfId="42" applyFont="1" applyFill="1" applyBorder="1" applyAlignment="1">
      <alignment horizontal="left" vertical="center" wrapText="1"/>
    </xf>
    <xf numFmtId="3" fontId="55" fillId="2" borderId="5" xfId="42" applyNumberFormat="1" applyFont="1" applyFill="1" applyBorder="1" applyAlignment="1">
      <alignment horizontal="right" vertical="center" wrapText="1"/>
    </xf>
    <xf numFmtId="169" fontId="55" fillId="2" borderId="5" xfId="57" applyNumberFormat="1" applyFont="1" applyFill="1" applyBorder="1" applyAlignment="1">
      <alignment horizontal="right" vertical="center"/>
    </xf>
    <xf numFmtId="0" fontId="3" fillId="2" borderId="0" xfId="0" applyFont="1" applyFill="1"/>
    <xf numFmtId="165" fontId="3" fillId="0" borderId="0" xfId="42" applyNumberFormat="1" applyFont="1" applyAlignment="1">
      <alignment vertical="center"/>
    </xf>
    <xf numFmtId="0" fontId="3" fillId="0" borderId="0" xfId="42" applyFont="1" applyAlignment="1">
      <alignment vertical="center" wrapText="1"/>
    </xf>
    <xf numFmtId="164" fontId="3" fillId="0" borderId="5" xfId="42" applyNumberFormat="1" applyFont="1" applyBorder="1" applyAlignment="1">
      <alignment vertical="center"/>
    </xf>
    <xf numFmtId="0" fontId="3" fillId="0" borderId="0" xfId="42" applyFont="1" applyAlignment="1">
      <alignment horizontal="center" vertical="center"/>
    </xf>
    <xf numFmtId="0" fontId="3" fillId="0" borderId="5" xfId="42" applyFont="1" applyBorder="1" applyAlignment="1">
      <alignment horizontal="center" vertical="center"/>
    </xf>
    <xf numFmtId="164" fontId="3" fillId="0" borderId="5" xfId="0" applyNumberFormat="1" applyFont="1" applyBorder="1"/>
    <xf numFmtId="0" fontId="12" fillId="0" borderId="0" xfId="0" applyFont="1"/>
    <xf numFmtId="3" fontId="12" fillId="2" borderId="0" xfId="0" applyNumberFormat="1" applyFont="1" applyFill="1" applyAlignment="1">
      <alignment vertical="center"/>
    </xf>
    <xf numFmtId="169" fontId="12" fillId="2" borderId="0" xfId="57" applyNumberFormat="1" applyFont="1" applyFill="1" applyAlignment="1">
      <alignment vertical="center"/>
    </xf>
    <xf numFmtId="3" fontId="56" fillId="3" borderId="0" xfId="0" applyNumberFormat="1" applyFont="1" applyFill="1" applyAlignment="1">
      <alignment vertical="center"/>
    </xf>
    <xf numFmtId="169" fontId="56" fillId="3" borderId="0" xfId="57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9" fillId="3" borderId="0" xfId="42" applyFont="1" applyFill="1" applyAlignment="1">
      <alignment horizontal="center" vertical="center"/>
    </xf>
  </cellXfs>
  <cellStyles count="58">
    <cellStyle name="%" xfId="1" xr:uid="{00000000-0005-0000-0000-000000000000}"/>
    <cellStyle name="% 2" xfId="2" xr:uid="{00000000-0005-0000-0000-000001000000}"/>
    <cellStyle name="Comma 10" xfId="56" xr:uid="{A626F620-5FAC-4D0F-894C-858415C8FDCE}"/>
    <cellStyle name="Comma 2" xfId="3" xr:uid="{00000000-0005-0000-0000-000002000000}"/>
    <cellStyle name="Comma 2 2" xfId="4" xr:uid="{00000000-0005-0000-0000-000003000000}"/>
    <cellStyle name="Comma 2 2 2" xfId="5" xr:uid="{00000000-0005-0000-0000-000004000000}"/>
    <cellStyle name="Comma 2 2 3" xfId="6" xr:uid="{00000000-0005-0000-0000-000005000000}"/>
    <cellStyle name="Comma 2 2 4" xfId="7" xr:uid="{00000000-0005-0000-0000-000006000000}"/>
    <cellStyle name="Comma 2 2 5" xfId="8" xr:uid="{00000000-0005-0000-0000-000007000000}"/>
    <cellStyle name="Comma 2 2 6" xfId="9" xr:uid="{00000000-0005-0000-0000-000008000000}"/>
    <cellStyle name="Comma 2 2 7" xfId="10" xr:uid="{00000000-0005-0000-0000-000009000000}"/>
    <cellStyle name="Comma 2 3" xfId="11" xr:uid="{00000000-0005-0000-0000-00000A000000}"/>
    <cellStyle name="Comma 2 4" xfId="12" xr:uid="{00000000-0005-0000-0000-00000B000000}"/>
    <cellStyle name="Comma 2 5" xfId="13" xr:uid="{00000000-0005-0000-0000-00000C000000}"/>
    <cellStyle name="Comma 2 6" xfId="14" xr:uid="{00000000-0005-0000-0000-00000D000000}"/>
    <cellStyle name="Comma 2 7" xfId="15" xr:uid="{00000000-0005-0000-0000-00000E000000}"/>
    <cellStyle name="Comma 2 8" xfId="16" xr:uid="{00000000-0005-0000-0000-00000F000000}"/>
    <cellStyle name="Comma 2 9" xfId="17" xr:uid="{00000000-0005-0000-0000-000010000000}"/>
    <cellStyle name="Comma 3" xfId="18" xr:uid="{00000000-0005-0000-0000-000011000000}"/>
    <cellStyle name="Comma 3 2" xfId="19" xr:uid="{00000000-0005-0000-0000-000012000000}"/>
    <cellStyle name="Comma 3 2 2" xfId="20" xr:uid="{00000000-0005-0000-0000-000013000000}"/>
    <cellStyle name="Comma 3 2 3" xfId="21" xr:uid="{00000000-0005-0000-0000-000014000000}"/>
    <cellStyle name="Comma 3 2 4" xfId="22" xr:uid="{00000000-0005-0000-0000-000015000000}"/>
    <cellStyle name="Comma 3 2 5" xfId="23" xr:uid="{00000000-0005-0000-0000-000016000000}"/>
    <cellStyle name="Comma 3 2 6" xfId="24" xr:uid="{00000000-0005-0000-0000-000017000000}"/>
    <cellStyle name="Comma 3 2 7" xfId="25" xr:uid="{00000000-0005-0000-0000-000018000000}"/>
    <cellStyle name="Comma 3 3" xfId="26" xr:uid="{00000000-0005-0000-0000-000019000000}"/>
    <cellStyle name="Comma 3 4" xfId="27" xr:uid="{00000000-0005-0000-0000-00001A000000}"/>
    <cellStyle name="Comma 3 5" xfId="28" xr:uid="{00000000-0005-0000-0000-00001B000000}"/>
    <cellStyle name="Comma 3 6" xfId="29" xr:uid="{00000000-0005-0000-0000-00001C000000}"/>
    <cellStyle name="Comma 3 7" xfId="30" xr:uid="{00000000-0005-0000-0000-00001D000000}"/>
    <cellStyle name="Comma 3 8" xfId="31" xr:uid="{00000000-0005-0000-0000-00001E000000}"/>
    <cellStyle name="Comma 3 9" xfId="32" xr:uid="{00000000-0005-0000-0000-00001F000000}"/>
    <cellStyle name="Comma 4" xfId="33" xr:uid="{00000000-0005-0000-0000-000020000000}"/>
    <cellStyle name="Comma 4 2" xfId="34" xr:uid="{00000000-0005-0000-0000-000021000000}"/>
    <cellStyle name="Comma 4 3" xfId="35" xr:uid="{00000000-0005-0000-0000-000022000000}"/>
    <cellStyle name="Comma 4 4" xfId="36" xr:uid="{00000000-0005-0000-0000-000023000000}"/>
    <cellStyle name="Comma 4 5" xfId="37" xr:uid="{00000000-0005-0000-0000-000024000000}"/>
    <cellStyle name="Comma 4 6" xfId="38" xr:uid="{00000000-0005-0000-0000-000025000000}"/>
    <cellStyle name="Comma 4 7" xfId="39" xr:uid="{00000000-0005-0000-0000-000026000000}"/>
    <cellStyle name="Comma 5" xfId="53" xr:uid="{00000000-0005-0000-0000-000027000000}"/>
    <cellStyle name="Heading 1" xfId="55" builtinId="16"/>
    <cellStyle name="Hyperlink" xfId="40" builtinId="8"/>
    <cellStyle name="Hyperlink 2" xfId="41" xr:uid="{00000000-0005-0000-0000-00002A000000}"/>
    <cellStyle name="Hyperlink 3" xfId="50" xr:uid="{00000000-0005-0000-0000-00002B000000}"/>
    <cellStyle name="Normal" xfId="0" builtinId="0"/>
    <cellStyle name="Normal 2" xfId="42" xr:uid="{00000000-0005-0000-0000-00002D000000}"/>
    <cellStyle name="Normal 2 2" xfId="52" xr:uid="{00000000-0005-0000-0000-00002E000000}"/>
    <cellStyle name="Normal 3" xfId="43" xr:uid="{00000000-0005-0000-0000-00002F000000}"/>
    <cellStyle name="Normal 4" xfId="44" xr:uid="{00000000-0005-0000-0000-000030000000}"/>
    <cellStyle name="Normal 4 2" xfId="45" xr:uid="{00000000-0005-0000-0000-000031000000}"/>
    <cellStyle name="Normal 5" xfId="46" xr:uid="{00000000-0005-0000-0000-000032000000}"/>
    <cellStyle name="Normal 6" xfId="51" xr:uid="{00000000-0005-0000-0000-000033000000}"/>
    <cellStyle name="Per cent" xfId="57" builtinId="5"/>
    <cellStyle name="Percent 2" xfId="47" xr:uid="{00000000-0005-0000-0000-000034000000}"/>
    <cellStyle name="Percent 3" xfId="48" xr:uid="{00000000-0005-0000-0000-000035000000}"/>
    <cellStyle name="Percent 4" xfId="54" xr:uid="{00000000-0005-0000-0000-000036000000}"/>
    <cellStyle name="Style 1" xfId="49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92075</xdr:rowOff>
    </xdr:from>
    <xdr:to>
      <xdr:col>4</xdr:col>
      <xdr:colOff>574675</xdr:colOff>
      <xdr:row>9</xdr:row>
      <xdr:rowOff>41275</xdr:rowOff>
    </xdr:to>
    <xdr:pic>
      <xdr:nvPicPr>
        <xdr:cNvPr id="14598" name="Picture 1">
          <a:extLst>
            <a:ext uri="{FF2B5EF4-FFF2-40B4-BE49-F238E27FC236}">
              <a16:creationId xmlns:a16="http://schemas.microsoft.com/office/drawing/2014/main" id="{00000000-0008-0000-0000-000006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9950" y="727075"/>
          <a:ext cx="1292225" cy="120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183148</xdr:colOff>
      <xdr:row>45</xdr:row>
      <xdr:rowOff>169111</xdr:rowOff>
    </xdr:from>
    <xdr:to>
      <xdr:col>16</xdr:col>
      <xdr:colOff>424448</xdr:colOff>
      <xdr:row>50</xdr:row>
      <xdr:rowOff>173789</xdr:rowOff>
    </xdr:to>
    <xdr:pic>
      <xdr:nvPicPr>
        <xdr:cNvPr id="2" name="Picture 1" descr="A logo with a check mark&#10;&#10;Description automatically generated with low confidence">
          <a:extLst>
            <a:ext uri="{FF2B5EF4-FFF2-40B4-BE49-F238E27FC236}">
              <a16:creationId xmlns:a16="http://schemas.microsoft.com/office/drawing/2014/main" id="{9D51C7AD-9B64-E6D6-290F-A77D8E27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3148" y="8778374"/>
          <a:ext cx="1524668" cy="100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gfstats@gov.scot" TargetMode="External"/><Relationship Id="rId1" Type="http://schemas.openxmlformats.org/officeDocument/2006/relationships/hyperlink" Target="https://www.gov.scot/collections/local-government-finance-statistic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scot/publications/local-government-finance-statistics-methodology-and-background/" TargetMode="External"/><Relationship Id="rId2" Type="http://schemas.openxmlformats.org/officeDocument/2006/relationships/hyperlink" Target="https://www.gov.scot/collections/local-government-finance-statistics/" TargetMode="External"/><Relationship Id="rId1" Type="http://schemas.openxmlformats.org/officeDocument/2006/relationships/hyperlink" Target="mailto:lgfstats@gov.scot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osr.statisticsauthority.gov.uk/wp-content/uploads/2015/12/images-assessmentreport225statisticsonlocalgovernmentfinanceandcounciltaxcollectioninscotlan_tcm97-4197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v.scot/collections/local-government-finance-statistic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zoomScaleNormal="100" workbookViewId="0">
      <selection activeCell="B5" sqref="B5"/>
    </sheetView>
  </sheetViews>
  <sheetFormatPr defaultColWidth="9.1796875" defaultRowHeight="15.5"/>
  <cols>
    <col min="1" max="1" width="6" style="19" customWidth="1"/>
    <col min="2" max="2" width="100.1796875" style="19" customWidth="1"/>
    <col min="3" max="3" width="33.54296875" style="19" customWidth="1"/>
    <col min="4" max="4" width="10.26953125" style="19" customWidth="1"/>
    <col min="5" max="5" width="9.1796875" style="19"/>
    <col min="6" max="6" width="5.1796875" style="19" customWidth="1"/>
    <col min="7" max="16384" width="9.1796875" style="19"/>
  </cols>
  <sheetData>
    <row r="1" spans="1:7" ht="18">
      <c r="A1" s="176" t="s">
        <v>167</v>
      </c>
      <c r="B1" s="18"/>
      <c r="G1" s="20"/>
    </row>
    <row r="2" spans="1:7">
      <c r="G2" s="20"/>
    </row>
    <row r="3" spans="1:7" s="126" customFormat="1" ht="16.5">
      <c r="A3" s="177" t="s">
        <v>184</v>
      </c>
      <c r="B3" s="125"/>
      <c r="C3" s="125"/>
      <c r="G3" s="127"/>
    </row>
    <row r="4" spans="1:7" s="126" customFormat="1" ht="16.5">
      <c r="A4" s="168" t="s">
        <v>167</v>
      </c>
      <c r="B4" s="125"/>
      <c r="C4" s="125"/>
      <c r="G4" s="127"/>
    </row>
    <row r="5" spans="1:7" s="126" customFormat="1" ht="16.5">
      <c r="A5" s="124"/>
      <c r="B5" s="125"/>
      <c r="C5" s="125"/>
      <c r="G5" s="127"/>
    </row>
    <row r="6" spans="1:7" s="126" customFormat="1" ht="16.5">
      <c r="A6" s="129" t="s">
        <v>38</v>
      </c>
      <c r="B6" s="130"/>
      <c r="C6" s="125"/>
      <c r="G6" s="127"/>
    </row>
    <row r="7" spans="1:7" s="126" customFormat="1" ht="16.5">
      <c r="A7" s="132" t="s">
        <v>161</v>
      </c>
      <c r="B7" s="125"/>
      <c r="C7" s="125"/>
      <c r="G7" s="127"/>
    </row>
    <row r="8" spans="1:7" s="126" customFormat="1" ht="16.5">
      <c r="A8" s="124" t="s">
        <v>80</v>
      </c>
      <c r="B8" s="125"/>
      <c r="C8" s="131" t="s">
        <v>134</v>
      </c>
      <c r="G8" s="127"/>
    </row>
    <row r="9" spans="1:7" s="126" customFormat="1" ht="16.5">
      <c r="B9" s="125"/>
      <c r="C9" s="125"/>
      <c r="G9" s="127"/>
    </row>
    <row r="10" spans="1:7" s="126" customFormat="1" ht="16.5">
      <c r="A10" s="132" t="s">
        <v>39</v>
      </c>
      <c r="B10" s="132"/>
      <c r="C10" s="124"/>
      <c r="G10" s="127"/>
    </row>
    <row r="11" spans="1:7" s="134" customFormat="1" ht="24" customHeight="1">
      <c r="A11" s="167" t="s">
        <v>29</v>
      </c>
      <c r="B11" s="133"/>
    </row>
    <row r="12" spans="1:7" s="134" customFormat="1" ht="24" customHeight="1">
      <c r="A12" s="123" t="s">
        <v>142</v>
      </c>
      <c r="B12" s="135"/>
    </row>
    <row r="13" spans="1:7" s="134" customFormat="1" ht="24" customHeight="1">
      <c r="A13" s="123" t="s">
        <v>162</v>
      </c>
      <c r="B13" s="135"/>
    </row>
    <row r="14" spans="1:7" s="134" customFormat="1" ht="24" customHeight="1">
      <c r="A14" s="123" t="s">
        <v>143</v>
      </c>
      <c r="B14" s="135"/>
    </row>
    <row r="15" spans="1:7" s="134" customFormat="1" ht="24" customHeight="1">
      <c r="A15" s="123" t="s">
        <v>183</v>
      </c>
      <c r="B15" s="135"/>
    </row>
    <row r="16" spans="1:7" s="134" customFormat="1" ht="24" customHeight="1">
      <c r="A16" s="123" t="s">
        <v>168</v>
      </c>
      <c r="B16" s="135"/>
    </row>
    <row r="17" spans="1:2" s="134" customFormat="1" ht="24" customHeight="1">
      <c r="A17" s="123" t="s">
        <v>169</v>
      </c>
      <c r="B17" s="135"/>
    </row>
    <row r="18" spans="1:2" s="134" customFormat="1" ht="24" customHeight="1">
      <c r="A18" s="123" t="s">
        <v>170</v>
      </c>
      <c r="B18" s="135"/>
    </row>
    <row r="19" spans="1:2" s="126" customFormat="1" ht="24" customHeight="1">
      <c r="A19" s="123" t="s">
        <v>163</v>
      </c>
    </row>
    <row r="20" spans="1:2" s="126" customFormat="1" ht="24" customHeight="1">
      <c r="A20" s="123" t="s">
        <v>164</v>
      </c>
    </row>
    <row r="21" spans="1:2" s="126" customFormat="1" ht="24" customHeight="1">
      <c r="A21" s="123" t="s">
        <v>171</v>
      </c>
    </row>
    <row r="22" spans="1:2" s="126" customFormat="1" ht="24" customHeight="1">
      <c r="A22" s="123"/>
    </row>
    <row r="23" spans="1:2" s="126" customFormat="1" ht="24" customHeight="1">
      <c r="A23" s="123" t="s">
        <v>78</v>
      </c>
    </row>
    <row r="24" spans="1:2" ht="24" customHeight="1">
      <c r="A24" s="100"/>
    </row>
    <row r="25" spans="1:2" ht="24" customHeight="1"/>
    <row r="26" spans="1:2" ht="24" customHeight="1"/>
    <row r="27" spans="1:2" ht="24" customHeight="1"/>
  </sheetData>
  <hyperlinks>
    <hyperlink ref="A11" location="Notes!A1" display="Notes" xr:uid="{00000000-0004-0000-0000-000000000000}"/>
    <hyperlink ref="A14" location="'Figure 3'!A1" display="Figure 3: In-year Council Tax percentage received, by year to which the bill refers by Local Authority" xr:uid="{00000000-0004-0000-0000-000001000000}"/>
    <hyperlink ref="A16" location="'Figure 5'!A1" display="Figure 5: Percentage of Council Tax received as at 31 March 2024, by year to which the bill refers and Local Authority" xr:uid="{00000000-0004-0000-0000-000003000000}"/>
    <hyperlink ref="A17" location="'Figure 6'!A1" display="Figure 6: In-year Council Tax percentage received and total Council Tax percentage received as at 31 March 2024, by year to which the bill refers" xr:uid="{00000000-0004-0000-0000-000004000000}"/>
    <hyperlink ref="A18" location="'Figure 7'!A1" display="Figure 7: Percentage of Council Tax received as at 31 March each year, by year to which the bill refers" xr:uid="{00000000-0004-0000-0000-000005000000}"/>
    <hyperlink ref="A19" location="'Figure 8'!A1" display="Figure 8: Local Authority Revenue Funding, 2022-23" xr:uid="{00000000-0004-0000-0000-000006000000}"/>
    <hyperlink ref="A23" location="'Archived data'!A1" display="Archived data as at 31 March 2019" xr:uid="{00000000-0004-0000-0000-000007000000}"/>
    <hyperlink ref="A13" location="'Figure 2'!A1" display="Figure 2: Net Council Tax billed each year (£ millions)" xr:uid="{00000000-0004-0000-0000-00000A000000}"/>
    <hyperlink ref="A15" location="'Figure 4'!A1" display="Figure 4: In-year Council Tax percentage received, by year to which the bill refers - Scotland, and minimum and maximum for Local Authorities" xr:uid="{00000000-0004-0000-0000-00000B000000}"/>
    <hyperlink ref="A20" location="'Figure 9'!A1" display="Figure 9: 2011-12 Council Tax percentage received as at 31 March each year " xr:uid="{00000000-0004-0000-0000-00000C000000}"/>
    <hyperlink ref="A21" location="'Figure 10'!A1" display="Figure 10: Council Tax Potential Yield in 2022-23, £ millions" xr:uid="{00000000-0004-0000-0000-00000D000000}"/>
    <hyperlink ref="A4" r:id="rId1" location="counciltax" xr:uid="{00000000-0004-0000-0000-000009000000}"/>
    <hyperlink ref="C8" r:id="rId2" xr:uid="{4F9DE8C1-6E23-4FC6-BC7F-E137715D2F8A}"/>
    <hyperlink ref="A12" location="'Figure 1'!A1" display="Figure 1: Council Tax billed and received" xr:uid="{00000000-0004-0000-0000-000002000000}"/>
  </hyperlinks>
  <pageMargins left="0.7" right="0.7" top="0.75" bottom="0.75" header="0.3" footer="0.3"/>
  <pageSetup paperSize="9" scale="8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1"/>
  <sheetViews>
    <sheetView showGridLines="0" zoomScale="90" zoomScaleNormal="90" workbookViewId="0">
      <selection activeCell="A3" sqref="A3"/>
    </sheetView>
  </sheetViews>
  <sheetFormatPr defaultColWidth="9.1796875" defaultRowHeight="15.5"/>
  <cols>
    <col min="1" max="1" width="7.81640625" style="19" customWidth="1"/>
    <col min="2" max="16384" width="9.1796875" style="19"/>
  </cols>
  <sheetData>
    <row r="1" spans="1:7" ht="20">
      <c r="A1" s="21" t="s">
        <v>29</v>
      </c>
    </row>
    <row r="2" spans="1:7" s="126" customFormat="1" ht="16.5">
      <c r="A2" s="129" t="s">
        <v>40</v>
      </c>
    </row>
    <row r="3" spans="1:7" s="126" customFormat="1" ht="16.5">
      <c r="A3" s="129"/>
    </row>
    <row r="4" spans="1:7" s="126" customFormat="1" ht="18">
      <c r="A4" s="22" t="s">
        <v>135</v>
      </c>
    </row>
    <row r="5" spans="1:7" s="126" customFormat="1" ht="16.5">
      <c r="A5" s="118" t="s">
        <v>138</v>
      </c>
    </row>
    <row r="6" spans="1:7" s="126" customFormat="1" ht="16.5">
      <c r="A6" s="118" t="s">
        <v>139</v>
      </c>
    </row>
    <row r="7" spans="1:7" s="126" customFormat="1" ht="16.5">
      <c r="A7" s="118" t="s">
        <v>140</v>
      </c>
    </row>
    <row r="8" spans="1:7" s="126" customFormat="1" ht="16.5">
      <c r="A8" s="137"/>
    </row>
    <row r="9" spans="1:7" s="126" customFormat="1" ht="16.5">
      <c r="A9" s="119" t="s">
        <v>136</v>
      </c>
    </row>
    <row r="10" spans="1:7" s="126" customFormat="1" ht="16.5">
      <c r="A10" s="138" t="s">
        <v>137</v>
      </c>
    </row>
    <row r="11" spans="1:7" s="126" customFormat="1" ht="16.5"/>
    <row r="12" spans="1:7" s="126" customFormat="1" ht="18">
      <c r="A12" s="22" t="s">
        <v>50</v>
      </c>
    </row>
    <row r="13" spans="1:7" s="126" customFormat="1" ht="16.5">
      <c r="A13" s="126" t="s">
        <v>128</v>
      </c>
      <c r="G13" s="139"/>
    </row>
    <row r="14" spans="1:7" s="126" customFormat="1" ht="16.5">
      <c r="A14" s="126" t="s">
        <v>144</v>
      </c>
      <c r="G14" s="139"/>
    </row>
    <row r="15" spans="1:7" s="126" customFormat="1" ht="16.5">
      <c r="A15" s="126" t="s">
        <v>129</v>
      </c>
    </row>
    <row r="16" spans="1:7" s="126" customFormat="1" ht="16.5"/>
    <row r="17" spans="1:19" s="126" customFormat="1" ht="16.5">
      <c r="A17" s="126" t="s">
        <v>165</v>
      </c>
    </row>
    <row r="18" spans="1:19" s="126" customFormat="1" ht="16.5">
      <c r="A18" s="126" t="s">
        <v>130</v>
      </c>
    </row>
    <row r="19" spans="1:19" s="126" customFormat="1" ht="16.5"/>
    <row r="20" spans="1:19" s="126" customFormat="1" ht="16.5">
      <c r="A20" s="126" t="s">
        <v>145</v>
      </c>
    </row>
    <row r="21" spans="1:19" s="126" customFormat="1" ht="16.5">
      <c r="A21" s="126" t="s">
        <v>127</v>
      </c>
    </row>
    <row r="22" spans="1:19" s="126" customFormat="1" ht="16.5">
      <c r="A22" s="126" t="s">
        <v>126</v>
      </c>
    </row>
    <row r="23" spans="1:19" s="126" customFormat="1" ht="16.5"/>
    <row r="24" spans="1:19" s="126" customFormat="1" ht="18">
      <c r="A24" s="22" t="s">
        <v>51</v>
      </c>
    </row>
    <row r="25" spans="1:19" s="126" customFormat="1" ht="16.5">
      <c r="A25" s="126" t="s">
        <v>185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</row>
    <row r="26" spans="1:19" s="126" customFormat="1" ht="16.5">
      <c r="A26" s="136"/>
    </row>
    <row r="27" spans="1:19" s="126" customFormat="1" ht="15" customHeight="1">
      <c r="A27" s="141" t="s">
        <v>44</v>
      </c>
      <c r="B27" s="142"/>
      <c r="C27" s="143"/>
      <c r="D27" s="143"/>
      <c r="E27" s="143"/>
      <c r="F27" s="143"/>
      <c r="G27" s="144"/>
    </row>
    <row r="28" spans="1:19" s="126" customFormat="1" ht="15" customHeight="1">
      <c r="A28" s="141" t="s">
        <v>64</v>
      </c>
      <c r="B28" s="142"/>
      <c r="C28" s="143"/>
      <c r="D28" s="143"/>
      <c r="E28" s="143"/>
      <c r="F28" s="143"/>
      <c r="G28" s="144"/>
    </row>
    <row r="29" spans="1:19" s="126" customFormat="1" ht="15" customHeight="1">
      <c r="A29" s="141" t="s">
        <v>65</v>
      </c>
      <c r="B29" s="142"/>
      <c r="C29" s="143"/>
      <c r="D29" s="143"/>
      <c r="E29" s="143"/>
      <c r="F29" s="143"/>
      <c r="G29" s="144"/>
      <c r="H29" s="143"/>
      <c r="I29" s="143"/>
      <c r="J29" s="143"/>
      <c r="K29" s="143"/>
      <c r="L29" s="143"/>
      <c r="M29" s="143"/>
      <c r="N29" s="143"/>
      <c r="O29" s="143"/>
    </row>
    <row r="30" spans="1:19" s="126" customFormat="1" ht="15" customHeight="1">
      <c r="A30" s="141" t="s">
        <v>66</v>
      </c>
      <c r="B30" s="142"/>
      <c r="C30" s="143"/>
      <c r="D30" s="143"/>
      <c r="E30" s="143"/>
      <c r="F30" s="143"/>
      <c r="G30" s="144"/>
      <c r="H30" s="143"/>
      <c r="I30" s="143"/>
      <c r="J30" s="143"/>
      <c r="K30" s="143"/>
      <c r="L30" s="143"/>
      <c r="M30" s="143"/>
      <c r="N30" s="143"/>
      <c r="O30" s="143"/>
    </row>
    <row r="31" spans="1:19" s="126" customFormat="1" ht="15" customHeight="1">
      <c r="A31" s="141" t="s">
        <v>176</v>
      </c>
      <c r="B31" s="142"/>
      <c r="C31" s="143"/>
      <c r="D31" s="143"/>
      <c r="E31" s="143"/>
      <c r="F31" s="143"/>
      <c r="G31" s="144"/>
      <c r="H31" s="143"/>
      <c r="I31" s="143"/>
      <c r="J31" s="143"/>
      <c r="K31" s="143"/>
      <c r="L31" s="143"/>
      <c r="M31" s="143"/>
      <c r="N31" s="143"/>
      <c r="O31" s="143"/>
    </row>
    <row r="32" spans="1:19" s="126" customFormat="1" ht="15" customHeight="1"/>
    <row r="33" spans="1:9" s="126" customFormat="1" ht="15" customHeight="1">
      <c r="A33" s="126" t="s">
        <v>146</v>
      </c>
    </row>
    <row r="34" spans="1:9" s="126" customFormat="1" ht="15" customHeight="1">
      <c r="A34" s="126" t="s">
        <v>52</v>
      </c>
    </row>
    <row r="35" spans="1:9" s="126" customFormat="1" ht="15" customHeight="1"/>
    <row r="36" spans="1:9" s="126" customFormat="1" ht="15" customHeight="1">
      <c r="A36" s="126" t="s">
        <v>45</v>
      </c>
    </row>
    <row r="37" spans="1:9" s="126" customFormat="1" ht="15" customHeight="1">
      <c r="A37" s="126" t="s">
        <v>46</v>
      </c>
    </row>
    <row r="38" spans="1:9" s="126" customFormat="1" ht="15" customHeight="1">
      <c r="A38" s="139" t="s">
        <v>49</v>
      </c>
      <c r="I38" s="139"/>
    </row>
    <row r="39" spans="1:9" s="126" customFormat="1" ht="15" customHeight="1">
      <c r="A39" s="134" t="s">
        <v>67</v>
      </c>
      <c r="I39" s="139"/>
    </row>
    <row r="40" spans="1:9" s="126" customFormat="1" ht="15" customHeight="1"/>
    <row r="41" spans="1:9" s="126" customFormat="1" ht="15" customHeight="1">
      <c r="A41" s="126" t="s">
        <v>48</v>
      </c>
    </row>
    <row r="42" spans="1:9" s="126" customFormat="1" ht="15" customHeight="1">
      <c r="A42" s="126" t="s">
        <v>47</v>
      </c>
      <c r="F42" s="128" t="s">
        <v>79</v>
      </c>
      <c r="H42" s="140"/>
      <c r="I42" s="140"/>
    </row>
    <row r="43" spans="1:9" s="126" customFormat="1" ht="15" customHeight="1">
      <c r="F43" s="128"/>
      <c r="H43" s="140"/>
      <c r="I43" s="140"/>
    </row>
    <row r="44" spans="1:9" s="126" customFormat="1" ht="15" customHeight="1">
      <c r="A44" s="119" t="s">
        <v>200</v>
      </c>
      <c r="F44" s="128"/>
      <c r="H44" s="140"/>
      <c r="I44" s="140"/>
    </row>
    <row r="45" spans="1:9" s="126" customFormat="1" ht="15" customHeight="1">
      <c r="A45" s="126" t="s">
        <v>201</v>
      </c>
      <c r="F45" s="128"/>
      <c r="H45" s="140"/>
      <c r="I45" s="140"/>
    </row>
    <row r="46" spans="1:9" s="126" customFormat="1" ht="15" customHeight="1">
      <c r="A46" s="145"/>
    </row>
    <row r="47" spans="1:9" s="126" customFormat="1" ht="18">
      <c r="A47" s="22" t="s">
        <v>41</v>
      </c>
    </row>
    <row r="48" spans="1:9" s="126" customFormat="1" ht="16.5">
      <c r="A48" s="126" t="s">
        <v>42</v>
      </c>
    </row>
    <row r="49" spans="1:9" s="126" customFormat="1" ht="16.5">
      <c r="A49" s="128" t="s">
        <v>88</v>
      </c>
      <c r="B49" s="140"/>
      <c r="C49" s="140"/>
      <c r="D49" s="140"/>
      <c r="E49" s="140"/>
    </row>
    <row r="50" spans="1:9" s="126" customFormat="1" ht="16.5"/>
    <row r="51" spans="1:9" s="126" customFormat="1" ht="16.5">
      <c r="A51" s="126" t="s">
        <v>43</v>
      </c>
      <c r="I51" s="128" t="s">
        <v>134</v>
      </c>
    </row>
  </sheetData>
  <hyperlinks>
    <hyperlink ref="I51" r:id="rId1" xr:uid="{00000000-0004-0000-0100-000000000000}"/>
    <hyperlink ref="A49" r:id="rId2" location="counciltax" xr:uid="{00000000-0004-0000-0100-000001000000}"/>
    <hyperlink ref="F42" r:id="rId3" xr:uid="{00000000-0004-0000-0100-000002000000}"/>
    <hyperlink ref="A10" r:id="rId4" display="https://osr.statisticsauthority.gov.uk/wp-content/uploads/2015/12/images-assessmentreport225statisticsonlocalgovernmentfinanceandcounciltaxcollectioninscotlan_tcm97-41977.pdf" xr:uid="{631C39B8-9DA7-4294-AEB7-336EA3C2C706}"/>
  </hyperlinks>
  <pageMargins left="0.7" right="0.7" top="0.75" bottom="0.75" header="0.3" footer="0.3"/>
  <pageSetup paperSize="9" scale="79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V168"/>
  <sheetViews>
    <sheetView showGridLines="0" topLeftCell="A9" zoomScaleNormal="100" zoomScaleSheetLayoutView="100" workbookViewId="0">
      <selection activeCell="F1" sqref="F1"/>
    </sheetView>
  </sheetViews>
  <sheetFormatPr defaultColWidth="9.1796875" defaultRowHeight="12.5"/>
  <cols>
    <col min="1" max="1" width="20.1796875" style="13" customWidth="1"/>
    <col min="2" max="2" width="17.453125" style="13" customWidth="1"/>
    <col min="3" max="5" width="15.7265625" style="13" customWidth="1"/>
    <col min="6" max="6" width="14.54296875" style="13" customWidth="1"/>
    <col min="7" max="7" width="14.7265625" style="65" bestFit="1" customWidth="1"/>
    <col min="8" max="8" width="11" style="65" bestFit="1" customWidth="1"/>
    <col min="9" max="9" width="10.36328125" style="65" bestFit="1" customWidth="1"/>
    <col min="10" max="17" width="9.1796875" style="65"/>
    <col min="18" max="16384" width="9.1796875" style="13"/>
  </cols>
  <sheetData>
    <row r="1" spans="1:22" ht="30" customHeight="1">
      <c r="A1" s="102" t="s">
        <v>142</v>
      </c>
      <c r="B1" s="31"/>
      <c r="C1" s="31"/>
      <c r="D1" s="31"/>
      <c r="E1" s="31"/>
      <c r="F1" s="31"/>
      <c r="G1" s="60"/>
      <c r="H1" s="61"/>
      <c r="I1" s="61"/>
      <c r="J1" s="61"/>
      <c r="K1" s="61"/>
      <c r="L1" s="61"/>
    </row>
    <row r="2" spans="1:22" s="181" customFormat="1" ht="19.5" customHeight="1">
      <c r="A2" s="150" t="s">
        <v>150</v>
      </c>
      <c r="B2" s="178"/>
      <c r="C2" s="178"/>
      <c r="D2" s="178"/>
      <c r="E2" s="178"/>
      <c r="F2" s="178"/>
      <c r="G2" s="179"/>
      <c r="H2" s="180"/>
      <c r="I2" s="180"/>
      <c r="J2" s="180"/>
      <c r="K2" s="180"/>
      <c r="L2" s="180"/>
    </row>
    <row r="3" spans="1:22" s="181" customFormat="1" ht="15.5">
      <c r="A3" s="182" t="s">
        <v>186</v>
      </c>
    </row>
    <row r="4" spans="1:22" s="181" customFormat="1" ht="15.5">
      <c r="A4" s="182" t="s">
        <v>187</v>
      </c>
    </row>
    <row r="5" spans="1:22" s="181" customFormat="1" ht="15.5">
      <c r="A5" s="183" t="s">
        <v>188</v>
      </c>
    </row>
    <row r="6" spans="1:22" s="181" customFormat="1" ht="15.5">
      <c r="A6" s="183" t="s">
        <v>90</v>
      </c>
    </row>
    <row r="7" spans="1:22" s="181" customFormat="1" ht="15.5">
      <c r="A7" s="183" t="s">
        <v>202</v>
      </c>
    </row>
    <row r="8" spans="1:22" s="186" customFormat="1" ht="15.5">
      <c r="A8" s="184" t="s">
        <v>189</v>
      </c>
      <c r="B8" s="178"/>
      <c r="C8" s="178"/>
      <c r="D8" s="178"/>
      <c r="E8" s="178"/>
      <c r="F8" s="178"/>
      <c r="G8" s="180"/>
      <c r="H8" s="180"/>
      <c r="I8" s="180"/>
      <c r="J8" s="180"/>
      <c r="K8" s="185"/>
      <c r="L8" s="178"/>
    </row>
    <row r="9" spans="1:22" ht="15.5">
      <c r="A9" s="103" t="s">
        <v>84</v>
      </c>
    </row>
    <row r="10" spans="1:22">
      <c r="A10" s="84"/>
      <c r="C10" s="65"/>
      <c r="D10" s="65"/>
    </row>
    <row r="11" spans="1:22" s="14" customFormat="1" ht="54" customHeight="1" thickBot="1">
      <c r="A11" s="165"/>
      <c r="B11" s="166" t="s">
        <v>28</v>
      </c>
      <c r="C11" s="29" t="s">
        <v>27</v>
      </c>
      <c r="D11" s="29" t="s">
        <v>194</v>
      </c>
      <c r="E11" s="29" t="s">
        <v>195</v>
      </c>
      <c r="F11" s="29" t="s">
        <v>196</v>
      </c>
      <c r="G11" s="63"/>
      <c r="H11" s="63"/>
      <c r="I11" s="63"/>
      <c r="J11" s="62"/>
      <c r="K11" s="62"/>
      <c r="L11" s="63"/>
      <c r="M11" s="67"/>
      <c r="N11" s="67"/>
      <c r="O11" s="67"/>
      <c r="P11" s="67"/>
      <c r="Q11" s="67"/>
    </row>
    <row r="12" spans="1:22" s="14" customFormat="1" ht="31.5" customHeight="1">
      <c r="A12" s="187" t="s">
        <v>190</v>
      </c>
      <c r="B12" s="188" t="s">
        <v>172</v>
      </c>
      <c r="C12" s="189">
        <v>3076769.8375718123</v>
      </c>
      <c r="D12" s="189">
        <v>2938384.738902261</v>
      </c>
      <c r="E12" s="190">
        <v>138385.09866955131</v>
      </c>
      <c r="F12" s="191">
        <v>0.95502260293257268</v>
      </c>
      <c r="G12" s="63"/>
      <c r="H12" s="63"/>
      <c r="I12" s="63"/>
      <c r="J12" s="62"/>
      <c r="K12" s="62"/>
      <c r="L12" s="62"/>
      <c r="M12" s="67"/>
      <c r="N12" s="67"/>
      <c r="O12" s="67" t="s">
        <v>58</v>
      </c>
      <c r="P12" s="67" t="s">
        <v>58</v>
      </c>
      <c r="Q12" s="67" t="s">
        <v>58</v>
      </c>
      <c r="R12" s="75" t="s">
        <v>58</v>
      </c>
      <c r="S12" s="75" t="s">
        <v>58</v>
      </c>
      <c r="T12" s="75" t="s">
        <v>58</v>
      </c>
      <c r="U12" s="75" t="s">
        <v>58</v>
      </c>
      <c r="V12" s="75" t="s">
        <v>83</v>
      </c>
    </row>
    <row r="13" spans="1:22" s="14" customFormat="1" ht="13">
      <c r="A13" s="192"/>
      <c r="B13" s="186" t="s">
        <v>141</v>
      </c>
      <c r="C13" s="193">
        <v>3005845.0913843899</v>
      </c>
      <c r="D13" s="193">
        <v>2889032.6657382944</v>
      </c>
      <c r="E13" s="194">
        <v>116812.42564609554</v>
      </c>
      <c r="F13" s="195">
        <v>0.9611382416276496</v>
      </c>
      <c r="G13" s="63"/>
      <c r="H13" s="63"/>
      <c r="I13" s="63"/>
      <c r="J13" s="62"/>
      <c r="K13" s="62"/>
      <c r="L13" s="62"/>
      <c r="M13" s="67"/>
      <c r="N13" s="67"/>
      <c r="O13" s="67"/>
      <c r="P13" s="67"/>
      <c r="Q13" s="67"/>
      <c r="R13" s="75"/>
      <c r="S13" s="75"/>
      <c r="T13" s="75"/>
      <c r="U13" s="75"/>
      <c r="V13" s="75"/>
    </row>
    <row r="14" spans="1:22" s="14" customFormat="1" ht="16.5" customHeight="1">
      <c r="A14" s="192"/>
      <c r="B14" s="196" t="s">
        <v>125</v>
      </c>
      <c r="C14" s="197">
        <v>2825645.7431491506</v>
      </c>
      <c r="D14" s="197">
        <v>2742208.9411914153</v>
      </c>
      <c r="E14" s="198">
        <v>83436.801957735326</v>
      </c>
      <c r="F14" s="199">
        <v>0.97047159851512532</v>
      </c>
      <c r="G14" s="63"/>
      <c r="H14" s="158"/>
      <c r="I14" s="159"/>
      <c r="J14" s="62"/>
      <c r="K14" s="62"/>
      <c r="L14" s="62"/>
      <c r="M14" s="67"/>
      <c r="N14" s="67"/>
      <c r="O14" s="67"/>
      <c r="P14" s="67"/>
      <c r="Q14" s="67"/>
      <c r="R14" s="75"/>
      <c r="S14" s="75"/>
      <c r="T14" s="75"/>
      <c r="U14" s="75"/>
      <c r="V14" s="75"/>
    </row>
    <row r="15" spans="1:22" s="14" customFormat="1" ht="15" customHeight="1">
      <c r="A15" s="192"/>
      <c r="B15" s="200" t="s">
        <v>89</v>
      </c>
      <c r="C15" s="193">
        <v>2710429.1298948852</v>
      </c>
      <c r="D15" s="193">
        <v>2626334.6053390219</v>
      </c>
      <c r="E15" s="194">
        <v>84094.524555863347</v>
      </c>
      <c r="F15" s="195">
        <v>0.96897372315389607</v>
      </c>
      <c r="G15" s="63"/>
      <c r="H15" s="63"/>
      <c r="I15" s="63"/>
      <c r="J15" s="62"/>
      <c r="K15" s="62"/>
      <c r="L15" s="62"/>
      <c r="M15" s="67"/>
      <c r="N15" s="67"/>
      <c r="O15" s="67"/>
      <c r="P15" s="67"/>
      <c r="Q15" s="67"/>
      <c r="R15" s="75"/>
      <c r="S15" s="75"/>
      <c r="T15" s="75"/>
      <c r="U15" s="75"/>
      <c r="V15" s="75"/>
    </row>
    <row r="16" spans="1:22" s="14" customFormat="1" ht="13">
      <c r="A16" s="192"/>
      <c r="B16" s="201" t="s">
        <v>81</v>
      </c>
      <c r="C16" s="197">
        <v>2662316.3964900794</v>
      </c>
      <c r="D16" s="197">
        <v>2576858.3704455532</v>
      </c>
      <c r="E16" s="198">
        <v>85458.026044526137</v>
      </c>
      <c r="F16" s="199">
        <v>0.96790087528394764</v>
      </c>
      <c r="G16" s="63"/>
      <c r="I16" s="63"/>
      <c r="J16" s="62"/>
      <c r="K16" s="62"/>
      <c r="L16" s="62"/>
      <c r="M16" s="67"/>
      <c r="N16" s="67"/>
      <c r="O16" s="67"/>
      <c r="P16" s="67"/>
      <c r="Q16" s="67"/>
      <c r="R16" s="75"/>
      <c r="S16" s="75"/>
      <c r="T16" s="75"/>
      <c r="U16" s="75"/>
      <c r="V16" s="75"/>
    </row>
    <row r="17" spans="1:17" s="14" customFormat="1" ht="17.25" customHeight="1">
      <c r="A17" s="192"/>
      <c r="B17" s="200" t="s">
        <v>63</v>
      </c>
      <c r="C17" s="193">
        <v>2547832.4000443914</v>
      </c>
      <c r="D17" s="193">
        <v>2476097.1119006868</v>
      </c>
      <c r="E17" s="194">
        <v>71735.288143704645</v>
      </c>
      <c r="F17" s="195">
        <v>0.97184458124386253</v>
      </c>
      <c r="G17" s="63"/>
      <c r="H17" s="63"/>
      <c r="K17" s="62"/>
      <c r="L17" s="62"/>
      <c r="M17" s="67"/>
      <c r="N17" s="67"/>
      <c r="O17" s="67"/>
      <c r="P17" s="67"/>
      <c r="Q17" s="67"/>
    </row>
    <row r="18" spans="1:17" s="14" customFormat="1" ht="17.25" customHeight="1">
      <c r="A18" s="192"/>
      <c r="B18" s="201" t="s">
        <v>60</v>
      </c>
      <c r="C18" s="197">
        <v>2423670.4505553446</v>
      </c>
      <c r="D18" s="197">
        <v>2361068.4523587199</v>
      </c>
      <c r="E18" s="198">
        <v>62601.998196624685</v>
      </c>
      <c r="F18" s="199">
        <v>0.97417058157296899</v>
      </c>
      <c r="G18" s="63"/>
      <c r="K18" s="62"/>
      <c r="L18" s="62"/>
      <c r="M18" s="67"/>
      <c r="N18" s="67"/>
      <c r="O18" s="67"/>
      <c r="P18" s="67"/>
      <c r="Q18" s="67"/>
    </row>
    <row r="19" spans="1:17" s="14" customFormat="1" ht="16" customHeight="1">
      <c r="A19" s="202"/>
      <c r="B19" s="200" t="s">
        <v>57</v>
      </c>
      <c r="C19" s="193">
        <v>2323004.4756470299</v>
      </c>
      <c r="D19" s="193">
        <v>2266146.6725123138</v>
      </c>
      <c r="E19" s="194">
        <v>56857.803134716116</v>
      </c>
      <c r="F19" s="195">
        <v>0.97552402342277911</v>
      </c>
      <c r="G19" s="63"/>
      <c r="H19" s="63"/>
      <c r="K19" s="62"/>
      <c r="L19" s="63"/>
      <c r="M19" s="68"/>
      <c r="N19" s="68"/>
      <c r="O19" s="68"/>
      <c r="P19" s="68"/>
      <c r="Q19" s="67"/>
    </row>
    <row r="20" spans="1:17" s="14" customFormat="1" ht="16" customHeight="1">
      <c r="A20" s="203" t="s">
        <v>58</v>
      </c>
      <c r="B20" s="201" t="s">
        <v>56</v>
      </c>
      <c r="C20" s="197">
        <v>2137455.8915786953</v>
      </c>
      <c r="D20" s="197">
        <v>2084480.5999348077</v>
      </c>
      <c r="E20" s="198">
        <v>52975.291643887525</v>
      </c>
      <c r="F20" s="199">
        <v>0.97521572639107856</v>
      </c>
      <c r="G20" s="63"/>
      <c r="K20" s="62"/>
      <c r="L20" s="62"/>
      <c r="M20" s="68"/>
      <c r="N20" s="68"/>
      <c r="O20" s="68"/>
      <c r="P20" s="68"/>
      <c r="Q20" s="67"/>
    </row>
    <row r="21" spans="1:17" s="14" customFormat="1" ht="16" customHeight="1">
      <c r="A21" s="202"/>
      <c r="B21" s="200" t="s">
        <v>26</v>
      </c>
      <c r="C21" s="193">
        <v>2103861.5049671819</v>
      </c>
      <c r="D21" s="193">
        <v>2054442.4187232589</v>
      </c>
      <c r="E21" s="194">
        <v>49419.086243923055</v>
      </c>
      <c r="F21" s="195">
        <v>0.97651029493754915</v>
      </c>
      <c r="G21" s="63"/>
      <c r="H21" s="63"/>
      <c r="K21" s="62"/>
      <c r="L21" s="63"/>
      <c r="M21" s="67"/>
      <c r="N21" s="67"/>
      <c r="O21" s="67"/>
      <c r="P21" s="67"/>
      <c r="Q21" s="67"/>
    </row>
    <row r="22" spans="1:17" s="14" customFormat="1" ht="16" customHeight="1">
      <c r="A22" s="185"/>
      <c r="B22" s="201" t="s">
        <v>25</v>
      </c>
      <c r="C22" s="197">
        <v>2069376.0920633881</v>
      </c>
      <c r="D22" s="197">
        <v>2022053.0832959332</v>
      </c>
      <c r="E22" s="198">
        <v>47323.008767454885</v>
      </c>
      <c r="F22" s="199">
        <v>0.97713175050733825</v>
      </c>
      <c r="G22" s="63"/>
      <c r="K22" s="62"/>
      <c r="L22" s="62"/>
      <c r="M22" s="67"/>
      <c r="N22" s="67"/>
      <c r="O22" s="67"/>
      <c r="P22" s="67"/>
      <c r="Q22" s="67"/>
    </row>
    <row r="23" spans="1:17" s="14" customFormat="1" ht="16" customHeight="1">
      <c r="A23" s="204" t="s">
        <v>58</v>
      </c>
      <c r="B23" s="200" t="s">
        <v>23</v>
      </c>
      <c r="C23" s="193">
        <v>2030847.175271106</v>
      </c>
      <c r="D23" s="193">
        <v>1984707.5591781405</v>
      </c>
      <c r="E23" s="194">
        <v>46139.616092965472</v>
      </c>
      <c r="F23" s="195">
        <v>0.97728060651003634</v>
      </c>
      <c r="G23" s="63"/>
      <c r="H23" s="63"/>
      <c r="K23" s="62"/>
      <c r="L23" s="63" t="s">
        <v>58</v>
      </c>
      <c r="M23" s="67"/>
      <c r="N23" s="67"/>
      <c r="O23" s="67"/>
      <c r="P23" s="67"/>
      <c r="Q23" s="67"/>
    </row>
    <row r="24" spans="1:17" s="14" customFormat="1" ht="16" customHeight="1">
      <c r="A24" s="202"/>
      <c r="B24" s="201" t="s">
        <v>22</v>
      </c>
      <c r="C24" s="197">
        <v>1999417.3494170471</v>
      </c>
      <c r="D24" s="197">
        <v>1954161.9486411768</v>
      </c>
      <c r="E24" s="198">
        <v>45255.400775870308</v>
      </c>
      <c r="F24" s="199">
        <v>0.97736570566967174</v>
      </c>
      <c r="G24" s="63"/>
      <c r="K24" s="62"/>
      <c r="L24" s="62"/>
      <c r="M24" s="67"/>
      <c r="N24" s="67"/>
      <c r="O24" s="67"/>
      <c r="P24" s="67"/>
      <c r="Q24" s="67"/>
    </row>
    <row r="25" spans="1:17" s="15" customFormat="1" ht="16" customHeight="1">
      <c r="A25" s="205" t="s">
        <v>58</v>
      </c>
      <c r="B25" s="200" t="s">
        <v>21</v>
      </c>
      <c r="C25" s="193">
        <v>1978119.2188688468</v>
      </c>
      <c r="D25" s="193">
        <v>1933040.9397347034</v>
      </c>
      <c r="E25" s="194">
        <v>45078.279134143377</v>
      </c>
      <c r="F25" s="195">
        <v>0.97721154584407677</v>
      </c>
      <c r="G25" s="171"/>
      <c r="H25" s="63"/>
      <c r="K25" s="62"/>
      <c r="L25" s="62" t="s">
        <v>58</v>
      </c>
      <c r="M25" s="67"/>
      <c r="N25" s="67"/>
      <c r="O25" s="67"/>
      <c r="P25" s="67"/>
      <c r="Q25" s="67"/>
    </row>
    <row r="26" spans="1:17" s="14" customFormat="1" ht="16" customHeight="1">
      <c r="A26" s="185"/>
      <c r="B26" s="201" t="s">
        <v>20</v>
      </c>
      <c r="C26" s="197">
        <v>1963534.6801839632</v>
      </c>
      <c r="D26" s="197">
        <v>1917412.8638785707</v>
      </c>
      <c r="E26" s="198">
        <v>46121.816305392422</v>
      </c>
      <c r="F26" s="199">
        <v>0.97651082164687242</v>
      </c>
      <c r="G26" s="63"/>
      <c r="K26" s="62"/>
      <c r="L26" s="62"/>
      <c r="M26" s="67"/>
      <c r="N26" s="67"/>
      <c r="O26" s="67"/>
      <c r="P26" s="67"/>
      <c r="Q26" s="67"/>
    </row>
    <row r="27" spans="1:17" s="14" customFormat="1" ht="16" customHeight="1">
      <c r="A27" s="185"/>
      <c r="B27" s="200" t="s">
        <v>19</v>
      </c>
      <c r="C27" s="193">
        <v>1956194.4890527357</v>
      </c>
      <c r="D27" s="193">
        <v>1908986.3917524407</v>
      </c>
      <c r="E27" s="194">
        <v>47208.09730029502</v>
      </c>
      <c r="F27" s="195">
        <v>0.97586738048569244</v>
      </c>
      <c r="G27" s="63"/>
      <c r="H27" s="63"/>
      <c r="K27" s="62"/>
      <c r="L27" s="62"/>
      <c r="M27" s="67"/>
      <c r="N27" s="67"/>
      <c r="O27" s="67"/>
      <c r="P27" s="67"/>
      <c r="Q27" s="67"/>
    </row>
    <row r="28" spans="1:17" s="14" customFormat="1" ht="16" customHeight="1">
      <c r="A28" s="206" t="s">
        <v>55</v>
      </c>
      <c r="B28" s="201" t="s">
        <v>18</v>
      </c>
      <c r="C28" s="197">
        <v>1955575.1944281382</v>
      </c>
      <c r="D28" s="197">
        <v>1904502.1594331048</v>
      </c>
      <c r="E28" s="198">
        <v>51073.034995033406</v>
      </c>
      <c r="F28" s="199">
        <v>0.97388336938382547</v>
      </c>
      <c r="G28" s="63"/>
      <c r="K28" s="62"/>
      <c r="L28" s="62" t="s">
        <v>58</v>
      </c>
      <c r="M28" s="67"/>
      <c r="N28" s="67"/>
      <c r="O28" s="67"/>
      <c r="P28" s="67"/>
      <c r="Q28" s="67"/>
    </row>
    <row r="29" spans="1:17" s="14" customFormat="1" ht="16" customHeight="1">
      <c r="A29" s="206" t="s">
        <v>54</v>
      </c>
      <c r="B29" s="200" t="s">
        <v>15</v>
      </c>
      <c r="C29" s="193">
        <v>1930251.0291896986</v>
      </c>
      <c r="D29" s="193">
        <v>1881781.5352698932</v>
      </c>
      <c r="E29" s="194">
        <v>48469.493919805391</v>
      </c>
      <c r="F29" s="195">
        <v>0.97488953862122663</v>
      </c>
      <c r="G29" s="63"/>
      <c r="H29" s="63"/>
      <c r="K29" s="62"/>
      <c r="L29" s="62" t="s">
        <v>58</v>
      </c>
      <c r="M29" s="67"/>
      <c r="N29" s="67"/>
      <c r="O29" s="67"/>
      <c r="P29" s="67"/>
      <c r="Q29" s="67"/>
    </row>
    <row r="30" spans="1:17" s="14" customFormat="1" ht="16" customHeight="1">
      <c r="A30" s="206"/>
      <c r="B30" s="201" t="s">
        <v>16</v>
      </c>
      <c r="C30" s="197">
        <v>1857413.6666419718</v>
      </c>
      <c r="D30" s="197">
        <v>1810613.7582354106</v>
      </c>
      <c r="E30" s="198">
        <v>46799.908406561241</v>
      </c>
      <c r="F30" s="199">
        <v>0.97480372345317612</v>
      </c>
      <c r="G30" s="63"/>
      <c r="K30" s="62"/>
      <c r="L30" s="62"/>
      <c r="M30" s="67"/>
      <c r="N30" s="67"/>
      <c r="O30" s="67"/>
      <c r="P30" s="67"/>
      <c r="Q30" s="67"/>
    </row>
    <row r="31" spans="1:17" s="14" customFormat="1" ht="16" customHeight="1">
      <c r="A31" s="206"/>
      <c r="B31" s="200" t="s">
        <v>17</v>
      </c>
      <c r="C31" s="193">
        <v>1769347.6971447759</v>
      </c>
      <c r="D31" s="193">
        <v>1725766.2175517767</v>
      </c>
      <c r="E31" s="194">
        <v>43581.479592999211</v>
      </c>
      <c r="F31" s="195">
        <v>0.97536861767569638</v>
      </c>
      <c r="G31" s="63"/>
      <c r="H31" s="63"/>
      <c r="K31" s="62"/>
      <c r="L31" s="62"/>
      <c r="M31" s="67"/>
      <c r="N31" s="67"/>
      <c r="O31" s="67"/>
      <c r="P31" s="67"/>
      <c r="Q31" s="67"/>
    </row>
    <row r="32" spans="1:17" s="14" customFormat="1" ht="16" customHeight="1">
      <c r="A32" s="202"/>
      <c r="B32" s="201" t="s">
        <v>14</v>
      </c>
      <c r="C32" s="197">
        <v>1658234.8254449957</v>
      </c>
      <c r="D32" s="197">
        <v>1617199.8258352275</v>
      </c>
      <c r="E32" s="198">
        <v>41034.999609768158</v>
      </c>
      <c r="F32" s="199">
        <v>0.97525380665023953</v>
      </c>
      <c r="G32" s="63"/>
      <c r="K32" s="62"/>
      <c r="L32" s="62"/>
      <c r="M32" s="67"/>
      <c r="N32" s="67"/>
      <c r="O32" s="67"/>
      <c r="P32" s="67"/>
      <c r="Q32" s="67"/>
    </row>
    <row r="33" spans="1:17" s="14" customFormat="1" ht="16" customHeight="1">
      <c r="A33" s="202"/>
      <c r="B33" s="200" t="s">
        <v>4</v>
      </c>
      <c r="C33" s="193">
        <v>1572731.9318846737</v>
      </c>
      <c r="D33" s="193">
        <v>1530845.5201081848</v>
      </c>
      <c r="E33" s="194">
        <v>41886.41177648888</v>
      </c>
      <c r="F33" s="195">
        <v>0.97336710031296014</v>
      </c>
      <c r="G33" s="63"/>
      <c r="H33" s="63"/>
      <c r="K33" s="62"/>
      <c r="L33" s="62"/>
      <c r="M33" s="67"/>
      <c r="N33" s="67"/>
      <c r="O33" s="67"/>
      <c r="P33" s="67"/>
      <c r="Q33" s="67"/>
    </row>
    <row r="34" spans="1:17" s="14" customFormat="1" ht="16" customHeight="1">
      <c r="A34" s="202"/>
      <c r="B34" s="201" t="s">
        <v>3</v>
      </c>
      <c r="C34" s="197">
        <v>1496833.1449518639</v>
      </c>
      <c r="D34" s="197">
        <v>1456983.4092181961</v>
      </c>
      <c r="E34" s="198">
        <v>39849.735733667854</v>
      </c>
      <c r="F34" s="199">
        <v>0.97337730269531852</v>
      </c>
      <c r="G34" s="63"/>
      <c r="K34" s="62"/>
      <c r="L34" s="62"/>
      <c r="M34" s="67"/>
      <c r="N34" s="67"/>
      <c r="O34" s="67"/>
      <c r="P34" s="67"/>
      <c r="Q34" s="67"/>
    </row>
    <row r="35" spans="1:17" s="14" customFormat="1" ht="16" customHeight="1">
      <c r="A35" s="185"/>
      <c r="B35" s="200" t="s">
        <v>2</v>
      </c>
      <c r="C35" s="193">
        <v>1411938.9283643309</v>
      </c>
      <c r="D35" s="193">
        <v>1373161.258509804</v>
      </c>
      <c r="E35" s="194">
        <v>38777.669854526874</v>
      </c>
      <c r="F35" s="195">
        <v>0.97253587313478984</v>
      </c>
      <c r="G35" s="63"/>
      <c r="H35" s="63"/>
      <c r="K35" s="62"/>
      <c r="L35" s="62"/>
      <c r="M35" s="67"/>
      <c r="N35" s="67"/>
      <c r="O35" s="67"/>
      <c r="P35" s="67"/>
      <c r="Q35" s="67"/>
    </row>
    <row r="36" spans="1:17" s="14" customFormat="1" ht="16" customHeight="1">
      <c r="A36" s="202"/>
      <c r="B36" s="201" t="s">
        <v>1</v>
      </c>
      <c r="C36" s="197">
        <v>1323831.5657733011</v>
      </c>
      <c r="D36" s="197">
        <v>1286216.2972536557</v>
      </c>
      <c r="E36" s="198">
        <v>37615.268519645324</v>
      </c>
      <c r="F36" s="199">
        <v>0.97158606163188688</v>
      </c>
      <c r="G36" s="63"/>
      <c r="K36" s="62"/>
      <c r="L36" s="62"/>
      <c r="M36" s="67"/>
      <c r="N36" s="67"/>
      <c r="O36" s="67"/>
      <c r="P36" s="67"/>
      <c r="Q36" s="67"/>
    </row>
    <row r="37" spans="1:17" s="14" customFormat="1" ht="21.75" customHeight="1">
      <c r="A37" s="206"/>
      <c r="B37" s="200" t="s">
        <v>0</v>
      </c>
      <c r="C37" s="207">
        <v>1243499.648216659</v>
      </c>
      <c r="D37" s="207">
        <v>1208419.474785777</v>
      </c>
      <c r="E37" s="208">
        <v>35080.173430881929</v>
      </c>
      <c r="F37" s="209">
        <v>0.97178915693205747</v>
      </c>
      <c r="G37" s="64" t="s">
        <v>58</v>
      </c>
      <c r="H37" s="63"/>
      <c r="K37" s="62"/>
      <c r="L37" s="62" t="s">
        <v>58</v>
      </c>
      <c r="M37" s="67"/>
      <c r="N37" s="67"/>
      <c r="O37" s="67"/>
      <c r="P37" s="67"/>
      <c r="Q37" s="67"/>
    </row>
    <row r="38" spans="1:17" s="14" customFormat="1" ht="26">
      <c r="A38" s="210" t="s">
        <v>53</v>
      </c>
      <c r="B38" s="211" t="s">
        <v>191</v>
      </c>
      <c r="C38" s="212">
        <v>50957207.720608644</v>
      </c>
      <c r="D38" s="212">
        <v>49592522.080826074</v>
      </c>
      <c r="E38" s="212">
        <v>1364685.6397825761</v>
      </c>
      <c r="F38" s="213">
        <v>0.97321898705154819</v>
      </c>
      <c r="G38" s="63" t="s">
        <v>58</v>
      </c>
      <c r="K38" s="62"/>
      <c r="L38" s="62" t="s">
        <v>58</v>
      </c>
      <c r="M38" s="67"/>
      <c r="N38" s="67"/>
      <c r="O38" s="67"/>
      <c r="P38" s="67"/>
      <c r="Q38" s="67"/>
    </row>
    <row r="39" spans="1:17" s="14" customFormat="1" ht="26.5" thickBot="1">
      <c r="A39" s="214" t="s">
        <v>192</v>
      </c>
      <c r="B39" s="215" t="s">
        <v>193</v>
      </c>
      <c r="C39" s="216">
        <v>54033977.558180459</v>
      </c>
      <c r="D39" s="216">
        <v>52530906.819728345</v>
      </c>
      <c r="E39" s="216">
        <v>1503070.7384521274</v>
      </c>
      <c r="F39" s="217">
        <v>0.97218285963061479</v>
      </c>
      <c r="G39" s="63"/>
      <c r="H39" s="63"/>
      <c r="K39" s="62"/>
      <c r="L39" s="62"/>
      <c r="M39" s="67"/>
      <c r="N39" s="67"/>
      <c r="O39" s="67"/>
      <c r="P39" s="67"/>
      <c r="Q39" s="67"/>
    </row>
    <row r="40" spans="1:17">
      <c r="A40" s="16"/>
      <c r="B40" s="16"/>
      <c r="C40" s="16"/>
      <c r="D40" s="16"/>
      <c r="E40" s="16"/>
    </row>
    <row r="41" spans="1:17">
      <c r="A41" s="16"/>
      <c r="B41" s="16"/>
      <c r="C41" s="16"/>
      <c r="D41" s="16"/>
      <c r="E41" s="16"/>
    </row>
    <row r="42" spans="1:17">
      <c r="A42" s="16"/>
      <c r="B42" s="16"/>
      <c r="C42" s="16"/>
      <c r="D42" s="16"/>
      <c r="E42" s="16"/>
    </row>
    <row r="43" spans="1:17">
      <c r="A43" s="16"/>
      <c r="B43" s="16"/>
      <c r="C43" s="16"/>
      <c r="D43" s="16"/>
      <c r="E43" s="16"/>
    </row>
    <row r="44" spans="1:17">
      <c r="A44" s="16"/>
      <c r="B44" s="16"/>
      <c r="C44" s="16"/>
      <c r="D44" s="16"/>
      <c r="E44" s="16"/>
    </row>
    <row r="45" spans="1:17">
      <c r="A45" s="16"/>
      <c r="B45" s="16"/>
      <c r="C45" s="16"/>
      <c r="D45" s="16"/>
      <c r="E45" s="16"/>
    </row>
    <row r="46" spans="1:17">
      <c r="A46" s="16"/>
      <c r="B46" s="16"/>
      <c r="C46" s="16"/>
      <c r="D46" s="16"/>
      <c r="E46" s="16"/>
    </row>
    <row r="47" spans="1:17">
      <c r="A47" s="16"/>
      <c r="B47" s="16"/>
      <c r="C47" s="16"/>
      <c r="D47" s="16"/>
      <c r="E47" s="16"/>
    </row>
    <row r="48" spans="1:17">
      <c r="A48" s="16"/>
      <c r="B48" s="16"/>
      <c r="C48" s="16"/>
      <c r="D48" s="16"/>
      <c r="E48" s="16"/>
    </row>
    <row r="49" spans="1:5">
      <c r="A49" s="16"/>
      <c r="B49" s="16"/>
      <c r="C49" s="16"/>
      <c r="D49" s="16"/>
      <c r="E49" s="16"/>
    </row>
    <row r="50" spans="1:5">
      <c r="A50" s="16"/>
      <c r="B50" s="16"/>
      <c r="C50" s="16"/>
      <c r="D50" s="16"/>
      <c r="E50" s="16"/>
    </row>
    <row r="51" spans="1:5">
      <c r="A51" s="16"/>
      <c r="B51" s="16"/>
      <c r="C51" s="16"/>
      <c r="D51" s="16"/>
      <c r="E51" s="16"/>
    </row>
    <row r="52" spans="1:5">
      <c r="A52" s="16"/>
      <c r="B52" s="16"/>
      <c r="C52" s="16"/>
      <c r="D52" s="16"/>
      <c r="E52" s="16"/>
    </row>
    <row r="53" spans="1:5">
      <c r="A53" s="16"/>
      <c r="B53" s="16"/>
      <c r="C53" s="16"/>
      <c r="D53" s="16"/>
      <c r="E53" s="16"/>
    </row>
    <row r="54" spans="1:5">
      <c r="A54" s="16"/>
      <c r="B54" s="16"/>
      <c r="C54" s="16"/>
      <c r="D54" s="16"/>
      <c r="E54" s="16"/>
    </row>
    <row r="55" spans="1:5">
      <c r="A55" s="16"/>
      <c r="B55" s="16"/>
      <c r="C55" s="16"/>
      <c r="D55" s="16"/>
      <c r="E55" s="16"/>
    </row>
    <row r="56" spans="1:5">
      <c r="A56" s="16"/>
      <c r="B56" s="16"/>
      <c r="C56" s="16"/>
      <c r="D56" s="16"/>
      <c r="E56" s="16"/>
    </row>
    <row r="57" spans="1:5">
      <c r="A57" s="16"/>
      <c r="B57" s="16"/>
      <c r="C57" s="16"/>
      <c r="D57" s="16"/>
      <c r="E57" s="16"/>
    </row>
    <row r="58" spans="1:5">
      <c r="A58" s="16"/>
      <c r="B58" s="16"/>
      <c r="C58" s="16"/>
      <c r="D58" s="16"/>
      <c r="E58" s="16"/>
    </row>
    <row r="59" spans="1:5">
      <c r="A59" s="16"/>
      <c r="B59" s="16"/>
      <c r="C59" s="16"/>
      <c r="D59" s="16"/>
      <c r="E59" s="16"/>
    </row>
    <row r="60" spans="1:5">
      <c r="A60" s="16"/>
      <c r="B60" s="16"/>
      <c r="C60" s="16"/>
      <c r="D60" s="16"/>
      <c r="E60" s="16"/>
    </row>
    <row r="61" spans="1:5">
      <c r="A61" s="16"/>
      <c r="B61" s="16"/>
      <c r="C61" s="16"/>
      <c r="D61" s="16"/>
      <c r="E61" s="16"/>
    </row>
    <row r="62" spans="1:5">
      <c r="A62" s="16"/>
      <c r="B62" s="16"/>
      <c r="C62" s="16"/>
      <c r="D62" s="16"/>
      <c r="E62" s="16"/>
    </row>
    <row r="63" spans="1:5">
      <c r="A63" s="16"/>
      <c r="B63" s="16"/>
      <c r="C63" s="16"/>
      <c r="D63" s="16"/>
      <c r="E63" s="16"/>
    </row>
    <row r="64" spans="1:5">
      <c r="A64" s="16"/>
      <c r="B64" s="16"/>
      <c r="C64" s="16"/>
      <c r="D64" s="16"/>
      <c r="E64" s="16"/>
    </row>
    <row r="65" spans="1:5">
      <c r="A65" s="16"/>
      <c r="B65" s="16"/>
      <c r="C65" s="16"/>
      <c r="D65" s="16"/>
      <c r="E65" s="16"/>
    </row>
    <row r="66" spans="1:5">
      <c r="A66" s="16"/>
      <c r="B66" s="16"/>
      <c r="C66" s="16"/>
      <c r="D66" s="16"/>
      <c r="E66" s="16"/>
    </row>
    <row r="67" spans="1:5">
      <c r="A67" s="16"/>
      <c r="B67" s="16"/>
      <c r="C67" s="16"/>
      <c r="D67" s="16"/>
      <c r="E67" s="16"/>
    </row>
    <row r="68" spans="1:5">
      <c r="A68" s="16"/>
      <c r="B68" s="16"/>
      <c r="C68" s="16"/>
      <c r="D68" s="16"/>
      <c r="E68" s="16"/>
    </row>
    <row r="69" spans="1:5">
      <c r="A69" s="16"/>
      <c r="B69" s="16"/>
      <c r="C69" s="16"/>
      <c r="D69" s="16"/>
      <c r="E69" s="16"/>
    </row>
    <row r="70" spans="1:5">
      <c r="A70" s="16"/>
      <c r="B70" s="16"/>
      <c r="C70" s="16"/>
      <c r="D70" s="16"/>
      <c r="E70" s="16"/>
    </row>
    <row r="71" spans="1:5">
      <c r="A71" s="16"/>
      <c r="B71" s="16"/>
      <c r="C71" s="16"/>
      <c r="D71" s="16"/>
      <c r="E71" s="16"/>
    </row>
    <row r="72" spans="1:5">
      <c r="A72" s="16"/>
      <c r="B72" s="16"/>
      <c r="C72" s="16"/>
      <c r="D72" s="16"/>
      <c r="E72" s="16"/>
    </row>
    <row r="73" spans="1:5">
      <c r="A73" s="16"/>
      <c r="B73" s="16"/>
      <c r="C73" s="16"/>
      <c r="D73" s="16"/>
      <c r="E73" s="16"/>
    </row>
    <row r="74" spans="1:5">
      <c r="A74" s="16"/>
      <c r="B74" s="16"/>
      <c r="C74" s="16"/>
      <c r="D74" s="16"/>
      <c r="E74" s="16"/>
    </row>
    <row r="75" spans="1:5">
      <c r="A75" s="16"/>
      <c r="B75" s="16"/>
      <c r="C75" s="16"/>
      <c r="D75" s="16"/>
      <c r="E75" s="16"/>
    </row>
    <row r="76" spans="1:5">
      <c r="A76" s="16"/>
      <c r="B76" s="16"/>
      <c r="C76" s="16"/>
      <c r="D76" s="16"/>
      <c r="E76" s="16"/>
    </row>
    <row r="77" spans="1:5">
      <c r="A77" s="16"/>
      <c r="B77" s="16"/>
      <c r="C77" s="16"/>
      <c r="D77" s="16"/>
      <c r="E77" s="16"/>
    </row>
    <row r="78" spans="1:5">
      <c r="A78" s="16"/>
      <c r="B78" s="16"/>
      <c r="C78" s="16"/>
      <c r="D78" s="16"/>
      <c r="E78" s="16"/>
    </row>
    <row r="79" spans="1:5">
      <c r="A79" s="16"/>
      <c r="B79" s="16"/>
      <c r="C79" s="16"/>
      <c r="D79" s="16"/>
      <c r="E79" s="16"/>
    </row>
    <row r="80" spans="1:5">
      <c r="A80" s="16"/>
      <c r="B80" s="16"/>
      <c r="C80" s="16"/>
      <c r="D80" s="16"/>
      <c r="E80" s="16"/>
    </row>
    <row r="81" spans="1:5">
      <c r="A81" s="16"/>
      <c r="B81" s="16"/>
      <c r="C81" s="16"/>
      <c r="D81" s="16"/>
      <c r="E81" s="16"/>
    </row>
    <row r="82" spans="1:5">
      <c r="A82" s="16"/>
      <c r="B82" s="16"/>
      <c r="C82" s="16"/>
      <c r="D82" s="16"/>
      <c r="E82" s="16"/>
    </row>
    <row r="83" spans="1:5">
      <c r="A83" s="16"/>
      <c r="B83" s="16"/>
      <c r="C83" s="16"/>
      <c r="D83" s="16"/>
      <c r="E83" s="16"/>
    </row>
    <row r="84" spans="1:5">
      <c r="A84" s="16"/>
      <c r="B84" s="16"/>
      <c r="C84" s="16"/>
      <c r="D84" s="16"/>
      <c r="E84" s="16"/>
    </row>
    <row r="85" spans="1:5">
      <c r="A85" s="16"/>
      <c r="B85" s="16"/>
      <c r="C85" s="16"/>
      <c r="D85" s="16"/>
      <c r="E85" s="16"/>
    </row>
    <row r="86" spans="1:5">
      <c r="A86" s="16"/>
      <c r="B86" s="16"/>
      <c r="C86" s="16"/>
      <c r="D86" s="16"/>
      <c r="E86" s="16"/>
    </row>
    <row r="87" spans="1:5">
      <c r="A87" s="16"/>
      <c r="B87" s="16"/>
      <c r="C87" s="16"/>
      <c r="D87" s="16"/>
      <c r="E87" s="16"/>
    </row>
    <row r="88" spans="1:5">
      <c r="A88" s="16"/>
      <c r="B88" s="16"/>
      <c r="C88" s="16"/>
      <c r="D88" s="16"/>
      <c r="E88" s="16"/>
    </row>
    <row r="89" spans="1:5">
      <c r="A89" s="16"/>
      <c r="B89" s="16"/>
      <c r="C89" s="16"/>
      <c r="D89" s="16"/>
      <c r="E89" s="16"/>
    </row>
    <row r="90" spans="1:5">
      <c r="A90" s="16"/>
      <c r="B90" s="16"/>
      <c r="C90" s="16"/>
      <c r="D90" s="16"/>
      <c r="E90" s="16"/>
    </row>
    <row r="91" spans="1:5">
      <c r="A91" s="16"/>
      <c r="B91" s="16"/>
      <c r="C91" s="16"/>
      <c r="D91" s="16"/>
      <c r="E91" s="16"/>
    </row>
    <row r="92" spans="1:5">
      <c r="A92" s="16"/>
      <c r="B92" s="16"/>
      <c r="C92" s="16"/>
      <c r="D92" s="16"/>
      <c r="E92" s="16"/>
    </row>
    <row r="93" spans="1:5">
      <c r="A93" s="16"/>
      <c r="B93" s="16"/>
      <c r="C93" s="16"/>
      <c r="D93" s="16"/>
      <c r="E93" s="16"/>
    </row>
    <row r="94" spans="1:5">
      <c r="A94" s="16"/>
      <c r="B94" s="16"/>
      <c r="C94" s="16"/>
      <c r="D94" s="16"/>
      <c r="E94" s="16"/>
    </row>
    <row r="95" spans="1:5">
      <c r="A95" s="16"/>
      <c r="B95" s="16"/>
      <c r="C95" s="16"/>
      <c r="D95" s="16"/>
      <c r="E95" s="16"/>
    </row>
    <row r="96" spans="1:5">
      <c r="A96" s="16"/>
      <c r="B96" s="16"/>
      <c r="C96" s="16"/>
      <c r="D96" s="16"/>
      <c r="E96" s="16"/>
    </row>
    <row r="97" spans="1:5">
      <c r="A97" s="16"/>
      <c r="B97" s="16"/>
      <c r="C97" s="16"/>
      <c r="D97" s="16"/>
      <c r="E97" s="16"/>
    </row>
    <row r="98" spans="1:5">
      <c r="A98" s="16"/>
      <c r="B98" s="16"/>
      <c r="C98" s="16"/>
      <c r="D98" s="16"/>
      <c r="E98" s="16"/>
    </row>
    <row r="99" spans="1:5">
      <c r="A99" s="16"/>
      <c r="B99" s="16"/>
      <c r="C99" s="16"/>
      <c r="D99" s="16"/>
      <c r="E99" s="16"/>
    </row>
    <row r="100" spans="1:5">
      <c r="A100" s="16"/>
      <c r="B100" s="16"/>
      <c r="C100" s="16"/>
      <c r="D100" s="16"/>
      <c r="E100" s="16"/>
    </row>
    <row r="101" spans="1:5">
      <c r="A101" s="16"/>
      <c r="B101" s="16"/>
      <c r="C101" s="16"/>
      <c r="D101" s="16"/>
      <c r="E101" s="16"/>
    </row>
    <row r="102" spans="1:5">
      <c r="A102" s="16"/>
      <c r="B102" s="16"/>
      <c r="C102" s="16"/>
      <c r="D102" s="16"/>
      <c r="E102" s="16"/>
    </row>
    <row r="103" spans="1:5">
      <c r="A103" s="16"/>
      <c r="B103" s="16"/>
      <c r="C103" s="16"/>
      <c r="D103" s="16"/>
      <c r="E103" s="16"/>
    </row>
    <row r="104" spans="1:5">
      <c r="A104" s="16"/>
      <c r="B104" s="16"/>
      <c r="C104" s="16"/>
      <c r="D104" s="16"/>
      <c r="E104" s="16"/>
    </row>
    <row r="105" spans="1:5">
      <c r="A105" s="16"/>
      <c r="B105" s="16"/>
      <c r="C105" s="16"/>
      <c r="D105" s="16"/>
      <c r="E105" s="16"/>
    </row>
    <row r="106" spans="1:5">
      <c r="A106" s="16"/>
      <c r="B106" s="16"/>
      <c r="C106" s="16"/>
      <c r="D106" s="16"/>
      <c r="E106" s="16"/>
    </row>
    <row r="107" spans="1:5">
      <c r="A107" s="16"/>
      <c r="B107" s="16"/>
      <c r="C107" s="16"/>
      <c r="D107" s="16"/>
      <c r="E107" s="16"/>
    </row>
    <row r="108" spans="1:5">
      <c r="A108" s="16"/>
      <c r="B108" s="16"/>
      <c r="C108" s="16"/>
      <c r="D108" s="16"/>
      <c r="E108" s="16"/>
    </row>
    <row r="109" spans="1:5">
      <c r="A109" s="16"/>
      <c r="B109" s="16"/>
      <c r="C109" s="16"/>
      <c r="D109" s="16"/>
      <c r="E109" s="16"/>
    </row>
    <row r="110" spans="1:5">
      <c r="A110" s="16"/>
      <c r="B110" s="16"/>
      <c r="C110" s="16"/>
      <c r="D110" s="16"/>
      <c r="E110" s="16"/>
    </row>
    <row r="111" spans="1:5">
      <c r="A111" s="16"/>
      <c r="B111" s="16"/>
      <c r="C111" s="16"/>
      <c r="D111" s="16"/>
      <c r="E111" s="16"/>
    </row>
    <row r="112" spans="1:5">
      <c r="A112" s="16"/>
      <c r="B112" s="16"/>
      <c r="C112" s="16"/>
      <c r="D112" s="16"/>
      <c r="E112" s="16"/>
    </row>
    <row r="113" spans="1:5">
      <c r="A113" s="16"/>
      <c r="B113" s="16"/>
      <c r="C113" s="16"/>
      <c r="D113" s="16"/>
      <c r="E113" s="16"/>
    </row>
    <row r="114" spans="1:5">
      <c r="A114" s="16"/>
      <c r="B114" s="16"/>
      <c r="C114" s="16"/>
      <c r="D114" s="16"/>
      <c r="E114" s="16"/>
    </row>
    <row r="115" spans="1:5">
      <c r="A115" s="16"/>
      <c r="B115" s="16"/>
      <c r="C115" s="16"/>
      <c r="D115" s="16"/>
      <c r="E115" s="16"/>
    </row>
    <row r="116" spans="1:5">
      <c r="A116" s="16"/>
      <c r="B116" s="16"/>
      <c r="C116" s="16"/>
      <c r="D116" s="16"/>
      <c r="E116" s="16"/>
    </row>
    <row r="117" spans="1:5">
      <c r="A117" s="16"/>
      <c r="B117" s="16"/>
      <c r="C117" s="16"/>
      <c r="D117" s="16"/>
      <c r="E117" s="16"/>
    </row>
    <row r="118" spans="1:5">
      <c r="A118" s="16"/>
      <c r="B118" s="16"/>
      <c r="C118" s="16"/>
      <c r="D118" s="16"/>
      <c r="E118" s="16"/>
    </row>
    <row r="119" spans="1:5">
      <c r="A119" s="16"/>
      <c r="B119" s="16"/>
      <c r="C119" s="16"/>
      <c r="D119" s="16"/>
      <c r="E119" s="16"/>
    </row>
    <row r="120" spans="1:5">
      <c r="A120" s="16"/>
      <c r="B120" s="16"/>
      <c r="C120" s="16"/>
      <c r="D120" s="16"/>
      <c r="E120" s="16"/>
    </row>
    <row r="121" spans="1:5">
      <c r="A121" s="16"/>
      <c r="B121" s="16"/>
      <c r="C121" s="16"/>
      <c r="D121" s="16"/>
      <c r="E121" s="16"/>
    </row>
    <row r="122" spans="1:5">
      <c r="A122" s="16"/>
      <c r="B122" s="16"/>
      <c r="C122" s="16"/>
      <c r="D122" s="16"/>
      <c r="E122" s="16"/>
    </row>
    <row r="123" spans="1:5">
      <c r="A123" s="16"/>
      <c r="B123" s="16"/>
      <c r="C123" s="16"/>
      <c r="D123" s="16"/>
      <c r="E123" s="16"/>
    </row>
    <row r="124" spans="1:5">
      <c r="A124" s="16"/>
      <c r="B124" s="16"/>
      <c r="C124" s="16"/>
      <c r="D124" s="16"/>
      <c r="E124" s="16"/>
    </row>
    <row r="125" spans="1:5">
      <c r="A125" s="16"/>
      <c r="B125" s="16"/>
      <c r="C125" s="16"/>
      <c r="D125" s="16"/>
      <c r="E125" s="16"/>
    </row>
    <row r="126" spans="1:5">
      <c r="A126" s="16"/>
      <c r="B126" s="16"/>
      <c r="C126" s="16"/>
      <c r="D126" s="16"/>
      <c r="E126" s="16"/>
    </row>
    <row r="127" spans="1:5">
      <c r="A127" s="16"/>
      <c r="B127" s="16"/>
      <c r="C127" s="16"/>
      <c r="D127" s="16"/>
      <c r="E127" s="16"/>
    </row>
    <row r="128" spans="1:5">
      <c r="A128" s="16"/>
      <c r="B128" s="16"/>
      <c r="C128" s="16"/>
      <c r="D128" s="16"/>
      <c r="E128" s="16"/>
    </row>
    <row r="129" spans="1:5">
      <c r="A129" s="16"/>
      <c r="B129" s="16"/>
      <c r="C129" s="16"/>
      <c r="D129" s="16"/>
      <c r="E129" s="16"/>
    </row>
    <row r="130" spans="1:5">
      <c r="A130" s="16"/>
      <c r="B130" s="16"/>
      <c r="C130" s="16"/>
      <c r="D130" s="16"/>
      <c r="E130" s="16"/>
    </row>
    <row r="131" spans="1:5">
      <c r="A131" s="16"/>
      <c r="B131" s="16"/>
      <c r="C131" s="16"/>
      <c r="D131" s="16"/>
      <c r="E131" s="16"/>
    </row>
    <row r="132" spans="1:5">
      <c r="A132" s="16"/>
      <c r="B132" s="16"/>
      <c r="C132" s="16"/>
      <c r="D132" s="16"/>
      <c r="E132" s="16"/>
    </row>
    <row r="133" spans="1:5">
      <c r="A133" s="16"/>
      <c r="B133" s="16"/>
      <c r="C133" s="16"/>
      <c r="D133" s="16"/>
      <c r="E133" s="16"/>
    </row>
    <row r="134" spans="1:5">
      <c r="A134" s="16"/>
      <c r="B134" s="16"/>
      <c r="C134" s="16"/>
      <c r="D134" s="16"/>
      <c r="E134" s="16"/>
    </row>
    <row r="135" spans="1:5">
      <c r="A135" s="16"/>
      <c r="B135" s="16"/>
      <c r="C135" s="16"/>
      <c r="D135" s="16"/>
      <c r="E135" s="16"/>
    </row>
    <row r="136" spans="1:5">
      <c r="A136" s="16"/>
      <c r="B136" s="16"/>
      <c r="C136" s="16"/>
      <c r="D136" s="16"/>
      <c r="E136" s="16"/>
    </row>
    <row r="137" spans="1:5">
      <c r="A137" s="16"/>
      <c r="B137" s="16"/>
      <c r="C137" s="16"/>
      <c r="D137" s="16"/>
      <c r="E137" s="16"/>
    </row>
    <row r="138" spans="1:5">
      <c r="A138" s="16"/>
      <c r="B138" s="16"/>
      <c r="C138" s="16"/>
      <c r="D138" s="16"/>
      <c r="E138" s="16"/>
    </row>
    <row r="139" spans="1:5">
      <c r="A139" s="16"/>
      <c r="B139" s="16"/>
      <c r="C139" s="16"/>
      <c r="D139" s="16"/>
      <c r="E139" s="16"/>
    </row>
    <row r="140" spans="1:5">
      <c r="A140" s="16"/>
      <c r="B140" s="16"/>
      <c r="C140" s="16"/>
      <c r="D140" s="16"/>
      <c r="E140" s="16"/>
    </row>
    <row r="141" spans="1:5">
      <c r="A141" s="16"/>
      <c r="B141" s="16"/>
      <c r="C141" s="16"/>
      <c r="D141" s="16"/>
      <c r="E141" s="16"/>
    </row>
    <row r="142" spans="1:5">
      <c r="A142" s="16"/>
      <c r="B142" s="16"/>
      <c r="C142" s="16"/>
      <c r="D142" s="16"/>
      <c r="E142" s="16"/>
    </row>
    <row r="143" spans="1:5">
      <c r="A143" s="16"/>
      <c r="B143" s="16"/>
      <c r="C143" s="16"/>
      <c r="D143" s="16"/>
      <c r="E143" s="16"/>
    </row>
    <row r="144" spans="1:5">
      <c r="A144" s="16"/>
      <c r="B144" s="16"/>
      <c r="C144" s="16"/>
      <c r="D144" s="16"/>
      <c r="E144" s="16"/>
    </row>
    <row r="145" spans="1:5">
      <c r="A145" s="16"/>
      <c r="B145" s="16"/>
      <c r="C145" s="16"/>
      <c r="D145" s="16"/>
      <c r="E145" s="16"/>
    </row>
    <row r="146" spans="1:5">
      <c r="A146" s="16"/>
      <c r="B146" s="16"/>
      <c r="C146" s="16"/>
      <c r="D146" s="16"/>
      <c r="E146" s="16"/>
    </row>
    <row r="147" spans="1:5">
      <c r="A147" s="16"/>
      <c r="B147" s="16"/>
      <c r="C147" s="16"/>
      <c r="D147" s="16"/>
      <c r="E147" s="16"/>
    </row>
    <row r="148" spans="1:5">
      <c r="A148" s="16"/>
      <c r="B148" s="16"/>
      <c r="C148" s="16"/>
      <c r="D148" s="16"/>
      <c r="E148" s="16"/>
    </row>
    <row r="149" spans="1:5">
      <c r="A149" s="16"/>
      <c r="B149" s="16"/>
      <c r="C149" s="16"/>
      <c r="D149" s="16"/>
      <c r="E149" s="16"/>
    </row>
    <row r="150" spans="1:5">
      <c r="A150" s="16"/>
      <c r="B150" s="16"/>
      <c r="C150" s="16"/>
      <c r="D150" s="16"/>
      <c r="E150" s="16"/>
    </row>
    <row r="151" spans="1:5">
      <c r="A151" s="16"/>
      <c r="B151" s="16"/>
      <c r="C151" s="16"/>
      <c r="D151" s="16"/>
      <c r="E151" s="16"/>
    </row>
    <row r="152" spans="1:5">
      <c r="A152" s="16"/>
      <c r="B152" s="16"/>
      <c r="C152" s="16"/>
      <c r="D152" s="16"/>
      <c r="E152" s="16"/>
    </row>
    <row r="153" spans="1:5">
      <c r="A153" s="16"/>
      <c r="B153" s="16"/>
      <c r="C153" s="16"/>
      <c r="D153" s="16"/>
      <c r="E153" s="16"/>
    </row>
    <row r="154" spans="1:5">
      <c r="A154" s="16"/>
      <c r="B154" s="16"/>
      <c r="C154" s="16"/>
      <c r="D154" s="16"/>
      <c r="E154" s="16"/>
    </row>
    <row r="155" spans="1:5">
      <c r="A155" s="16"/>
      <c r="B155" s="16"/>
      <c r="C155" s="16"/>
      <c r="D155" s="16"/>
      <c r="E155" s="16"/>
    </row>
    <row r="156" spans="1:5">
      <c r="A156" s="16"/>
      <c r="B156" s="16"/>
      <c r="C156" s="16"/>
      <c r="D156" s="16"/>
      <c r="E156" s="16"/>
    </row>
    <row r="157" spans="1:5">
      <c r="A157" s="16"/>
      <c r="B157" s="16"/>
      <c r="C157" s="16"/>
      <c r="D157" s="16"/>
      <c r="E157" s="16"/>
    </row>
    <row r="158" spans="1:5">
      <c r="A158" s="16"/>
      <c r="B158" s="16"/>
      <c r="C158" s="16"/>
      <c r="D158" s="16"/>
      <c r="E158" s="16"/>
    </row>
    <row r="159" spans="1:5">
      <c r="A159" s="16"/>
      <c r="B159" s="16"/>
      <c r="C159" s="16"/>
      <c r="D159" s="16"/>
      <c r="E159" s="16"/>
    </row>
    <row r="160" spans="1:5">
      <c r="A160" s="16"/>
      <c r="B160" s="16"/>
      <c r="C160" s="16"/>
      <c r="D160" s="16"/>
      <c r="E160" s="16"/>
    </row>
    <row r="161" spans="1:5">
      <c r="A161" s="16"/>
      <c r="B161" s="16"/>
      <c r="C161" s="16"/>
      <c r="D161" s="16"/>
      <c r="E161" s="16"/>
    </row>
    <row r="162" spans="1:5">
      <c r="A162" s="16"/>
      <c r="B162" s="16"/>
      <c r="C162" s="16"/>
      <c r="D162" s="16"/>
      <c r="E162" s="16"/>
    </row>
    <row r="163" spans="1:5">
      <c r="A163" s="16"/>
      <c r="B163" s="16"/>
      <c r="C163" s="16"/>
      <c r="D163" s="16"/>
      <c r="E163" s="16"/>
    </row>
    <row r="164" spans="1:5">
      <c r="A164" s="16"/>
      <c r="B164" s="16"/>
      <c r="C164" s="16"/>
      <c r="D164" s="16"/>
      <c r="E164" s="16"/>
    </row>
    <row r="165" spans="1:5">
      <c r="A165" s="16"/>
      <c r="B165" s="16"/>
      <c r="C165" s="16"/>
      <c r="D165" s="16"/>
      <c r="E165" s="16"/>
    </row>
    <row r="166" spans="1:5">
      <c r="A166" s="16"/>
      <c r="B166" s="16"/>
      <c r="C166" s="16"/>
      <c r="D166" s="16"/>
      <c r="E166" s="16"/>
    </row>
    <row r="167" spans="1:5">
      <c r="A167" s="16"/>
      <c r="B167" s="16"/>
      <c r="C167" s="16"/>
      <c r="D167" s="16"/>
      <c r="E167" s="16"/>
    </row>
    <row r="168" spans="1:5">
      <c r="A168" s="16"/>
      <c r="B168" s="16"/>
      <c r="C168" s="16"/>
      <c r="D168" s="16"/>
      <c r="E168" s="16"/>
    </row>
  </sheetData>
  <phoneticPr fontId="5" type="noConversion"/>
  <hyperlinks>
    <hyperlink ref="A9" location="Contents!A1" display="Return to Contents" xr:uid="{00000000-0004-0000-0200-000000000000}"/>
  </hyperlinks>
  <pageMargins left="0.45" right="0.48" top="1" bottom="1" header="0.5" footer="0.5"/>
  <pageSetup paperSize="9" scale="6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zoomScaleNormal="100" workbookViewId="0">
      <selection activeCell="A2" sqref="A2"/>
    </sheetView>
  </sheetViews>
  <sheetFormatPr defaultColWidth="9.1796875" defaultRowHeight="12.5"/>
  <cols>
    <col min="1" max="1" width="9.1796875" style="13" customWidth="1"/>
    <col min="2" max="16384" width="9.1796875" style="13"/>
  </cols>
  <sheetData>
    <row r="1" spans="1:19" ht="18">
      <c r="A1" s="102" t="s">
        <v>157</v>
      </c>
    </row>
    <row r="2" spans="1:19" ht="16.5">
      <c r="A2" s="128" t="s">
        <v>167</v>
      </c>
    </row>
    <row r="3" spans="1:19" ht="15.5">
      <c r="A3" s="103"/>
    </row>
    <row r="5" spans="1:19">
      <c r="Q5" s="111"/>
      <c r="R5" s="111"/>
      <c r="S5" s="112"/>
    </row>
    <row r="6" spans="1:19">
      <c r="Q6" s="111"/>
      <c r="R6" s="111"/>
      <c r="S6" s="112"/>
    </row>
    <row r="7" spans="1:19">
      <c r="Q7" s="111"/>
      <c r="R7" s="111"/>
      <c r="S7" s="112"/>
    </row>
    <row r="8" spans="1:19">
      <c r="Q8" s="111"/>
      <c r="R8" s="111"/>
      <c r="S8" s="112"/>
    </row>
    <row r="9" spans="1:19">
      <c r="Q9" s="111"/>
      <c r="R9" s="111"/>
      <c r="S9" s="112"/>
    </row>
    <row r="10" spans="1:19">
      <c r="Q10" s="111"/>
      <c r="R10" s="111"/>
      <c r="S10" s="112"/>
    </row>
    <row r="11" spans="1:19">
      <c r="Q11" s="111"/>
      <c r="R11" s="111"/>
      <c r="S11" s="112"/>
    </row>
    <row r="12" spans="1:19">
      <c r="Q12" s="111"/>
      <c r="R12" s="111"/>
      <c r="S12" s="112"/>
    </row>
    <row r="13" spans="1:19">
      <c r="Q13" s="111"/>
      <c r="R13" s="111"/>
      <c r="S13" s="112"/>
    </row>
    <row r="14" spans="1:19">
      <c r="Q14" s="111"/>
      <c r="R14" s="111"/>
      <c r="S14" s="112"/>
    </row>
    <row r="15" spans="1:19">
      <c r="Q15" s="111"/>
      <c r="R15" s="111"/>
      <c r="S15" s="112"/>
    </row>
    <row r="16" spans="1:19">
      <c r="Q16" s="111"/>
      <c r="R16" s="111"/>
      <c r="S16" s="112"/>
    </row>
    <row r="17" spans="17:19">
      <c r="Q17" s="111"/>
      <c r="R17" s="111"/>
      <c r="S17" s="112"/>
    </row>
    <row r="18" spans="17:19">
      <c r="Q18" s="111"/>
      <c r="R18" s="111"/>
      <c r="S18" s="112"/>
    </row>
    <row r="19" spans="17:19">
      <c r="Q19" s="111"/>
      <c r="R19" s="111"/>
      <c r="S19" s="112"/>
    </row>
    <row r="20" spans="17:19">
      <c r="Q20" s="111"/>
      <c r="R20" s="111"/>
      <c r="S20" s="112"/>
    </row>
    <row r="21" spans="17:19">
      <c r="Q21" s="111"/>
      <c r="R21" s="111"/>
      <c r="S21" s="112"/>
    </row>
    <row r="22" spans="17:19">
      <c r="Q22" s="111"/>
      <c r="R22" s="111"/>
      <c r="S22" s="112"/>
    </row>
    <row r="23" spans="17:19">
      <c r="Q23" s="111"/>
      <c r="R23" s="111"/>
      <c r="S23" s="112"/>
    </row>
    <row r="24" spans="17:19">
      <c r="Q24" s="111"/>
      <c r="R24" s="111"/>
      <c r="S24" s="112"/>
    </row>
    <row r="25" spans="17:19">
      <c r="Q25" s="111"/>
      <c r="R25" s="111"/>
      <c r="S25" s="112"/>
    </row>
    <row r="26" spans="17:19">
      <c r="Q26" s="111"/>
      <c r="R26" s="111"/>
      <c r="S26" s="112"/>
    </row>
    <row r="27" spans="17:19">
      <c r="Q27" s="111"/>
      <c r="R27" s="111"/>
      <c r="S27" s="112"/>
    </row>
    <row r="28" spans="17:19">
      <c r="Q28" s="111"/>
      <c r="R28" s="111"/>
      <c r="S28" s="112"/>
    </row>
    <row r="29" spans="17:19">
      <c r="Q29" s="120"/>
      <c r="R29" s="120"/>
      <c r="S29" s="112"/>
    </row>
  </sheetData>
  <hyperlinks>
    <hyperlink ref="A2" r:id="rId1" location="counciltax" display="Council Tax Collection Statistics, 2022-23" xr:uid="{44C4A60F-4E98-4FEE-B5FB-8F6C93F4B1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8"/>
  <sheetViews>
    <sheetView showGridLines="0" zoomScaleNormal="100" zoomScaleSheetLayoutView="100" workbookViewId="0">
      <selection activeCell="E2" sqref="E2"/>
    </sheetView>
  </sheetViews>
  <sheetFormatPr defaultColWidth="9.1796875" defaultRowHeight="12.5"/>
  <cols>
    <col min="1" max="1" width="35.1796875" style="1" customWidth="1"/>
    <col min="2" max="9" width="9.7265625" style="1" customWidth="1"/>
    <col min="10" max="10" width="9.7265625" style="27" customWidth="1"/>
    <col min="11" max="15" width="9.1796875" style="72"/>
    <col min="16" max="18" width="9.1796875" style="1"/>
    <col min="19" max="19" width="13.54296875" style="1" customWidth="1"/>
    <col min="20" max="20" width="12.26953125" style="1" customWidth="1"/>
    <col min="21" max="16384" width="9.1796875" style="1"/>
  </cols>
  <sheetData>
    <row r="1" spans="1:19" ht="30" customHeight="1">
      <c r="A1" s="102" t="s">
        <v>143</v>
      </c>
    </row>
    <row r="2" spans="1:19" s="72" customFormat="1" ht="20" customHeight="1">
      <c r="A2" s="122" t="s">
        <v>150</v>
      </c>
    </row>
    <row r="3" spans="1:19" s="17" customFormat="1" ht="15.5">
      <c r="A3" s="107" t="s">
        <v>197</v>
      </c>
      <c r="B3" s="41"/>
      <c r="C3" s="41"/>
      <c r="D3" s="41"/>
      <c r="E3" s="41"/>
      <c r="F3" s="41"/>
      <c r="G3" s="41"/>
      <c r="H3" s="42"/>
      <c r="I3" s="71"/>
      <c r="J3" s="41"/>
      <c r="K3" s="41"/>
      <c r="L3" s="74"/>
      <c r="M3" s="41"/>
      <c r="N3" s="41"/>
    </row>
    <row r="4" spans="1:19" s="17" customFormat="1" ht="15.5">
      <c r="A4" s="107" t="s">
        <v>131</v>
      </c>
      <c r="B4" s="41"/>
      <c r="C4" s="41"/>
      <c r="D4" s="41"/>
      <c r="E4" s="41"/>
      <c r="F4" s="41"/>
      <c r="G4" s="41"/>
      <c r="H4" s="42"/>
      <c r="I4" s="71"/>
      <c r="J4" s="41"/>
      <c r="K4" s="41"/>
      <c r="L4" s="74"/>
      <c r="M4" s="41"/>
      <c r="N4" s="41"/>
    </row>
    <row r="5" spans="1:19" s="218" customFormat="1" ht="15.5">
      <c r="A5" s="105" t="s">
        <v>90</v>
      </c>
    </row>
    <row r="6" spans="1:19" s="17" customFormat="1" ht="14.15" customHeight="1">
      <c r="A6" s="107" t="s">
        <v>93</v>
      </c>
      <c r="B6" s="41"/>
      <c r="C6" s="41"/>
      <c r="D6" s="41"/>
      <c r="E6" s="41"/>
      <c r="F6" s="41"/>
      <c r="G6" s="41"/>
      <c r="H6" s="42"/>
      <c r="I6" s="71"/>
      <c r="J6" s="41"/>
      <c r="K6" s="41"/>
      <c r="L6" s="74"/>
      <c r="M6" s="41"/>
      <c r="N6" s="41"/>
    </row>
    <row r="7" spans="1:19" s="17" customFormat="1" ht="14.15" customHeight="1">
      <c r="A7" s="109" t="s">
        <v>203</v>
      </c>
      <c r="B7" s="41"/>
      <c r="C7" s="41"/>
      <c r="D7" s="41"/>
      <c r="E7" s="41"/>
      <c r="F7" s="41"/>
      <c r="G7" s="41"/>
      <c r="H7" s="42"/>
      <c r="I7" s="71"/>
      <c r="J7" s="41"/>
      <c r="K7" s="41"/>
      <c r="L7" s="74"/>
      <c r="M7" s="41"/>
      <c r="N7" s="41"/>
    </row>
    <row r="8" spans="1:19" s="17" customFormat="1" ht="14.15" customHeight="1">
      <c r="A8" s="230" t="s">
        <v>200</v>
      </c>
      <c r="B8" s="41"/>
      <c r="C8" s="41"/>
      <c r="D8" s="41"/>
      <c r="E8" s="41"/>
      <c r="F8" s="41"/>
      <c r="G8" s="41"/>
      <c r="H8" s="42"/>
      <c r="I8" s="71"/>
      <c r="J8" s="41"/>
      <c r="K8" s="41"/>
      <c r="L8" s="74"/>
      <c r="M8" s="41"/>
      <c r="N8" s="41"/>
    </row>
    <row r="9" spans="1:19" s="17" customFormat="1" ht="14.15" customHeight="1">
      <c r="A9" s="19" t="s">
        <v>201</v>
      </c>
      <c r="B9" s="41"/>
      <c r="C9" s="41"/>
      <c r="D9" s="41"/>
      <c r="E9" s="41"/>
      <c r="F9" s="41"/>
      <c r="G9" s="41"/>
      <c r="H9" s="42"/>
      <c r="I9" s="71"/>
      <c r="J9" s="41"/>
      <c r="K9" s="41"/>
      <c r="L9" s="74"/>
      <c r="M9" s="41"/>
      <c r="N9" s="41"/>
    </row>
    <row r="10" spans="1:19" s="72" customFormat="1" ht="15.5">
      <c r="A10" s="108" t="s">
        <v>173</v>
      </c>
      <c r="B10" s="73"/>
      <c r="C10" s="73"/>
      <c r="D10" s="73"/>
      <c r="E10" s="73"/>
      <c r="F10" s="73"/>
      <c r="G10" s="73"/>
      <c r="H10" s="219"/>
      <c r="I10" s="73"/>
      <c r="J10" s="41"/>
      <c r="K10" s="41"/>
      <c r="L10" s="74"/>
      <c r="M10" s="41"/>
      <c r="N10" s="41"/>
    </row>
    <row r="11" spans="1:19" ht="15.5">
      <c r="A11" s="103" t="s">
        <v>84</v>
      </c>
    </row>
    <row r="12" spans="1:19" ht="10" customHeight="1">
      <c r="A12" s="7"/>
      <c r="B12" s="231"/>
      <c r="C12" s="231"/>
      <c r="D12" s="231"/>
      <c r="E12" s="231"/>
      <c r="F12" s="231"/>
      <c r="G12" s="231"/>
      <c r="H12" s="231"/>
    </row>
    <row r="13" spans="1:19" ht="39.75" customHeight="1">
      <c r="A13" s="29"/>
      <c r="B13" s="29" t="s">
        <v>23</v>
      </c>
      <c r="C13" s="29" t="s">
        <v>25</v>
      </c>
      <c r="D13" s="29" t="s">
        <v>26</v>
      </c>
      <c r="E13" s="29" t="s">
        <v>59</v>
      </c>
      <c r="F13" s="29" t="s">
        <v>61</v>
      </c>
      <c r="G13" s="29" t="s">
        <v>68</v>
      </c>
      <c r="H13" s="29" t="s">
        <v>82</v>
      </c>
      <c r="I13" s="29" t="s">
        <v>81</v>
      </c>
      <c r="J13" s="29" t="s">
        <v>89</v>
      </c>
      <c r="K13" s="29" t="s">
        <v>125</v>
      </c>
      <c r="L13" s="29" t="s">
        <v>141</v>
      </c>
      <c r="M13" s="29" t="s">
        <v>172</v>
      </c>
      <c r="O13" s="1"/>
    </row>
    <row r="14" spans="1:19" s="7" customFormat="1" ht="18" customHeight="1">
      <c r="A14" s="38" t="s">
        <v>5</v>
      </c>
      <c r="B14" s="153">
        <v>95.229948274081721</v>
      </c>
      <c r="C14" s="153">
        <v>95.412565244817756</v>
      </c>
      <c r="D14" s="153">
        <v>95.74044102895725</v>
      </c>
      <c r="E14" s="153">
        <v>95.840614909317623</v>
      </c>
      <c r="F14" s="153">
        <v>96.002257589478873</v>
      </c>
      <c r="G14" s="153">
        <v>96.014674008238956</v>
      </c>
      <c r="H14" s="153">
        <v>95.772784008016188</v>
      </c>
      <c r="I14" s="153">
        <v>94.782627217444031</v>
      </c>
      <c r="J14" s="153">
        <v>95.742688580641712</v>
      </c>
      <c r="K14" s="153">
        <v>96.166078303075935</v>
      </c>
      <c r="L14" s="153">
        <v>95.492702078136233</v>
      </c>
      <c r="M14" s="153">
        <v>95.502260293257265</v>
      </c>
      <c r="P14" s="115"/>
      <c r="Q14" s="115" t="s">
        <v>35</v>
      </c>
      <c r="R14" s="116" t="s">
        <v>36</v>
      </c>
      <c r="S14" s="115" t="s">
        <v>37</v>
      </c>
    </row>
    <row r="15" spans="1:19" ht="15" customHeight="1">
      <c r="A15" s="69" t="s">
        <v>6</v>
      </c>
      <c r="B15" s="154">
        <v>94.190703585319824</v>
      </c>
      <c r="C15" s="154">
        <v>95.231386046863477</v>
      </c>
      <c r="D15" s="154">
        <v>95.302833718809353</v>
      </c>
      <c r="E15" s="154">
        <v>95.152085883793205</v>
      </c>
      <c r="F15" s="154">
        <v>94.9604708051193</v>
      </c>
      <c r="G15" s="154">
        <v>94.588526549428025</v>
      </c>
      <c r="H15" s="154">
        <v>93.577636871017006</v>
      </c>
      <c r="I15" s="154">
        <v>91.860035698898258</v>
      </c>
      <c r="J15" s="154">
        <v>92.793100050779501</v>
      </c>
      <c r="K15" s="154">
        <v>93.804130579613584</v>
      </c>
      <c r="L15" s="154">
        <v>92.505174851927507</v>
      </c>
      <c r="M15" s="154">
        <v>92.937544654291528</v>
      </c>
      <c r="O15" s="1"/>
      <c r="P15" s="27" t="s">
        <v>21</v>
      </c>
      <c r="Q15" s="117">
        <v>97.931581109296232</v>
      </c>
      <c r="R15" s="117">
        <v>95.083461902237872</v>
      </c>
      <c r="S15" s="117">
        <v>92.577865128852039</v>
      </c>
    </row>
    <row r="16" spans="1:19" ht="15" customHeight="1">
      <c r="A16" s="71" t="s">
        <v>7</v>
      </c>
      <c r="B16" s="155">
        <v>96.156641443290155</v>
      </c>
      <c r="C16" s="155">
        <v>96.374128274003709</v>
      </c>
      <c r="D16" s="155">
        <v>96.080738293114379</v>
      </c>
      <c r="E16" s="155">
        <v>96.071698144507749</v>
      </c>
      <c r="F16" s="155">
        <v>96.079180621427014</v>
      </c>
      <c r="G16" s="155">
        <v>96.40888183871202</v>
      </c>
      <c r="H16" s="155">
        <v>96.336491808498124</v>
      </c>
      <c r="I16" s="155">
        <v>95.470773380180489</v>
      </c>
      <c r="J16" s="155">
        <v>96.547795745124077</v>
      </c>
      <c r="K16" s="155">
        <v>96.923597660730749</v>
      </c>
      <c r="L16" s="155">
        <v>96.238079893062164</v>
      </c>
      <c r="M16" s="155">
        <v>96.195483708716182</v>
      </c>
      <c r="O16" s="1"/>
      <c r="P16" s="27" t="s">
        <v>22</v>
      </c>
      <c r="Q16" s="117">
        <v>98.081475625767609</v>
      </c>
      <c r="R16" s="117">
        <v>95.164106587060019</v>
      </c>
      <c r="S16" s="117">
        <v>93.106334115573318</v>
      </c>
    </row>
    <row r="17" spans="1:25" ht="15" customHeight="1">
      <c r="A17" s="69" t="s">
        <v>204</v>
      </c>
      <c r="B17" s="154">
        <v>97.618877538871828</v>
      </c>
      <c r="C17" s="154">
        <v>97.592306612382416</v>
      </c>
      <c r="D17" s="154">
        <v>97.80706816555481</v>
      </c>
      <c r="E17" s="154">
        <v>97.891573175488105</v>
      </c>
      <c r="F17" s="154">
        <v>97.830655260979398</v>
      </c>
      <c r="G17" s="154">
        <v>97.566299469604246</v>
      </c>
      <c r="H17" s="154">
        <v>97.390214773772925</v>
      </c>
      <c r="I17" s="154">
        <v>96.891014690809712</v>
      </c>
      <c r="J17" s="154">
        <v>97.186337377778614</v>
      </c>
      <c r="K17" s="154">
        <v>97.521212012033658</v>
      </c>
      <c r="L17" s="154">
        <v>96.875</v>
      </c>
      <c r="M17" s="154">
        <v>96.778534981722757</v>
      </c>
      <c r="O17" s="1"/>
      <c r="P17" s="27" t="s">
        <v>23</v>
      </c>
      <c r="Q17" s="117">
        <v>97.843873327558001</v>
      </c>
      <c r="R17" s="117">
        <v>95.229948274081721</v>
      </c>
      <c r="S17" s="117">
        <v>92.657773324147712</v>
      </c>
    </row>
    <row r="18" spans="1:25" ht="15" customHeight="1">
      <c r="A18" s="71" t="s">
        <v>62</v>
      </c>
      <c r="B18" s="155">
        <v>95.805572021339657</v>
      </c>
      <c r="C18" s="155">
        <v>95.218572942097751</v>
      </c>
      <c r="D18" s="155">
        <v>95.967686411309757</v>
      </c>
      <c r="E18" s="155">
        <v>95.792616720955479</v>
      </c>
      <c r="F18" s="155">
        <v>95.80084353461578</v>
      </c>
      <c r="G18" s="155">
        <v>96.113334528005097</v>
      </c>
      <c r="H18" s="155">
        <v>96.403407695649719</v>
      </c>
      <c r="I18" s="155">
        <v>96.147269618365044</v>
      </c>
      <c r="J18" s="155">
        <v>96.406673320975329</v>
      </c>
      <c r="K18" s="155">
        <v>96.825396825396822</v>
      </c>
      <c r="L18" s="155">
        <v>96.342685370741492</v>
      </c>
      <c r="M18" s="155">
        <v>95.539232450596998</v>
      </c>
      <c r="O18" s="1"/>
      <c r="P18" s="27" t="s">
        <v>25</v>
      </c>
      <c r="Q18" s="117">
        <v>97.975314502729645</v>
      </c>
      <c r="R18" s="117">
        <v>95.412565244817728</v>
      </c>
      <c r="S18" s="117">
        <v>93.290221599802294</v>
      </c>
    </row>
    <row r="19" spans="1:25" ht="15" customHeight="1">
      <c r="A19" s="69" t="s">
        <v>177</v>
      </c>
      <c r="B19" s="154">
        <v>94.935530611496276</v>
      </c>
      <c r="C19" s="154">
        <v>95.16447902937513</v>
      </c>
      <c r="D19" s="154">
        <v>96.363306190761108</v>
      </c>
      <c r="E19" s="154">
        <v>96.603683225216599</v>
      </c>
      <c r="F19" s="154">
        <v>96.8923224821106</v>
      </c>
      <c r="G19" s="154">
        <v>97.140758383510104</v>
      </c>
      <c r="H19" s="154">
        <v>96.96953595465817</v>
      </c>
      <c r="I19" s="154">
        <v>95.671371819795453</v>
      </c>
      <c r="J19" s="154">
        <v>96.670516931206393</v>
      </c>
      <c r="K19" s="154">
        <v>96.889398446627169</v>
      </c>
      <c r="L19" s="154">
        <v>96.070583414738437</v>
      </c>
      <c r="M19" s="154">
        <v>96.163923165042263</v>
      </c>
      <c r="O19" s="1"/>
      <c r="P19" s="27" t="s">
        <v>26</v>
      </c>
      <c r="Q19" s="117">
        <v>98.485940879596257</v>
      </c>
      <c r="R19" s="117">
        <v>95.74044102895725</v>
      </c>
      <c r="S19" s="117">
        <v>93.583958885539118</v>
      </c>
    </row>
    <row r="20" spans="1:25" ht="15" customHeight="1">
      <c r="A20" s="70" t="s">
        <v>205</v>
      </c>
      <c r="B20" s="156">
        <v>95.109104589917237</v>
      </c>
      <c r="C20" s="156">
        <v>95.058609411268208</v>
      </c>
      <c r="D20" s="156">
        <v>95.77940641405479</v>
      </c>
      <c r="E20" s="156">
        <v>95.852629412370078</v>
      </c>
      <c r="F20" s="156">
        <v>95.872763046940875</v>
      </c>
      <c r="G20" s="156">
        <v>95.956824825725207</v>
      </c>
      <c r="H20" s="156">
        <v>95.71959502755351</v>
      </c>
      <c r="I20" s="155">
        <v>94.707648677954793</v>
      </c>
      <c r="J20" s="155">
        <v>95.967014031344874</v>
      </c>
      <c r="K20" s="155">
        <v>96.73270078208742</v>
      </c>
      <c r="L20" s="155">
        <v>95.75919782870929</v>
      </c>
      <c r="M20" s="155">
        <v>96.246528038435557</v>
      </c>
      <c r="O20" s="1"/>
      <c r="P20" s="27" t="s">
        <v>56</v>
      </c>
      <c r="Q20" s="117">
        <v>97.956150130063165</v>
      </c>
      <c r="R20" s="117">
        <v>95.840614909317623</v>
      </c>
      <c r="S20" s="117">
        <v>93.406308569605613</v>
      </c>
    </row>
    <row r="21" spans="1:25" ht="15" customHeight="1">
      <c r="A21" s="69" t="s">
        <v>152</v>
      </c>
      <c r="B21" s="154">
        <v>96.042535521493434</v>
      </c>
      <c r="C21" s="154">
        <v>95.960549037759705</v>
      </c>
      <c r="D21" s="154">
        <v>96.063807384528985</v>
      </c>
      <c r="E21" s="154">
        <v>95.908783725242159</v>
      </c>
      <c r="F21" s="154">
        <v>96.148496330759272</v>
      </c>
      <c r="G21" s="154">
        <v>96.062687583155409</v>
      </c>
      <c r="H21" s="154">
        <v>95.917139797250712</v>
      </c>
      <c r="I21" s="154">
        <v>95.358054217758735</v>
      </c>
      <c r="J21" s="154">
        <v>96.087489608659325</v>
      </c>
      <c r="K21" s="154">
        <v>97.007662354668938</v>
      </c>
      <c r="L21" s="154">
        <v>96.721773315747015</v>
      </c>
      <c r="M21" s="154">
        <v>95.900377894513539</v>
      </c>
      <c r="O21" s="1"/>
      <c r="P21" s="27" t="s">
        <v>57</v>
      </c>
      <c r="Q21" s="117">
        <v>97.9</v>
      </c>
      <c r="R21" s="117">
        <v>96</v>
      </c>
      <c r="S21" s="117">
        <v>93.9</v>
      </c>
    </row>
    <row r="22" spans="1:25" ht="15" customHeight="1">
      <c r="A22" s="70" t="s">
        <v>206</v>
      </c>
      <c r="B22" s="156">
        <v>92.657773324147726</v>
      </c>
      <c r="C22" s="156">
        <v>93.290221599802294</v>
      </c>
      <c r="D22" s="156">
        <v>93.583958885539118</v>
      </c>
      <c r="E22" s="156">
        <v>93.406308569605613</v>
      </c>
      <c r="F22" s="156">
        <v>93.912797281993207</v>
      </c>
      <c r="G22" s="156">
        <v>94.061068423646219</v>
      </c>
      <c r="H22" s="156">
        <v>94.219765128439875</v>
      </c>
      <c r="I22" s="155">
        <v>93.676162829946662</v>
      </c>
      <c r="J22" s="155">
        <v>95.006987258528568</v>
      </c>
      <c r="K22" s="155">
        <v>95.36442961632234</v>
      </c>
      <c r="L22" s="155">
        <v>94.560777075074895</v>
      </c>
      <c r="M22" s="155">
        <v>94.19023439806341</v>
      </c>
      <c r="O22" s="1"/>
      <c r="P22" s="27" t="s">
        <v>60</v>
      </c>
      <c r="Q22" s="117">
        <v>98</v>
      </c>
      <c r="R22" s="117">
        <v>96</v>
      </c>
      <c r="S22" s="117">
        <v>94.1</v>
      </c>
    </row>
    <row r="23" spans="1:25" ht="15" customHeight="1">
      <c r="A23" s="69" t="s">
        <v>207</v>
      </c>
      <c r="B23" s="154">
        <v>93.661988958338398</v>
      </c>
      <c r="C23" s="154">
        <v>93.996414173247445</v>
      </c>
      <c r="D23" s="154">
        <v>93.947644792306406</v>
      </c>
      <c r="E23" s="154">
        <v>94.112622076512835</v>
      </c>
      <c r="F23" s="154">
        <v>94.198074487355328</v>
      </c>
      <c r="G23" s="154">
        <v>94.050957917519312</v>
      </c>
      <c r="H23" s="154">
        <v>94.003898487911755</v>
      </c>
      <c r="I23" s="154">
        <v>93.203722092869569</v>
      </c>
      <c r="J23" s="154">
        <v>95.311884263622687</v>
      </c>
      <c r="K23" s="154">
        <v>95.946709292334077</v>
      </c>
      <c r="L23" s="154">
        <v>95.381262352907044</v>
      </c>
      <c r="M23" s="154">
        <v>98.204624653522103</v>
      </c>
      <c r="O23" s="1"/>
      <c r="P23" s="27" t="s">
        <v>63</v>
      </c>
      <c r="Q23" s="117">
        <v>97.8</v>
      </c>
      <c r="R23" s="117">
        <v>95.8</v>
      </c>
      <c r="S23" s="117">
        <v>93.6</v>
      </c>
    </row>
    <row r="24" spans="1:25" ht="15" customHeight="1">
      <c r="A24" s="70" t="s">
        <v>10</v>
      </c>
      <c r="B24" s="156">
        <v>96.184957141132443</v>
      </c>
      <c r="C24" s="156">
        <v>96.581196581196579</v>
      </c>
      <c r="D24" s="156">
        <v>96.706849208358491</v>
      </c>
      <c r="E24" s="156">
        <v>96.837011004205792</v>
      </c>
      <c r="F24" s="156">
        <v>97.112531579036613</v>
      </c>
      <c r="G24" s="156">
        <v>96.789813486370164</v>
      </c>
      <c r="H24" s="156">
        <v>97.017404940456785</v>
      </c>
      <c r="I24" s="155">
        <v>96.693113772455092</v>
      </c>
      <c r="J24" s="155">
        <v>97.450156776903512</v>
      </c>
      <c r="K24" s="155">
        <v>97.733155990331937</v>
      </c>
      <c r="L24" s="155">
        <v>97.638233219382499</v>
      </c>
      <c r="M24" s="155">
        <v>96.953441159467062</v>
      </c>
      <c r="O24" s="1"/>
      <c r="P24" s="27" t="s">
        <v>81</v>
      </c>
      <c r="Q24" s="117">
        <v>97.109979749039496</v>
      </c>
      <c r="R24" s="117">
        <v>94.782781316856756</v>
      </c>
      <c r="S24" s="117">
        <v>91.860035698898258</v>
      </c>
    </row>
    <row r="25" spans="1:25" ht="15" customHeight="1">
      <c r="A25" s="69" t="s">
        <v>178</v>
      </c>
      <c r="B25" s="154">
        <v>96.232676622496442</v>
      </c>
      <c r="C25" s="154">
        <v>96.480951941702799</v>
      </c>
      <c r="D25" s="154">
        <v>97.676270598084656</v>
      </c>
      <c r="E25" s="154">
        <v>97.192253568317369</v>
      </c>
      <c r="F25" s="154">
        <v>97.027388776794453</v>
      </c>
      <c r="G25" s="154">
        <v>96.874881408675193</v>
      </c>
      <c r="H25" s="154">
        <v>96.754070628039756</v>
      </c>
      <c r="I25" s="154">
        <v>95.46768890137308</v>
      </c>
      <c r="J25" s="154">
        <v>97.662304459677557</v>
      </c>
      <c r="K25" s="154">
        <v>97.557305283638357</v>
      </c>
      <c r="L25" s="154">
        <v>96.798691759749431</v>
      </c>
      <c r="M25" s="154">
        <v>96.793193717277475</v>
      </c>
      <c r="O25" s="1"/>
      <c r="P25" s="27" t="s">
        <v>89</v>
      </c>
      <c r="Q25" s="27">
        <v>97.7</v>
      </c>
      <c r="R25" s="117">
        <f>J14</f>
        <v>95.742688580641712</v>
      </c>
      <c r="S25" s="27">
        <v>92.8</v>
      </c>
    </row>
    <row r="26" spans="1:25" ht="15" customHeight="1">
      <c r="A26" s="70" t="s">
        <v>208</v>
      </c>
      <c r="B26" s="156">
        <v>97.843873327558001</v>
      </c>
      <c r="C26" s="156">
        <v>97.975314502729645</v>
      </c>
      <c r="D26" s="156">
        <v>97.642749812171303</v>
      </c>
      <c r="E26" s="156">
        <v>97.757692040962567</v>
      </c>
      <c r="F26" s="156">
        <v>97.761315201948449</v>
      </c>
      <c r="G26" s="156">
        <v>97.638087065064752</v>
      </c>
      <c r="H26" s="156">
        <v>97.475211336244868</v>
      </c>
      <c r="I26" s="155">
        <v>96.421266074954204</v>
      </c>
      <c r="J26" s="155">
        <v>96.761027222085971</v>
      </c>
      <c r="K26" s="155">
        <v>97.55001837068707</v>
      </c>
      <c r="L26" s="155">
        <v>97.546155280661409</v>
      </c>
      <c r="M26" s="155">
        <v>97.769075407409687</v>
      </c>
      <c r="O26" s="1"/>
      <c r="P26" s="27" t="s">
        <v>125</v>
      </c>
      <c r="Q26" s="27">
        <v>98.4</v>
      </c>
      <c r="R26" s="117">
        <f>K14</f>
        <v>96.166078303075935</v>
      </c>
      <c r="S26" s="27">
        <v>92.7</v>
      </c>
    </row>
    <row r="27" spans="1:25" ht="15" customHeight="1">
      <c r="A27" s="69" t="s">
        <v>156</v>
      </c>
      <c r="B27" s="154">
        <v>95.569868384206103</v>
      </c>
      <c r="C27" s="154">
        <v>95.587291693402022</v>
      </c>
      <c r="D27" s="154">
        <v>96.008486461217586</v>
      </c>
      <c r="E27" s="154">
        <v>96.388820183032394</v>
      </c>
      <c r="F27" s="154">
        <v>96.620236438908819</v>
      </c>
      <c r="G27" s="154">
        <v>96.584340514976347</v>
      </c>
      <c r="H27" s="154">
        <v>96.387903261724844</v>
      </c>
      <c r="I27" s="154">
        <v>95.86112924745224</v>
      </c>
      <c r="J27" s="154">
        <v>96.460699426515234</v>
      </c>
      <c r="K27" s="154">
        <v>96.877605357286939</v>
      </c>
      <c r="L27" s="154">
        <v>96.640869008943469</v>
      </c>
      <c r="M27" s="154">
        <v>96.475336098755562</v>
      </c>
      <c r="O27" s="1"/>
      <c r="P27" s="27"/>
      <c r="Q27" s="27"/>
      <c r="R27" s="117"/>
      <c r="S27" s="27"/>
    </row>
    <row r="28" spans="1:25" ht="15" customHeight="1">
      <c r="A28" s="70" t="s">
        <v>209</v>
      </c>
      <c r="B28" s="156">
        <v>95.47113098353546</v>
      </c>
      <c r="C28" s="156">
        <v>95.382165605095537</v>
      </c>
      <c r="D28" s="156">
        <v>95.691338718859669</v>
      </c>
      <c r="E28" s="156">
        <v>95.754565730124909</v>
      </c>
      <c r="F28" s="156">
        <v>95.771108464327313</v>
      </c>
      <c r="G28" s="156">
        <v>95.701662517167634</v>
      </c>
      <c r="H28" s="156">
        <v>95.330272200714262</v>
      </c>
      <c r="I28" s="155">
        <v>94.385133820786564</v>
      </c>
      <c r="J28" s="155">
        <v>95.308128394838434</v>
      </c>
      <c r="K28" s="155">
        <v>95.824618736383442</v>
      </c>
      <c r="L28" s="155">
        <v>95.193486886175094</v>
      </c>
      <c r="M28" s="155">
        <v>95.251909241280842</v>
      </c>
      <c r="O28" s="1"/>
    </row>
    <row r="29" spans="1:25" ht="15" customHeight="1">
      <c r="A29" s="69" t="s">
        <v>210</v>
      </c>
      <c r="B29" s="154">
        <v>93.908650722116249</v>
      </c>
      <c r="C29" s="154">
        <v>94.610446019646048</v>
      </c>
      <c r="D29" s="154">
        <v>94.748916901358953</v>
      </c>
      <c r="E29" s="154">
        <v>94.915229336232471</v>
      </c>
      <c r="F29" s="154">
        <v>94.978013192084759</v>
      </c>
      <c r="G29" s="154">
        <v>95.028860776994321</v>
      </c>
      <c r="H29" s="154">
        <v>94.363743689448626</v>
      </c>
      <c r="I29" s="154">
        <v>92.126382106921085</v>
      </c>
      <c r="J29" s="154">
        <v>93.924987611496533</v>
      </c>
      <c r="K29" s="154">
        <v>94.481493831277092</v>
      </c>
      <c r="L29" s="154">
        <v>93.794093862413206</v>
      </c>
      <c r="M29" s="154">
        <v>93.372989448681594</v>
      </c>
      <c r="O29" s="1"/>
      <c r="V29" s="72"/>
      <c r="W29" s="72"/>
      <c r="X29" s="72"/>
      <c r="Y29" s="23"/>
    </row>
    <row r="30" spans="1:25" ht="15" customHeight="1">
      <c r="A30" s="70" t="s">
        <v>11</v>
      </c>
      <c r="B30" s="156">
        <v>95.490267796241554</v>
      </c>
      <c r="C30" s="156">
        <v>95.169138315401767</v>
      </c>
      <c r="D30" s="156">
        <v>95.629998951352277</v>
      </c>
      <c r="E30" s="156">
        <v>96.056639963894838</v>
      </c>
      <c r="F30" s="156">
        <v>96.096212473518321</v>
      </c>
      <c r="G30" s="156">
        <v>96.121876803826183</v>
      </c>
      <c r="H30" s="156">
        <v>96.214042489314465</v>
      </c>
      <c r="I30" s="155">
        <v>95.721524731508083</v>
      </c>
      <c r="J30" s="155">
        <v>96.482763235173849</v>
      </c>
      <c r="K30" s="155">
        <v>96.712047995559118</v>
      </c>
      <c r="L30" s="155">
        <v>95.890659673189433</v>
      </c>
      <c r="M30" s="155">
        <v>95.64867557281157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21"/>
    </row>
    <row r="31" spans="1:25" ht="15" customHeight="1">
      <c r="A31" s="69" t="s">
        <v>12</v>
      </c>
      <c r="B31" s="154">
        <v>94.509285766718051</v>
      </c>
      <c r="C31" s="154">
        <v>94.805523423944464</v>
      </c>
      <c r="D31" s="154">
        <v>95.119263446020398</v>
      </c>
      <c r="E31" s="154">
        <v>95.313262248240292</v>
      </c>
      <c r="F31" s="154">
        <v>95.523733226517123</v>
      </c>
      <c r="G31" s="154">
        <v>95.673107994571197</v>
      </c>
      <c r="H31" s="154">
        <v>95.350470142874585</v>
      </c>
      <c r="I31" s="154">
        <v>94.393300469204732</v>
      </c>
      <c r="J31" s="154">
        <v>95.624614842855877</v>
      </c>
      <c r="K31" s="154">
        <v>95.8997329658024</v>
      </c>
      <c r="L31" s="154">
        <v>94.697321355432379</v>
      </c>
      <c r="M31" s="154">
        <v>94.785933136303242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21"/>
    </row>
    <row r="32" spans="1:25" ht="15" customHeight="1">
      <c r="A32" s="70" t="s">
        <v>153</v>
      </c>
      <c r="B32" s="156">
        <v>93.482390764284673</v>
      </c>
      <c r="C32" s="156">
        <v>93.815688829711888</v>
      </c>
      <c r="D32" s="156">
        <v>94.402399757822607</v>
      </c>
      <c r="E32" s="156">
        <v>94.545697487974351</v>
      </c>
      <c r="F32" s="156">
        <v>95.076266308518797</v>
      </c>
      <c r="G32" s="156">
        <v>95.146621912775274</v>
      </c>
      <c r="H32" s="156">
        <v>95.143998318267819</v>
      </c>
      <c r="I32" s="155">
        <v>94.166336633663363</v>
      </c>
      <c r="J32" s="155">
        <v>94.181999005469919</v>
      </c>
      <c r="K32" s="155">
        <v>94.515406060385203</v>
      </c>
      <c r="L32" s="155">
        <v>93.761137823207022</v>
      </c>
      <c r="M32" s="155">
        <v>94.440675722629436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21"/>
    </row>
    <row r="33" spans="1:26" ht="15" customHeight="1">
      <c r="A33" s="69" t="s">
        <v>211</v>
      </c>
      <c r="B33" s="154">
        <v>95.099209733356076</v>
      </c>
      <c r="C33" s="154">
        <v>94.406662040249827</v>
      </c>
      <c r="D33" s="154">
        <v>95.597793434922721</v>
      </c>
      <c r="E33" s="154">
        <v>95.887592387037387</v>
      </c>
      <c r="F33" s="154">
        <v>96.673051718923276</v>
      </c>
      <c r="G33" s="154">
        <v>96.943662310783822</v>
      </c>
      <c r="H33" s="154">
        <v>96.96435433195451</v>
      </c>
      <c r="I33" s="154">
        <v>95.826697085790542</v>
      </c>
      <c r="J33" s="154">
        <v>96.720685559137962</v>
      </c>
      <c r="K33" s="154">
        <v>96.92604632263307</v>
      </c>
      <c r="L33" s="154">
        <v>96.182856269930681</v>
      </c>
      <c r="M33" s="154">
        <v>96.162846848185438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>
      <c r="A34" s="70" t="s">
        <v>151</v>
      </c>
      <c r="B34" s="156">
        <v>95.197124809409715</v>
      </c>
      <c r="C34" s="156">
        <v>95.621301775147927</v>
      </c>
      <c r="D34" s="156">
        <v>95.877378435517969</v>
      </c>
      <c r="E34" s="156">
        <v>96.138147566718985</v>
      </c>
      <c r="F34" s="156">
        <v>95.748401108829597</v>
      </c>
      <c r="G34" s="156">
        <v>96.468252445473055</v>
      </c>
      <c r="H34" s="156">
        <v>96.184285340606905</v>
      </c>
      <c r="I34" s="155">
        <v>95.373936013594957</v>
      </c>
      <c r="J34" s="155">
        <v>96.145307361956284</v>
      </c>
      <c r="K34" s="155">
        <v>96.418111294306712</v>
      </c>
      <c r="L34" s="155">
        <v>95.647726909336455</v>
      </c>
      <c r="M34" s="155">
        <v>89.521240728253531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>
      <c r="A35" s="69" t="s">
        <v>212</v>
      </c>
      <c r="B35" s="154">
        <v>94.757574487700623</v>
      </c>
      <c r="C35" s="154">
        <v>94.631648496861573</v>
      </c>
      <c r="D35" s="154">
        <v>94.661391953343255</v>
      </c>
      <c r="E35" s="154">
        <v>94.679889984140047</v>
      </c>
      <c r="F35" s="154">
        <v>94.82937878281534</v>
      </c>
      <c r="G35" s="154">
        <v>94.255113717636959</v>
      </c>
      <c r="H35" s="154">
        <v>93.997778824796399</v>
      </c>
      <c r="I35" s="154">
        <v>92.091493738964218</v>
      </c>
      <c r="J35" s="154">
        <v>93.343317825505068</v>
      </c>
      <c r="K35" s="154">
        <v>94.74017646058995</v>
      </c>
      <c r="L35" s="154">
        <v>93.575791308423533</v>
      </c>
      <c r="M35" s="154">
        <v>94.0333260569017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>
      <c r="A36" s="71" t="s">
        <v>213</v>
      </c>
      <c r="B36" s="155">
        <v>93.558755715346436</v>
      </c>
      <c r="C36" s="155">
        <v>93.895002051859549</v>
      </c>
      <c r="D36" s="155">
        <v>93.801424680102215</v>
      </c>
      <c r="E36" s="155">
        <v>93.97509657646745</v>
      </c>
      <c r="F36" s="155">
        <v>94.174808232237979</v>
      </c>
      <c r="G36" s="155">
        <v>94.08130679395758</v>
      </c>
      <c r="H36" s="155">
        <v>94.075388168356795</v>
      </c>
      <c r="I36" s="155">
        <v>93.318833476289669</v>
      </c>
      <c r="J36" s="155">
        <v>94.611610731699997</v>
      </c>
      <c r="K36" s="155">
        <v>94.885732823877163</v>
      </c>
      <c r="L36" s="155">
        <v>94.050235478806911</v>
      </c>
      <c r="M36" s="155">
        <v>94.516817396606029</v>
      </c>
      <c r="O36" s="1"/>
    </row>
    <row r="37" spans="1:26" ht="15" customHeight="1">
      <c r="A37" s="69" t="s">
        <v>214</v>
      </c>
      <c r="B37" s="154">
        <v>97.724613184241321</v>
      </c>
      <c r="C37" s="154">
        <v>97.816649642492337</v>
      </c>
      <c r="D37" s="154">
        <v>97.97433316557624</v>
      </c>
      <c r="E37" s="154">
        <v>97.956150130063165</v>
      </c>
      <c r="F37" s="154">
        <v>97.918593894542099</v>
      </c>
      <c r="G37" s="154">
        <v>97.973646329310142</v>
      </c>
      <c r="H37" s="154">
        <v>97.738405419489311</v>
      </c>
      <c r="I37" s="154">
        <v>96.275862068965509</v>
      </c>
      <c r="J37" s="154">
        <v>93.772397094431</v>
      </c>
      <c r="K37" s="154">
        <v>95.52785923753666</v>
      </c>
      <c r="L37" s="154">
        <v>96.536471373727267</v>
      </c>
      <c r="M37" s="154">
        <v>95.998101866497947</v>
      </c>
      <c r="O37" s="1"/>
    </row>
    <row r="38" spans="1:26" ht="15" customHeight="1">
      <c r="A38" s="71" t="s">
        <v>154</v>
      </c>
      <c r="B38" s="155">
        <v>97.239747634069403</v>
      </c>
      <c r="C38" s="155">
        <v>97.037947637236385</v>
      </c>
      <c r="D38" s="155">
        <v>98.485940879596257</v>
      </c>
      <c r="E38" s="155">
        <v>97.894137734775185</v>
      </c>
      <c r="F38" s="155">
        <v>97.847380585647088</v>
      </c>
      <c r="G38" s="155">
        <v>97.858097969762625</v>
      </c>
      <c r="H38" s="155">
        <v>97.099731700448316</v>
      </c>
      <c r="I38" s="155">
        <v>96.590882064036151</v>
      </c>
      <c r="J38" s="155">
        <v>97.697433962787045</v>
      </c>
      <c r="K38" s="155">
        <v>98.378262694217611</v>
      </c>
      <c r="L38" s="155">
        <v>97.527745112129764</v>
      </c>
      <c r="M38" s="155">
        <v>97.339512429017688</v>
      </c>
      <c r="O38" s="1"/>
    </row>
    <row r="39" spans="1:26" ht="15" customHeight="1">
      <c r="A39" s="69" t="s">
        <v>215</v>
      </c>
      <c r="B39" s="154">
        <v>96.016426473076265</v>
      </c>
      <c r="C39" s="154">
        <v>95.997697388353629</v>
      </c>
      <c r="D39" s="154">
        <v>95.997562570596273</v>
      </c>
      <c r="E39" s="154">
        <v>95.955588496025342</v>
      </c>
      <c r="F39" s="154">
        <v>96.052237383228473</v>
      </c>
      <c r="G39" s="154">
        <v>96.019965334341165</v>
      </c>
      <c r="H39" s="154">
        <v>96.017245169642635</v>
      </c>
      <c r="I39" s="154">
        <v>95.034931594723531</v>
      </c>
      <c r="J39" s="154">
        <v>95.480456026058633</v>
      </c>
      <c r="K39" s="154">
        <v>95.309244022427976</v>
      </c>
      <c r="L39" s="154">
        <v>94.281712685074027</v>
      </c>
      <c r="M39" s="154">
        <v>94.48552215735117</v>
      </c>
      <c r="O39" s="1"/>
    </row>
    <row r="40" spans="1:26" ht="15" customHeight="1">
      <c r="A40" s="71" t="s">
        <v>179</v>
      </c>
      <c r="B40" s="155">
        <v>96.621119068363896</v>
      </c>
      <c r="C40" s="155">
        <v>96.487989090527634</v>
      </c>
      <c r="D40" s="155">
        <v>96.494636371315138</v>
      </c>
      <c r="E40" s="155">
        <v>96.634575824899201</v>
      </c>
      <c r="F40" s="155">
        <v>96.6135495294008</v>
      </c>
      <c r="G40" s="155">
        <v>96.840308963535122</v>
      </c>
      <c r="H40" s="155">
        <v>96.619362761820298</v>
      </c>
      <c r="I40" s="155">
        <v>95.96530488900504</v>
      </c>
      <c r="J40" s="155">
        <v>96.501762802453442</v>
      </c>
      <c r="K40" s="155">
        <v>96.566868736855128</v>
      </c>
      <c r="L40" s="155">
        <v>96.165049254233821</v>
      </c>
      <c r="M40" s="155">
        <v>96.125849469703425</v>
      </c>
      <c r="O40" s="1"/>
    </row>
    <row r="41" spans="1:26" ht="15" customHeight="1">
      <c r="A41" s="69" t="s">
        <v>13</v>
      </c>
      <c r="B41" s="154">
        <v>96.87857273056153</v>
      </c>
      <c r="C41" s="154">
        <v>97.169025811823488</v>
      </c>
      <c r="D41" s="154">
        <v>97.303318091218202</v>
      </c>
      <c r="E41" s="154">
        <v>97.249737792798044</v>
      </c>
      <c r="F41" s="154">
        <v>97.353974527887573</v>
      </c>
      <c r="G41" s="154">
        <v>97.303565015430664</v>
      </c>
      <c r="H41" s="154">
        <v>97.076908215716969</v>
      </c>
      <c r="I41" s="154">
        <v>97.006429735340973</v>
      </c>
      <c r="J41" s="154">
        <v>97.229422582348462</v>
      </c>
      <c r="K41" s="154">
        <v>97.862824188868032</v>
      </c>
      <c r="L41" s="154">
        <v>97.676528136557422</v>
      </c>
      <c r="M41" s="154">
        <v>97.109728024554514</v>
      </c>
      <c r="O41" s="1"/>
    </row>
    <row r="42" spans="1:26" ht="15" customHeight="1">
      <c r="A42" s="71" t="s">
        <v>180</v>
      </c>
      <c r="B42" s="155">
        <v>94.806366389586955</v>
      </c>
      <c r="C42" s="155">
        <v>94.792242589205969</v>
      </c>
      <c r="D42" s="155">
        <v>94.625075991027813</v>
      </c>
      <c r="E42" s="155">
        <v>94.91413200910408</v>
      </c>
      <c r="F42" s="155">
        <v>96.055697534576069</v>
      </c>
      <c r="G42" s="155">
        <v>95.821361873294066</v>
      </c>
      <c r="H42" s="155">
        <v>94.936305197965794</v>
      </c>
      <c r="I42" s="155">
        <v>94.079422382671481</v>
      </c>
      <c r="J42" s="155">
        <v>95.046941271782813</v>
      </c>
      <c r="K42" s="155">
        <v>95.549946458620155</v>
      </c>
      <c r="L42" s="155">
        <v>95.025084824406221</v>
      </c>
      <c r="M42" s="155">
        <v>95.15692012208207</v>
      </c>
      <c r="O42" s="1"/>
    </row>
    <row r="43" spans="1:26" ht="15" customHeight="1">
      <c r="A43" s="69" t="s">
        <v>216</v>
      </c>
      <c r="B43" s="154">
        <v>95.67393347956488</v>
      </c>
      <c r="C43" s="154">
        <v>95.787102621182399</v>
      </c>
      <c r="D43" s="154">
        <v>95.859617027519135</v>
      </c>
      <c r="E43" s="154">
        <v>95.99613595342808</v>
      </c>
      <c r="F43" s="154">
        <v>96.160245846170994</v>
      </c>
      <c r="G43" s="154">
        <v>96.154315840219198</v>
      </c>
      <c r="H43" s="154">
        <v>95.850375469231508</v>
      </c>
      <c r="I43" s="154">
        <v>95.558619753232762</v>
      </c>
      <c r="J43" s="154">
        <v>96.159676390016386</v>
      </c>
      <c r="K43" s="154">
        <v>96.965346730873293</v>
      </c>
      <c r="L43" s="154">
        <v>96.344294428733164</v>
      </c>
      <c r="M43" s="154">
        <v>96.385321404239093</v>
      </c>
      <c r="O43" s="1"/>
    </row>
    <row r="44" spans="1:26" ht="15" customHeight="1">
      <c r="A44" s="71" t="s">
        <v>155</v>
      </c>
      <c r="B44" s="155">
        <v>97.670807453416145</v>
      </c>
      <c r="C44" s="155">
        <v>97.401591948322164</v>
      </c>
      <c r="D44" s="155">
        <v>97.692105953317594</v>
      </c>
      <c r="E44" s="155">
        <v>97.751537863253901</v>
      </c>
      <c r="F44" s="155">
        <v>97.788771778877177</v>
      </c>
      <c r="G44" s="155">
        <v>97.713882665338986</v>
      </c>
      <c r="H44" s="155">
        <v>97.823199381455566</v>
      </c>
      <c r="I44" s="155">
        <v>97.109979749039496</v>
      </c>
      <c r="J44" s="155">
        <v>97.674592353237827</v>
      </c>
      <c r="K44" s="155">
        <v>97.848786010818969</v>
      </c>
      <c r="L44" s="155">
        <v>97.534730319485632</v>
      </c>
      <c r="M44" s="155">
        <v>97.614245658910917</v>
      </c>
      <c r="O44" s="1"/>
    </row>
    <row r="45" spans="1:26" ht="15" customHeight="1">
      <c r="A45" s="69" t="s">
        <v>181</v>
      </c>
      <c r="B45" s="154">
        <v>94.522047844984897</v>
      </c>
      <c r="C45" s="154">
        <v>95.005282873883388</v>
      </c>
      <c r="D45" s="154">
        <v>94.448971915747236</v>
      </c>
      <c r="E45" s="154">
        <v>95.118848135046235</v>
      </c>
      <c r="F45" s="154">
        <v>95.412105121856641</v>
      </c>
      <c r="G45" s="154">
        <v>95.553442263911705</v>
      </c>
      <c r="H45" s="154">
        <v>95.139082446067221</v>
      </c>
      <c r="I45" s="154">
        <v>94.183587140439926</v>
      </c>
      <c r="J45" s="154">
        <v>94.396473954171711</v>
      </c>
      <c r="K45" s="154">
        <v>92.665950275973231</v>
      </c>
      <c r="L45" s="154">
        <v>93.211323053850109</v>
      </c>
      <c r="M45" s="154">
        <v>93.797593306383376</v>
      </c>
      <c r="O45" s="1"/>
    </row>
    <row r="46" spans="1:26" ht="15.75" customHeight="1" thickBot="1">
      <c r="A46" s="114" t="s">
        <v>182</v>
      </c>
      <c r="B46" s="78">
        <v>94.336353944562902</v>
      </c>
      <c r="C46" s="78">
        <v>94.811860472718962</v>
      </c>
      <c r="D46" s="78">
        <v>95.093689149934562</v>
      </c>
      <c r="E46" s="78">
        <v>95.612345563019687</v>
      </c>
      <c r="F46" s="78">
        <v>96.068520078629589</v>
      </c>
      <c r="G46" s="78">
        <v>96.267674408729988</v>
      </c>
      <c r="H46" s="78">
        <v>96.431035397760439</v>
      </c>
      <c r="I46" s="157">
        <v>96.080082445204113</v>
      </c>
      <c r="J46" s="157">
        <v>96.752507255427801</v>
      </c>
      <c r="K46" s="157">
        <v>97.110426728261118</v>
      </c>
      <c r="L46" s="157">
        <v>96.594528201393487</v>
      </c>
      <c r="M46" s="157">
        <v>96.679610196506317</v>
      </c>
      <c r="O46" s="1"/>
    </row>
    <row r="47" spans="1:26">
      <c r="A47" s="36"/>
      <c r="B47" s="39"/>
      <c r="C47" s="39"/>
      <c r="D47" s="39"/>
      <c r="E47" s="39"/>
      <c r="F47" s="39"/>
      <c r="G47" s="39"/>
      <c r="H47" s="39"/>
      <c r="I47" s="28"/>
      <c r="J47" s="43"/>
      <c r="K47" s="41"/>
      <c r="L47" s="74"/>
      <c r="M47" s="41"/>
      <c r="N47" s="73"/>
    </row>
    <row r="48" spans="1:26" ht="16">
      <c r="A48" s="163"/>
    </row>
  </sheetData>
  <mergeCells count="1">
    <mergeCell ref="B12:H12"/>
  </mergeCells>
  <phoneticPr fontId="5" type="noConversion"/>
  <hyperlinks>
    <hyperlink ref="A11" location="Contents!A1" display="Return to Contents" xr:uid="{00000000-0004-0000-0400-000000000000}"/>
  </hyperlinks>
  <pageMargins left="0.75" right="0.75" top="1" bottom="1" header="0.5" footer="0.5"/>
  <pageSetup paperSize="9" scale="6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10" sqref="A10"/>
    </sheetView>
  </sheetViews>
  <sheetFormatPr defaultColWidth="9.1796875" defaultRowHeight="12.5"/>
  <cols>
    <col min="1" max="16384" width="9.1796875" style="13"/>
  </cols>
  <sheetData>
    <row r="1" spans="1:1" ht="18">
      <c r="A1" s="102" t="s">
        <v>158</v>
      </c>
    </row>
    <row r="2" spans="1:1" ht="16.5">
      <c r="A2" s="128" t="s">
        <v>167</v>
      </c>
    </row>
    <row r="3" spans="1:1" ht="15.5">
      <c r="A3" s="103"/>
    </row>
  </sheetData>
  <hyperlinks>
    <hyperlink ref="A2" r:id="rId1" location="counciltax" display="Council Tax Collection Statistics, 2022-23" xr:uid="{15747D90-8988-4BF5-89D6-A9CDE27E9C4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74"/>
  <sheetViews>
    <sheetView showGridLines="0" zoomScaleNormal="100" zoomScaleSheetLayoutView="100" workbookViewId="0">
      <selection activeCell="O14" sqref="O14"/>
    </sheetView>
  </sheetViews>
  <sheetFormatPr defaultColWidth="9.1796875" defaultRowHeight="12.5"/>
  <cols>
    <col min="1" max="1" width="28.81640625" style="1" customWidth="1"/>
    <col min="2" max="10" width="8.54296875" style="1" customWidth="1"/>
    <col min="11" max="11" width="8.54296875" style="66" customWidth="1"/>
    <col min="12" max="13" width="9.1796875" style="66"/>
    <col min="14" max="16384" width="9.1796875" style="1"/>
  </cols>
  <sheetData>
    <row r="1" spans="1:53" ht="30" customHeight="1">
      <c r="A1" s="102" t="s">
        <v>198</v>
      </c>
      <c r="J1" s="27"/>
      <c r="K1" s="72"/>
      <c r="L1" s="72"/>
      <c r="M1" s="72"/>
      <c r="N1" s="72"/>
      <c r="O1" s="72"/>
    </row>
    <row r="2" spans="1:53" ht="30" customHeight="1">
      <c r="A2" s="122" t="s">
        <v>150</v>
      </c>
      <c r="J2" s="27"/>
      <c r="K2" s="72"/>
      <c r="L2" s="72"/>
      <c r="M2" s="72"/>
      <c r="N2" s="72"/>
      <c r="O2" s="72"/>
    </row>
    <row r="3" spans="1:53" s="13" customFormat="1" ht="15.5">
      <c r="A3" s="105" t="s">
        <v>94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53" s="17" customFormat="1" ht="15.5">
      <c r="A4" s="107" t="s">
        <v>131</v>
      </c>
      <c r="B4" s="41"/>
      <c r="C4" s="41"/>
      <c r="D4" s="41"/>
      <c r="E4" s="41"/>
      <c r="F4" s="41"/>
      <c r="G4" s="41"/>
      <c r="H4" s="42"/>
      <c r="I4" s="36"/>
      <c r="J4" s="43"/>
      <c r="K4" s="41"/>
      <c r="L4" s="74"/>
      <c r="M4" s="41"/>
      <c r="N4" s="41"/>
    </row>
    <row r="5" spans="1:53" s="13" customFormat="1" ht="15.5">
      <c r="A5" s="105" t="s">
        <v>90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53" s="13" customFormat="1" ht="15.5">
      <c r="A6" s="230" t="s">
        <v>200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53" s="13" customFormat="1" ht="15.5">
      <c r="A7" s="19" t="s">
        <v>201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53" s="14" customFormat="1" ht="15.5">
      <c r="A8" s="106" t="s">
        <v>166</v>
      </c>
      <c r="B8" s="31"/>
      <c r="C8" s="31"/>
      <c r="D8" s="31"/>
      <c r="E8" s="61"/>
      <c r="F8" s="61"/>
      <c r="G8" s="61"/>
      <c r="H8" s="61"/>
      <c r="I8" s="63"/>
      <c r="J8" s="62"/>
      <c r="K8" s="67"/>
      <c r="L8" s="67"/>
      <c r="M8" s="67"/>
      <c r="N8" s="67"/>
      <c r="O8" s="67"/>
    </row>
    <row r="9" spans="1:53" ht="15.5">
      <c r="A9" s="103" t="s">
        <v>84</v>
      </c>
    </row>
    <row r="10" spans="1:53" ht="13">
      <c r="A10" s="6"/>
      <c r="B10" s="146"/>
      <c r="C10" s="146"/>
      <c r="D10" s="146"/>
      <c r="E10" s="146"/>
      <c r="F10" s="146"/>
      <c r="G10" s="146"/>
      <c r="H10" s="146"/>
      <c r="I10" s="146"/>
      <c r="J10" s="147"/>
      <c r="K10" s="147"/>
    </row>
    <row r="11" spans="1:53" ht="16" customHeight="1">
      <c r="A11" s="29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169"/>
    </row>
    <row r="12" spans="1:53" ht="16" customHeight="1">
      <c r="A12" s="29"/>
      <c r="B12" s="29" t="s">
        <v>23</v>
      </c>
      <c r="C12" s="29" t="s">
        <v>25</v>
      </c>
      <c r="D12" s="29" t="s">
        <v>26</v>
      </c>
      <c r="E12" s="29" t="s">
        <v>56</v>
      </c>
      <c r="F12" s="29" t="s">
        <v>57</v>
      </c>
      <c r="G12" s="29" t="s">
        <v>60</v>
      </c>
      <c r="H12" s="29" t="s">
        <v>63</v>
      </c>
      <c r="I12" s="29" t="s">
        <v>81</v>
      </c>
      <c r="J12" s="29" t="s">
        <v>89</v>
      </c>
      <c r="K12" s="29" t="s">
        <v>125</v>
      </c>
      <c r="L12" s="29" t="s">
        <v>141</v>
      </c>
      <c r="M12" s="29" t="s">
        <v>172</v>
      </c>
    </row>
    <row r="13" spans="1:53" s="7" customFormat="1" ht="18" customHeight="1">
      <c r="A13" s="38" t="s">
        <v>5</v>
      </c>
      <c r="B13" s="175">
        <v>97.728060651003631</v>
      </c>
      <c r="C13" s="175">
        <v>97.713175050733824</v>
      </c>
      <c r="D13" s="175">
        <v>97.651029493754919</v>
      </c>
      <c r="E13" s="175">
        <v>97.521572639107859</v>
      </c>
      <c r="F13" s="175">
        <v>97.552402342277915</v>
      </c>
      <c r="G13" s="175">
        <v>97.417058157296893</v>
      </c>
      <c r="H13" s="175">
        <v>97.184458124386254</v>
      </c>
      <c r="I13" s="175">
        <v>96.790087528394764</v>
      </c>
      <c r="J13" s="175">
        <v>96.897372315389603</v>
      </c>
      <c r="K13" s="175">
        <v>97.047159851512532</v>
      </c>
      <c r="L13" s="175">
        <v>96.113824162764956</v>
      </c>
      <c r="M13" s="175">
        <v>95.502260293257265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ht="15" customHeight="1">
      <c r="A14" s="172" t="s">
        <v>6</v>
      </c>
      <c r="B14" s="174">
        <v>97.659888233467868</v>
      </c>
      <c r="C14" s="174">
        <v>97.851668233752179</v>
      </c>
      <c r="D14" s="174">
        <v>97.646925517449773</v>
      </c>
      <c r="E14" s="174">
        <v>97.532473666808372</v>
      </c>
      <c r="F14" s="174">
        <v>97.648705762766269</v>
      </c>
      <c r="G14" s="174">
        <v>97.25299221509654</v>
      </c>
      <c r="H14" s="174">
        <v>96.73588589315392</v>
      </c>
      <c r="I14" s="174">
        <v>95.865142414260802</v>
      </c>
      <c r="J14" s="174">
        <v>96.006959080910818</v>
      </c>
      <c r="K14" s="174">
        <v>96.073746312684364</v>
      </c>
      <c r="L14" s="174">
        <v>94.949550832981785</v>
      </c>
      <c r="M14" s="174">
        <v>92.937544654291528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ht="15" customHeight="1">
      <c r="A15" s="36" t="s">
        <v>7</v>
      </c>
      <c r="B15" s="8">
        <v>98.80627291877974</v>
      </c>
      <c r="C15" s="8">
        <v>98.727705112960763</v>
      </c>
      <c r="D15" s="8">
        <v>98.583607325418939</v>
      </c>
      <c r="E15" s="8">
        <v>98.363926576217082</v>
      </c>
      <c r="F15" s="8">
        <v>98.280148102530205</v>
      </c>
      <c r="G15" s="8">
        <v>98.152388244046534</v>
      </c>
      <c r="H15" s="8">
        <v>98.31548725346056</v>
      </c>
      <c r="I15" s="8">
        <v>97.968653944037172</v>
      </c>
      <c r="J15" s="8">
        <v>97.933800750040774</v>
      </c>
      <c r="K15" s="8">
        <v>97.948444555945812</v>
      </c>
      <c r="L15" s="8">
        <v>96.98087309402321</v>
      </c>
      <c r="M15" s="8">
        <v>96.195483708716182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ht="15" customHeight="1">
      <c r="A16" s="172" t="s">
        <v>95</v>
      </c>
      <c r="B16" s="174">
        <v>99.015274960308687</v>
      </c>
      <c r="C16" s="174">
        <v>99.062865601147678</v>
      </c>
      <c r="D16" s="174">
        <v>99.083874772766876</v>
      </c>
      <c r="E16" s="174">
        <v>99.013707716730707</v>
      </c>
      <c r="F16" s="174">
        <v>98.869171127575356</v>
      </c>
      <c r="G16" s="174">
        <v>98.566365970093017</v>
      </c>
      <c r="H16" s="174">
        <v>98.275405741140915</v>
      </c>
      <c r="I16" s="174">
        <v>98.097702520507241</v>
      </c>
      <c r="J16" s="174">
        <v>97.927269352503927</v>
      </c>
      <c r="K16" s="174">
        <v>97.965438916486789</v>
      </c>
      <c r="L16" s="174">
        <v>97.214190653640443</v>
      </c>
      <c r="M16" s="174">
        <v>96.778534981722757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ht="15" customHeight="1">
      <c r="A17" s="36" t="s">
        <v>8</v>
      </c>
      <c r="B17" s="8">
        <v>98.571870611477394</v>
      </c>
      <c r="C17" s="8">
        <v>98.128608863019736</v>
      </c>
      <c r="D17" s="8">
        <v>98.089142752276743</v>
      </c>
      <c r="E17" s="8">
        <v>97.844446960262658</v>
      </c>
      <c r="F17" s="8">
        <v>97.938611861227358</v>
      </c>
      <c r="G17" s="8">
        <v>98.057457725249051</v>
      </c>
      <c r="H17" s="8">
        <v>98.026888846809314</v>
      </c>
      <c r="I17" s="8">
        <v>97.974853982059358</v>
      </c>
      <c r="J17" s="8">
        <v>97.877804329992514</v>
      </c>
      <c r="K17" s="8">
        <v>97.548384898459858</v>
      </c>
      <c r="L17" s="8">
        <v>96.627683434796538</v>
      </c>
      <c r="M17" s="8">
        <v>95.539232450596998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ht="15" customHeight="1">
      <c r="A18" s="69" t="s">
        <v>96</v>
      </c>
      <c r="B18" s="174">
        <v>97.571356747460129</v>
      </c>
      <c r="C18" s="174">
        <v>97.839726360740514</v>
      </c>
      <c r="D18" s="174">
        <v>97.704150934442453</v>
      </c>
      <c r="E18" s="174">
        <v>97.493660466849448</v>
      </c>
      <c r="F18" s="174">
        <v>97.690613840944991</v>
      </c>
      <c r="G18" s="174">
        <v>97.67512099515838</v>
      </c>
      <c r="H18" s="174">
        <v>97.471814373965032</v>
      </c>
      <c r="I18" s="174">
        <v>96.833648491488191</v>
      </c>
      <c r="J18" s="174">
        <v>97.235410321773358</v>
      </c>
      <c r="K18" s="174">
        <v>97.38294008860538</v>
      </c>
      <c r="L18" s="174">
        <v>96.265557501977156</v>
      </c>
      <c r="M18" s="174">
        <v>96.163923165042263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ht="15" customHeight="1">
      <c r="A19" s="32" t="s">
        <v>97</v>
      </c>
      <c r="B19" s="8">
        <v>98.45989304812835</v>
      </c>
      <c r="C19" s="8">
        <v>98.738021678797722</v>
      </c>
      <c r="D19" s="8">
        <v>98.659240924092401</v>
      </c>
      <c r="E19" s="8">
        <v>98.343896953588228</v>
      </c>
      <c r="F19" s="8">
        <v>98.104287586594268</v>
      </c>
      <c r="G19" s="8">
        <v>97.939535720712612</v>
      </c>
      <c r="H19" s="8">
        <v>97.668238319759965</v>
      </c>
      <c r="I19" s="8">
        <v>97.320458155672611</v>
      </c>
      <c r="J19" s="8">
        <v>97.33963815789474</v>
      </c>
      <c r="K19" s="8">
        <v>97.697996183206101</v>
      </c>
      <c r="L19" s="8">
        <v>96.742781656916392</v>
      </c>
      <c r="M19" s="8">
        <v>96.246528038435557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ht="15" customHeight="1">
      <c r="A20" s="172" t="s">
        <v>9</v>
      </c>
      <c r="B20" s="174">
        <v>98.336621196511103</v>
      </c>
      <c r="C20" s="174">
        <v>98.460959243049814</v>
      </c>
      <c r="D20" s="174">
        <v>98.222729987209249</v>
      </c>
      <c r="E20" s="174">
        <v>98.169805304177203</v>
      </c>
      <c r="F20" s="174">
        <v>98.274627976991951</v>
      </c>
      <c r="G20" s="174">
        <v>98.038070549838721</v>
      </c>
      <c r="H20" s="174">
        <v>97.93267355163789</v>
      </c>
      <c r="I20" s="174">
        <v>97.646267904360201</v>
      </c>
      <c r="J20" s="174">
        <v>97.629150440077126</v>
      </c>
      <c r="K20" s="174">
        <v>97.872201001176904</v>
      </c>
      <c r="L20" s="174">
        <v>97.000480543040183</v>
      </c>
      <c r="M20" s="174">
        <v>95.900377894513539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1:53" ht="15" customHeight="1">
      <c r="A21" s="32" t="s">
        <v>98</v>
      </c>
      <c r="B21" s="8">
        <v>97.23938587855811</v>
      </c>
      <c r="C21" s="8">
        <v>97.11891691088455</v>
      </c>
      <c r="D21" s="8">
        <v>96.986729434682033</v>
      </c>
      <c r="E21" s="8">
        <v>96.988301169883002</v>
      </c>
      <c r="F21" s="8">
        <v>96.993464052287578</v>
      </c>
      <c r="G21" s="8">
        <v>96.881931332832295</v>
      </c>
      <c r="H21" s="8">
        <v>96.716006154172646</v>
      </c>
      <c r="I21" s="8">
        <v>96.300128927190059</v>
      </c>
      <c r="J21" s="8">
        <v>96.632085400691622</v>
      </c>
      <c r="K21" s="8">
        <v>96.831951479175402</v>
      </c>
      <c r="L21" s="8">
        <v>95.639962957902569</v>
      </c>
      <c r="M21" s="8">
        <v>94.19023439806341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1:53" ht="15" customHeight="1">
      <c r="A22" s="172" t="s">
        <v>99</v>
      </c>
      <c r="B22" s="174">
        <v>98.356638667021869</v>
      </c>
      <c r="C22" s="174">
        <v>98.376849753825297</v>
      </c>
      <c r="D22" s="174">
        <v>97.915358159404533</v>
      </c>
      <c r="E22" s="174">
        <v>97.406652496357182</v>
      </c>
      <c r="F22" s="174">
        <v>96.994746688832279</v>
      </c>
      <c r="G22" s="174">
        <v>96.815525426464148</v>
      </c>
      <c r="H22" s="174">
        <v>96.772528038812865</v>
      </c>
      <c r="I22" s="174">
        <v>97.157913874555149</v>
      </c>
      <c r="J22" s="174">
        <v>97.324913209238332</v>
      </c>
      <c r="K22" s="174">
        <v>97.824587882549068</v>
      </c>
      <c r="L22" s="174">
        <v>97.94329706590544</v>
      </c>
      <c r="M22" s="174">
        <v>98.204624653522103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1:53" ht="15" customHeight="1">
      <c r="A23" s="32" t="s">
        <v>10</v>
      </c>
      <c r="B23" s="8">
        <v>98.608927059392769</v>
      </c>
      <c r="C23" s="8">
        <v>98.721968644572328</v>
      </c>
      <c r="D23" s="8">
        <v>98.767794723583748</v>
      </c>
      <c r="E23" s="8">
        <v>98.623146543423843</v>
      </c>
      <c r="F23" s="8">
        <v>98.507285060949684</v>
      </c>
      <c r="G23" s="8">
        <v>98.409555755542826</v>
      </c>
      <c r="H23" s="8">
        <v>98.357465358866563</v>
      </c>
      <c r="I23" s="8">
        <v>98.188172123648258</v>
      </c>
      <c r="J23" s="8">
        <v>98.295766090191023</v>
      </c>
      <c r="K23" s="8">
        <v>98.345058818472296</v>
      </c>
      <c r="L23" s="8">
        <v>97.720112975938306</v>
      </c>
      <c r="M23" s="8">
        <v>96.953441159467062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ht="15" customHeight="1">
      <c r="A24" s="172" t="s">
        <v>100</v>
      </c>
      <c r="B24" s="174">
        <v>98.14710308502633</v>
      </c>
      <c r="C24" s="174">
        <v>98.274102254801903</v>
      </c>
      <c r="D24" s="174">
        <v>99.67830882352942</v>
      </c>
      <c r="E24" s="174">
        <v>99.255560803364602</v>
      </c>
      <c r="F24" s="174">
        <v>98.94584372736783</v>
      </c>
      <c r="G24" s="174">
        <v>98.606710692063984</v>
      </c>
      <c r="H24" s="174">
        <v>98.237994788435287</v>
      </c>
      <c r="I24" s="174">
        <v>97.664807807209712</v>
      </c>
      <c r="J24" s="174">
        <v>97.792689387250576</v>
      </c>
      <c r="K24" s="174">
        <v>97.970201149863513</v>
      </c>
      <c r="L24" s="174">
        <v>97.169745846230725</v>
      </c>
      <c r="M24" s="174">
        <v>96.793193717277475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1:53" s="66" customFormat="1" ht="15" customHeight="1">
      <c r="A25" s="32" t="s">
        <v>101</v>
      </c>
      <c r="B25" s="8">
        <v>99.399093794674229</v>
      </c>
      <c r="C25" s="8">
        <v>99.385446806475528</v>
      </c>
      <c r="D25" s="8">
        <v>99.162419781049451</v>
      </c>
      <c r="E25" s="8">
        <v>99.047862334827343</v>
      </c>
      <c r="F25" s="8">
        <v>99.020308194713749</v>
      </c>
      <c r="G25" s="8">
        <v>98.947162042936966</v>
      </c>
      <c r="H25" s="8">
        <v>98.641570578039037</v>
      </c>
      <c r="I25" s="8">
        <v>98.595812512313501</v>
      </c>
      <c r="J25" s="8">
        <v>97.220803466070208</v>
      </c>
      <c r="K25" s="8">
        <v>98.091897697522995</v>
      </c>
      <c r="L25" s="8">
        <v>97.698656639570629</v>
      </c>
      <c r="M25" s="8">
        <v>97.769075407409687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3" s="66" customFormat="1" ht="15" customHeight="1">
      <c r="A26" s="172" t="s">
        <v>102</v>
      </c>
      <c r="B26" s="174">
        <v>98.104662864810464</v>
      </c>
      <c r="C26" s="174">
        <v>98.18148521197692</v>
      </c>
      <c r="D26" s="174">
        <v>98.308037718904345</v>
      </c>
      <c r="E26" s="174">
        <v>98.2939308398024</v>
      </c>
      <c r="F26" s="174">
        <v>98.273332580972806</v>
      </c>
      <c r="G26" s="174">
        <v>98.150584229668041</v>
      </c>
      <c r="H26" s="174">
        <v>97.932224569337421</v>
      </c>
      <c r="I26" s="174">
        <v>97.785044071651967</v>
      </c>
      <c r="J26" s="174">
        <v>97.755796938316081</v>
      </c>
      <c r="K26" s="174">
        <v>97.830887303083344</v>
      </c>
      <c r="L26" s="174">
        <v>97.255596148293222</v>
      </c>
      <c r="M26" s="174">
        <v>96.475336098755562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s="66" customFormat="1" ht="15" customHeight="1">
      <c r="A27" s="32" t="s">
        <v>103</v>
      </c>
      <c r="B27" s="8">
        <v>98.116120136682454</v>
      </c>
      <c r="C27" s="8">
        <v>97.888630580021569</v>
      </c>
      <c r="D27" s="8">
        <v>97.793101452211602</v>
      </c>
      <c r="E27" s="8">
        <v>97.623833196237626</v>
      </c>
      <c r="F27" s="8">
        <v>97.529752120454987</v>
      </c>
      <c r="G27" s="8">
        <v>97.396072703463304</v>
      </c>
      <c r="H27" s="8">
        <v>96.936430480073838</v>
      </c>
      <c r="I27" s="8">
        <v>96.576523748749608</v>
      </c>
      <c r="J27" s="8">
        <v>96.618774490317449</v>
      </c>
      <c r="K27" s="8">
        <v>96.755952706471689</v>
      </c>
      <c r="L27" s="8">
        <v>95.995800839832029</v>
      </c>
      <c r="M27" s="8">
        <v>95.251909241280842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s="66" customFormat="1" ht="15" customHeight="1">
      <c r="A28" s="172" t="s">
        <v>104</v>
      </c>
      <c r="B28" s="174">
        <v>95.524687687887649</v>
      </c>
      <c r="C28" s="174">
        <v>95.637661655692952</v>
      </c>
      <c r="D28" s="174">
        <v>95.526537658583592</v>
      </c>
      <c r="E28" s="174">
        <v>95.450485379715161</v>
      </c>
      <c r="F28" s="174">
        <v>95.725064014496269</v>
      </c>
      <c r="G28" s="174">
        <v>95.677230924358057</v>
      </c>
      <c r="H28" s="174">
        <v>95.334044699835161</v>
      </c>
      <c r="I28" s="174">
        <v>94.487645754574018</v>
      </c>
      <c r="J28" s="174">
        <v>95.056524163641257</v>
      </c>
      <c r="K28" s="174">
        <v>95.239445976762667</v>
      </c>
      <c r="L28" s="174">
        <v>93.85626277607723</v>
      </c>
      <c r="M28" s="174">
        <v>93.372989448681594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s="66" customFormat="1" ht="15" customHeight="1">
      <c r="A29" s="32" t="s">
        <v>11</v>
      </c>
      <c r="B29" s="8">
        <v>98.323356859942223</v>
      </c>
      <c r="C29" s="8">
        <v>98.135755258126196</v>
      </c>
      <c r="D29" s="8">
        <v>98.051966709126262</v>
      </c>
      <c r="E29" s="8">
        <v>98.049660461470168</v>
      </c>
      <c r="F29" s="8">
        <v>98.020855869499371</v>
      </c>
      <c r="G29" s="8">
        <v>97.891908477977836</v>
      </c>
      <c r="H29" s="8">
        <v>97.782315735943797</v>
      </c>
      <c r="I29" s="8">
        <v>97.511489232405339</v>
      </c>
      <c r="J29" s="8">
        <v>97.770591222776574</v>
      </c>
      <c r="K29" s="8">
        <v>97.670838441143772</v>
      </c>
      <c r="L29" s="8">
        <v>96.616043011042109</v>
      </c>
      <c r="M29" s="8">
        <v>95.64867557281157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s="66" customFormat="1" ht="15" customHeight="1">
      <c r="A30" s="172" t="s">
        <v>12</v>
      </c>
      <c r="B30" s="174">
        <v>97.535964588712659</v>
      </c>
      <c r="C30" s="174">
        <v>97.661392980541919</v>
      </c>
      <c r="D30" s="174">
        <v>97.735889548608625</v>
      </c>
      <c r="E30" s="174">
        <v>97.547130142266454</v>
      </c>
      <c r="F30" s="174">
        <v>97.789795438513991</v>
      </c>
      <c r="G30" s="174">
        <v>97.590400624349641</v>
      </c>
      <c r="H30" s="174">
        <v>97.170971709717108</v>
      </c>
      <c r="I30" s="174">
        <v>96.800047849751778</v>
      </c>
      <c r="J30" s="174">
        <v>96.747321323442833</v>
      </c>
      <c r="K30" s="174">
        <v>96.73161171316579</v>
      </c>
      <c r="L30" s="174">
        <v>95.255813953488371</v>
      </c>
      <c r="M30" s="174">
        <v>94.785933136303242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s="66" customFormat="1" ht="15" customHeight="1">
      <c r="A31" s="70" t="s">
        <v>105</v>
      </c>
      <c r="B31" s="8">
        <v>97.086356190030415</v>
      </c>
      <c r="C31" s="8">
        <v>96.928792218472609</v>
      </c>
      <c r="D31" s="8">
        <v>97.16658389891299</v>
      </c>
      <c r="E31" s="8">
        <v>97.099820745378167</v>
      </c>
      <c r="F31" s="8">
        <v>97.227098915370007</v>
      </c>
      <c r="G31" s="8">
        <v>97.124985784146475</v>
      </c>
      <c r="H31" s="8">
        <v>97.018450184501845</v>
      </c>
      <c r="I31" s="8">
        <v>96.45353455123113</v>
      </c>
      <c r="J31" s="8">
        <v>96.261556499509865</v>
      </c>
      <c r="K31" s="8">
        <v>96.157577754590221</v>
      </c>
      <c r="L31" s="8">
        <v>95.308792624228872</v>
      </c>
      <c r="M31" s="8">
        <v>94.440675722629436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s="66" customFormat="1" ht="15" customHeight="1">
      <c r="A32" s="172" t="s">
        <v>106</v>
      </c>
      <c r="B32" s="174">
        <v>98.529118893851887</v>
      </c>
      <c r="C32" s="174">
        <v>98.094734792645951</v>
      </c>
      <c r="D32" s="174">
        <v>98.618822306703507</v>
      </c>
      <c r="E32" s="174">
        <v>98.176942247264051</v>
      </c>
      <c r="F32" s="174">
        <v>98.452230904965958</v>
      </c>
      <c r="G32" s="174">
        <v>98.43655898436559</v>
      </c>
      <c r="H32" s="174">
        <v>98.202359120650229</v>
      </c>
      <c r="I32" s="174">
        <v>97.700456463698217</v>
      </c>
      <c r="J32" s="174">
        <v>97.673974810228572</v>
      </c>
      <c r="K32" s="174">
        <v>97.71291613348771</v>
      </c>
      <c r="L32" s="174">
        <v>96.928542776918221</v>
      </c>
      <c r="M32" s="174">
        <v>96.162846848185438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s="66" customFormat="1" ht="15" customHeight="1">
      <c r="A33" s="32" t="s">
        <v>107</v>
      </c>
      <c r="B33" s="8">
        <v>98.581037235175557</v>
      </c>
      <c r="C33" s="8">
        <v>98.731737454846723</v>
      </c>
      <c r="D33" s="8">
        <v>98.682166078839913</v>
      </c>
      <c r="E33" s="8">
        <v>98.531322029355579</v>
      </c>
      <c r="F33" s="8">
        <v>98.468744404748364</v>
      </c>
      <c r="G33" s="8">
        <v>98.563477512287861</v>
      </c>
      <c r="H33" s="8">
        <v>98.358788578814099</v>
      </c>
      <c r="I33" s="8">
        <v>98.028085885493851</v>
      </c>
      <c r="J33" s="8">
        <v>97.89225332982646</v>
      </c>
      <c r="K33" s="8">
        <v>97.524160288836711</v>
      </c>
      <c r="L33" s="8">
        <v>95.647726909336455</v>
      </c>
      <c r="M33" s="8">
        <v>89.521240728253531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s="66" customFormat="1" ht="15" customHeight="1">
      <c r="A34" s="172" t="s">
        <v>108</v>
      </c>
      <c r="B34" s="174">
        <v>97.909906872866713</v>
      </c>
      <c r="C34" s="174">
        <v>97.724583220877363</v>
      </c>
      <c r="D34" s="174">
        <v>97.451446365647783</v>
      </c>
      <c r="E34" s="174">
        <v>97.103935418768913</v>
      </c>
      <c r="F34" s="174">
        <v>96.886767831177067</v>
      </c>
      <c r="G34" s="174">
        <v>96.361057752724264</v>
      </c>
      <c r="H34" s="174">
        <v>95.943649525881114</v>
      </c>
      <c r="I34" s="174">
        <v>95.010158472165784</v>
      </c>
      <c r="J34" s="174">
        <v>94.931265984654729</v>
      </c>
      <c r="K34" s="174">
        <v>95.369438292732028</v>
      </c>
      <c r="L34" s="174">
        <v>94.465312830144384</v>
      </c>
      <c r="M34" s="174">
        <v>94.0333260569017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s="66" customFormat="1" ht="15" customHeight="1">
      <c r="A35" s="36" t="s">
        <v>109</v>
      </c>
      <c r="B35" s="8">
        <v>96.305848664339237</v>
      </c>
      <c r="C35" s="8">
        <v>96.15730724310248</v>
      </c>
      <c r="D35" s="8">
        <v>95.962630862400829</v>
      </c>
      <c r="E35" s="8">
        <v>95.904311154490713</v>
      </c>
      <c r="F35" s="8">
        <v>96.021189865410975</v>
      </c>
      <c r="G35" s="8">
        <v>95.741252108810428</v>
      </c>
      <c r="H35" s="8">
        <v>95.81831753497444</v>
      </c>
      <c r="I35" s="8">
        <v>95.579732956595848</v>
      </c>
      <c r="J35" s="8">
        <v>95.815483014541726</v>
      </c>
      <c r="K35" s="8">
        <v>96.08199894166853</v>
      </c>
      <c r="L35" s="8">
        <v>95.081293293046386</v>
      </c>
      <c r="M35" s="8">
        <v>94.516817396606029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s="66" customFormat="1" ht="15" customHeight="1">
      <c r="A36" s="172" t="s">
        <v>110</v>
      </c>
      <c r="B36" s="174">
        <v>99.49119373776908</v>
      </c>
      <c r="C36" s="174">
        <v>99.436042040502443</v>
      </c>
      <c r="D36" s="174">
        <v>99.355572403335856</v>
      </c>
      <c r="E36" s="174">
        <v>99.266169154228862</v>
      </c>
      <c r="F36" s="174">
        <v>99.186802973977692</v>
      </c>
      <c r="G36" s="174">
        <v>99.031611754229743</v>
      </c>
      <c r="H36" s="174">
        <v>98.921465968586389</v>
      </c>
      <c r="I36" s="174">
        <v>98.109472433930506</v>
      </c>
      <c r="J36" s="174">
        <v>97.779725387087353</v>
      </c>
      <c r="K36" s="174">
        <v>98.364638818801993</v>
      </c>
      <c r="L36" s="174">
        <v>97.562604340567617</v>
      </c>
      <c r="M36" s="174">
        <v>95.998101866497947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s="66" customFormat="1" ht="15" customHeight="1">
      <c r="A37" s="36" t="s">
        <v>111</v>
      </c>
      <c r="B37" s="8">
        <v>98.767777692972132</v>
      </c>
      <c r="C37" s="8">
        <v>98.587185560450536</v>
      </c>
      <c r="D37" s="8">
        <v>98.494124344998141</v>
      </c>
      <c r="E37" s="8">
        <v>98.417064403131704</v>
      </c>
      <c r="F37" s="8">
        <v>98.297362476476806</v>
      </c>
      <c r="G37" s="8">
        <v>98.154751680692371</v>
      </c>
      <c r="H37" s="8">
        <v>97.788437275389654</v>
      </c>
      <c r="I37" s="8">
        <v>97.446412524010981</v>
      </c>
      <c r="J37" s="8">
        <v>97.629425454960767</v>
      </c>
      <c r="K37" s="8">
        <v>98.033113044260872</v>
      </c>
      <c r="L37" s="8">
        <v>97.222139030341395</v>
      </c>
      <c r="M37" s="8">
        <v>97.339512429017688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s="66" customFormat="1" ht="15" customHeight="1">
      <c r="A38" s="172" t="s">
        <v>112</v>
      </c>
      <c r="B38" s="174">
        <v>96.962025316455694</v>
      </c>
      <c r="C38" s="174">
        <v>96.843428674060434</v>
      </c>
      <c r="D38" s="174">
        <v>96.674909476287212</v>
      </c>
      <c r="E38" s="174">
        <v>96.578493387004031</v>
      </c>
      <c r="F38" s="174">
        <v>96.52634280080494</v>
      </c>
      <c r="G38" s="174">
        <v>96.485036519940536</v>
      </c>
      <c r="H38" s="174">
        <v>96.245725511119744</v>
      </c>
      <c r="I38" s="174">
        <v>95.837194217939214</v>
      </c>
      <c r="J38" s="174">
        <v>95.867171990615404</v>
      </c>
      <c r="K38" s="174">
        <v>95.66462518636105</v>
      </c>
      <c r="L38" s="174">
        <v>94.645335889830932</v>
      </c>
      <c r="M38" s="174">
        <v>94.48552215735117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s="66" customFormat="1" ht="15" customHeight="1">
      <c r="A39" s="71" t="s">
        <v>113</v>
      </c>
      <c r="B39" s="8">
        <v>98.107819297558336</v>
      </c>
      <c r="C39" s="8">
        <v>97.963929892093986</v>
      </c>
      <c r="D39" s="8">
        <v>97.886456045098441</v>
      </c>
      <c r="E39" s="8">
        <v>97.956065736229249</v>
      </c>
      <c r="F39" s="8">
        <v>97.787958115183244</v>
      </c>
      <c r="G39" s="8">
        <v>98.145645239768612</v>
      </c>
      <c r="H39" s="8">
        <v>97.925510064357113</v>
      </c>
      <c r="I39" s="8">
        <v>97.691424823741599</v>
      </c>
      <c r="J39" s="8">
        <v>97.684220725740033</v>
      </c>
      <c r="K39" s="8">
        <v>97.482649646796375</v>
      </c>
      <c r="L39" s="8">
        <v>96.797824275123929</v>
      </c>
      <c r="M39" s="8">
        <v>96.125849469703425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s="66" customFormat="1" ht="15" customHeight="1">
      <c r="A40" s="172" t="s">
        <v>13</v>
      </c>
      <c r="B40" s="174">
        <v>99.451865125604755</v>
      </c>
      <c r="C40" s="174">
        <v>99.49493756280161</v>
      </c>
      <c r="D40" s="174">
        <v>99.397546005574796</v>
      </c>
      <c r="E40" s="174">
        <v>99.350370316637921</v>
      </c>
      <c r="F40" s="174">
        <v>99.17783392585612</v>
      </c>
      <c r="G40" s="174">
        <v>99.11624505582887</v>
      </c>
      <c r="H40" s="174">
        <v>98.965654036465907</v>
      </c>
      <c r="I40" s="174">
        <v>98.806388701745249</v>
      </c>
      <c r="J40" s="174">
        <v>98.726469084378934</v>
      </c>
      <c r="K40" s="174">
        <v>98.87098710781251</v>
      </c>
      <c r="L40" s="174">
        <v>98.46562837255496</v>
      </c>
      <c r="M40" s="174">
        <v>97.109728024554514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ht="15" customHeight="1">
      <c r="A41" s="71" t="s">
        <v>114</v>
      </c>
      <c r="B41" s="8">
        <v>98.040934485105112</v>
      </c>
      <c r="C41" s="8">
        <v>98.041505539185493</v>
      </c>
      <c r="D41" s="8">
        <v>97.771671513811512</v>
      </c>
      <c r="E41" s="8">
        <v>97.925537725157554</v>
      </c>
      <c r="F41" s="8">
        <v>97.873544548556907</v>
      </c>
      <c r="G41" s="8">
        <v>97.525245348584278</v>
      </c>
      <c r="H41" s="8">
        <v>97.090097014947105</v>
      </c>
      <c r="I41" s="8">
        <v>96.128741541768591</v>
      </c>
      <c r="J41" s="8">
        <v>96.13158847775442</v>
      </c>
      <c r="K41" s="8">
        <v>96.487270212668491</v>
      </c>
      <c r="L41" s="8">
        <v>95.719698537936409</v>
      </c>
      <c r="M41" s="8">
        <v>95.15692012208207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ht="15" customHeight="1">
      <c r="A42" s="172" t="s">
        <v>115</v>
      </c>
      <c r="B42" s="174">
        <v>98.204287444812635</v>
      </c>
      <c r="C42" s="174">
        <v>98.194736756253192</v>
      </c>
      <c r="D42" s="174">
        <v>98.138095094428479</v>
      </c>
      <c r="E42" s="174">
        <v>98.044283785370908</v>
      </c>
      <c r="F42" s="174">
        <v>98.184358049368299</v>
      </c>
      <c r="G42" s="174">
        <v>98.044242597715652</v>
      </c>
      <c r="H42" s="174">
        <v>97.714423765796283</v>
      </c>
      <c r="I42" s="174">
        <v>97.395479706186748</v>
      </c>
      <c r="J42" s="174">
        <v>97.355064556927928</v>
      </c>
      <c r="K42" s="174">
        <v>97.735646348048135</v>
      </c>
      <c r="L42" s="174">
        <v>97.055077970099418</v>
      </c>
      <c r="M42" s="174">
        <v>96.385321404239093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ht="15" customHeight="1">
      <c r="A43" s="71" t="s">
        <v>116</v>
      </c>
      <c r="B43" s="8">
        <v>98.943392500061719</v>
      </c>
      <c r="C43" s="8">
        <v>98.967573069652474</v>
      </c>
      <c r="D43" s="8">
        <v>99.049643019174283</v>
      </c>
      <c r="E43" s="8">
        <v>99.031374031374028</v>
      </c>
      <c r="F43" s="8">
        <v>99.023054195691088</v>
      </c>
      <c r="G43" s="8">
        <v>98.947762435534841</v>
      </c>
      <c r="H43" s="8">
        <v>98.928599825077526</v>
      </c>
      <c r="I43" s="8">
        <v>98.684934626259562</v>
      </c>
      <c r="J43" s="8">
        <v>98.698940432064092</v>
      </c>
      <c r="K43" s="8">
        <v>98.753692097111156</v>
      </c>
      <c r="L43" s="8">
        <v>98.232036827006482</v>
      </c>
      <c r="M43" s="8">
        <v>97.614245658910917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ht="15" customHeight="1">
      <c r="A44" s="172" t="s">
        <v>117</v>
      </c>
      <c r="B44" s="174">
        <v>95.023894662968289</v>
      </c>
      <c r="C44" s="174">
        <v>94.543863061661156</v>
      </c>
      <c r="D44" s="174">
        <v>94.730671736375157</v>
      </c>
      <c r="E44" s="174">
        <v>94.331540770385189</v>
      </c>
      <c r="F44" s="174">
        <v>93.400144456482479</v>
      </c>
      <c r="G44" s="174">
        <v>92.843276446556359</v>
      </c>
      <c r="H44" s="174">
        <v>91.981210279082617</v>
      </c>
      <c r="I44" s="174">
        <v>94.464679764974875</v>
      </c>
      <c r="J44" s="174">
        <v>94.543186778921111</v>
      </c>
      <c r="K44" s="174">
        <v>94.832253097916507</v>
      </c>
      <c r="L44" s="174">
        <v>93.206425589130276</v>
      </c>
      <c r="M44" s="174">
        <v>93.797593306383376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ht="15" customHeight="1" thickBot="1">
      <c r="A45" s="76" t="s">
        <v>118</v>
      </c>
      <c r="B45" s="173">
        <v>97.089400553130517</v>
      </c>
      <c r="C45" s="173">
        <v>97.240928407976469</v>
      </c>
      <c r="D45" s="173">
        <v>97.351733831680164</v>
      </c>
      <c r="E45" s="173">
        <v>97.487893936782058</v>
      </c>
      <c r="F45" s="173">
        <v>97.619223988503535</v>
      </c>
      <c r="G45" s="173">
        <v>97.614390202415379</v>
      </c>
      <c r="H45" s="173">
        <v>97.46816956758407</v>
      </c>
      <c r="I45" s="173">
        <v>97.261342898496011</v>
      </c>
      <c r="J45" s="173">
        <v>97.271222801103278</v>
      </c>
      <c r="K45" s="173">
        <v>97.480817070179739</v>
      </c>
      <c r="L45" s="173">
        <v>96.571727087709363</v>
      </c>
      <c r="M45" s="173">
        <v>96.679610196506317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>
      <c r="K46" s="1"/>
      <c r="L46" s="1"/>
      <c r="M46" s="1"/>
    </row>
    <row r="47" spans="1:53">
      <c r="K47" s="1"/>
      <c r="L47" s="1"/>
      <c r="M47" s="1"/>
    </row>
    <row r="48" spans="1:53">
      <c r="A48" s="44"/>
      <c r="B48" s="28"/>
      <c r="C48" s="28"/>
      <c r="D48" s="28"/>
      <c r="E48" s="28"/>
      <c r="F48" s="28"/>
      <c r="G48" s="28"/>
      <c r="H48" s="28"/>
      <c r="I48" s="28"/>
      <c r="J48" s="28"/>
    </row>
    <row r="49" spans="1:4">
      <c r="A49" s="4"/>
    </row>
    <row r="50" spans="1:4">
      <c r="A50" s="11"/>
    </row>
    <row r="51" spans="1:4">
      <c r="A51" s="4"/>
      <c r="D51" s="77"/>
    </row>
    <row r="52" spans="1:4">
      <c r="A52" s="4"/>
    </row>
    <row r="53" spans="1:4">
      <c r="A53" s="4"/>
    </row>
    <row r="54" spans="1:4">
      <c r="A54" s="4"/>
    </row>
    <row r="55" spans="1:4">
      <c r="A55" s="4"/>
    </row>
    <row r="56" spans="1:4">
      <c r="A56" s="4"/>
    </row>
    <row r="57" spans="1:4">
      <c r="A57" s="4"/>
    </row>
    <row r="58" spans="1:4">
      <c r="A58" s="4"/>
    </row>
    <row r="59" spans="1:4">
      <c r="A59" s="4"/>
    </row>
    <row r="60" spans="1:4">
      <c r="A60" s="4"/>
    </row>
    <row r="61" spans="1:4">
      <c r="A61" s="4"/>
    </row>
    <row r="62" spans="1:4">
      <c r="A62" s="4"/>
    </row>
    <row r="63" spans="1:4">
      <c r="A63" s="4"/>
    </row>
    <row r="64" spans="1:4">
      <c r="A64" s="4"/>
    </row>
    <row r="65" spans="2:9">
      <c r="B65" s="10"/>
      <c r="C65" s="10"/>
      <c r="D65" s="10"/>
      <c r="E65" s="10"/>
      <c r="F65" s="10"/>
      <c r="G65" s="10"/>
      <c r="H65" s="10"/>
      <c r="I65" s="10"/>
    </row>
    <row r="66" spans="2:9">
      <c r="B66" s="10"/>
      <c r="C66" s="10"/>
      <c r="D66" s="10"/>
      <c r="E66" s="10"/>
      <c r="F66" s="10"/>
      <c r="G66" s="10"/>
      <c r="H66" s="10"/>
      <c r="I66" s="10"/>
    </row>
    <row r="67" spans="2:9">
      <c r="B67" s="10"/>
      <c r="C67" s="10"/>
      <c r="D67" s="10"/>
      <c r="E67" s="10"/>
      <c r="F67" s="10"/>
      <c r="G67" s="10"/>
      <c r="H67" s="10"/>
      <c r="I67" s="10"/>
    </row>
    <row r="68" spans="2:9">
      <c r="B68" s="10"/>
      <c r="C68" s="10"/>
      <c r="D68" s="10"/>
      <c r="E68" s="10"/>
      <c r="F68" s="10"/>
      <c r="G68" s="10"/>
      <c r="H68" s="10"/>
      <c r="I68" s="10"/>
    </row>
    <row r="69" spans="2:9">
      <c r="B69" s="10"/>
      <c r="C69" s="10"/>
      <c r="D69" s="10"/>
      <c r="E69" s="10"/>
      <c r="F69" s="10"/>
      <c r="G69" s="10"/>
      <c r="H69" s="10"/>
      <c r="I69" s="10"/>
    </row>
    <row r="70" spans="2:9">
      <c r="B70" s="10"/>
      <c r="C70" s="10"/>
      <c r="D70" s="10"/>
      <c r="E70" s="10"/>
      <c r="F70" s="10"/>
      <c r="G70" s="10"/>
      <c r="H70" s="10"/>
      <c r="I70" s="10"/>
    </row>
    <row r="71" spans="2:9">
      <c r="B71" s="10"/>
      <c r="C71" s="10"/>
      <c r="D71" s="10"/>
      <c r="E71" s="10"/>
      <c r="F71" s="10"/>
      <c r="G71" s="10"/>
      <c r="H71" s="10"/>
      <c r="I71" s="10"/>
    </row>
    <row r="72" spans="2:9">
      <c r="B72" s="10"/>
      <c r="C72" s="10"/>
      <c r="D72" s="10"/>
      <c r="E72" s="10"/>
      <c r="F72" s="10"/>
      <c r="G72" s="10"/>
      <c r="H72" s="10"/>
      <c r="I72" s="10"/>
    </row>
    <row r="73" spans="2:9">
      <c r="B73" s="10"/>
      <c r="C73" s="10"/>
      <c r="D73" s="10"/>
      <c r="E73" s="10"/>
      <c r="F73" s="10"/>
      <c r="G73" s="10"/>
      <c r="H73" s="10"/>
      <c r="I73" s="10"/>
    </row>
    <row r="74" spans="2:9">
      <c r="B74" s="10"/>
      <c r="C74" s="10"/>
      <c r="D74" s="10"/>
      <c r="E74" s="10"/>
      <c r="F74" s="10"/>
      <c r="G74" s="10"/>
      <c r="H74" s="10"/>
      <c r="I74" s="10"/>
    </row>
  </sheetData>
  <mergeCells count="1">
    <mergeCell ref="B11:L11"/>
  </mergeCells>
  <phoneticPr fontId="40" type="noConversion"/>
  <hyperlinks>
    <hyperlink ref="A9" location="Contents!A1" display="Return to Contents" xr:uid="{00000000-0004-0000-0600-000000000000}"/>
  </hyperlinks>
  <pageMargins left="0.42" right="0.44" top="1" bottom="1" header="0.5" footer="0.5"/>
  <pageSetup paperSize="9"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>
      <selection activeCell="G7" sqref="G7"/>
    </sheetView>
  </sheetViews>
  <sheetFormatPr defaultColWidth="9.1796875" defaultRowHeight="12.5"/>
  <cols>
    <col min="1" max="16384" width="9.1796875" style="13"/>
  </cols>
  <sheetData>
    <row r="1" spans="1:1" ht="18">
      <c r="A1" s="102" t="s">
        <v>159</v>
      </c>
    </row>
    <row r="2" spans="1:1" ht="16.5">
      <c r="A2" s="128" t="s">
        <v>167</v>
      </c>
    </row>
    <row r="3" spans="1:1" ht="15.5">
      <c r="A3" s="103"/>
    </row>
  </sheetData>
  <hyperlinks>
    <hyperlink ref="A2" r:id="rId1" location="counciltax" display="Council Tax Collection Statistics, 2022-23" xr:uid="{9669F64C-5362-4FF1-B6F8-AAF38D8AE39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4"/>
  <sheetViews>
    <sheetView showGridLines="0" zoomScaleNormal="100" zoomScaleSheetLayoutView="100" workbookViewId="0">
      <selection activeCell="O10" sqref="O10"/>
    </sheetView>
  </sheetViews>
  <sheetFormatPr defaultColWidth="9.1796875" defaultRowHeight="12.5"/>
  <cols>
    <col min="1" max="1" width="20.54296875" style="1" customWidth="1"/>
    <col min="2" max="11" width="8.54296875" style="1" customWidth="1"/>
    <col min="12" max="16384" width="9.1796875" style="1"/>
  </cols>
  <sheetData>
    <row r="1" spans="1:15" ht="30" customHeight="1">
      <c r="A1" s="102" t="s">
        <v>170</v>
      </c>
      <c r="J1" s="27"/>
      <c r="K1" s="72"/>
      <c r="L1" s="72"/>
      <c r="M1" s="72"/>
      <c r="N1" s="72"/>
      <c r="O1" s="72"/>
    </row>
    <row r="2" spans="1:15" ht="30" customHeight="1">
      <c r="A2" s="122" t="s">
        <v>150</v>
      </c>
      <c r="J2" s="27"/>
      <c r="K2" s="72"/>
      <c r="L2" s="72"/>
      <c r="M2" s="72"/>
      <c r="N2" s="72"/>
      <c r="O2" s="72"/>
    </row>
    <row r="3" spans="1:15" s="13" customFormat="1" ht="15.5">
      <c r="A3" s="105" t="s">
        <v>94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5" s="17" customFormat="1" ht="15.5">
      <c r="A4" s="107" t="s">
        <v>132</v>
      </c>
      <c r="B4" s="41"/>
      <c r="C4" s="41"/>
      <c r="D4" s="41"/>
      <c r="E4" s="41"/>
      <c r="F4" s="41"/>
      <c r="G4" s="41"/>
      <c r="H4" s="42"/>
      <c r="I4" s="36"/>
      <c r="J4" s="43"/>
      <c r="K4" s="41"/>
      <c r="L4" s="74"/>
      <c r="M4" s="41"/>
      <c r="N4" s="41"/>
    </row>
    <row r="5" spans="1:15" s="13" customFormat="1" ht="15.5">
      <c r="A5" s="105" t="s">
        <v>90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ht="15.5">
      <c r="A6" s="108" t="s">
        <v>173</v>
      </c>
      <c r="B6" s="28"/>
      <c r="C6" s="28"/>
      <c r="D6" s="28"/>
      <c r="E6" s="28"/>
      <c r="F6" s="28"/>
      <c r="G6" s="28"/>
      <c r="H6" s="37"/>
      <c r="I6" s="28"/>
      <c r="J6" s="43"/>
      <c r="K6" s="41"/>
      <c r="L6" s="74"/>
      <c r="M6" s="41"/>
      <c r="N6" s="41"/>
      <c r="O6" s="72"/>
    </row>
    <row r="7" spans="1:15" ht="15.5">
      <c r="A7" s="103" t="s">
        <v>84</v>
      </c>
    </row>
    <row r="8" spans="1:15" ht="14.25" customHeight="1">
      <c r="A8" s="6"/>
      <c r="C8" s="2"/>
      <c r="D8" s="2"/>
      <c r="E8" s="2"/>
      <c r="F8" s="2"/>
      <c r="G8" s="2"/>
      <c r="H8" s="2"/>
      <c r="I8" s="2"/>
    </row>
    <row r="9" spans="1:15" ht="20.149999999999999" customHeight="1">
      <c r="A9" s="29"/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170"/>
    </row>
    <row r="10" spans="1:15" ht="20.149999999999999" customHeight="1">
      <c r="A10" s="29"/>
      <c r="B10" s="29" t="s">
        <v>23</v>
      </c>
      <c r="C10" s="29" t="s">
        <v>25</v>
      </c>
      <c r="D10" s="29" t="s">
        <v>26</v>
      </c>
      <c r="E10" s="29" t="s">
        <v>56</v>
      </c>
      <c r="F10" s="29" t="s">
        <v>57</v>
      </c>
      <c r="G10" s="29" t="s">
        <v>60</v>
      </c>
      <c r="H10" s="29" t="s">
        <v>63</v>
      </c>
      <c r="I10" s="29" t="s">
        <v>81</v>
      </c>
      <c r="J10" s="29" t="s">
        <v>89</v>
      </c>
      <c r="K10" s="29" t="s">
        <v>125</v>
      </c>
      <c r="L10" s="29" t="s">
        <v>141</v>
      </c>
      <c r="M10" s="29" t="s">
        <v>172</v>
      </c>
    </row>
    <row r="11" spans="1:15" s="7" customFormat="1" ht="25">
      <c r="A11" s="220" t="s">
        <v>30</v>
      </c>
      <c r="B11" s="155">
        <v>95.229948274081721</v>
      </c>
      <c r="C11" s="155">
        <v>95.412565244817756</v>
      </c>
      <c r="D11" s="155">
        <v>95.74044102895725</v>
      </c>
      <c r="E11" s="155">
        <v>95.840614909317623</v>
      </c>
      <c r="F11" s="155">
        <v>96.002257589478873</v>
      </c>
      <c r="G11" s="155">
        <v>96.014674008238956</v>
      </c>
      <c r="H11" s="155">
        <v>95.772784008016188</v>
      </c>
      <c r="I11" s="155">
        <v>94.782627217444031</v>
      </c>
      <c r="J11" s="155">
        <v>95.742688580641712</v>
      </c>
      <c r="K11" s="155">
        <v>96.166078303075935</v>
      </c>
      <c r="L11" s="155">
        <v>95.492702078136233</v>
      </c>
      <c r="M11" s="155">
        <v>95.502260293257265</v>
      </c>
      <c r="N11" s="9"/>
    </row>
    <row r="12" spans="1:15" s="7" customFormat="1" ht="25">
      <c r="A12" s="148" t="s">
        <v>24</v>
      </c>
      <c r="B12" s="154">
        <v>2.4981123769219096</v>
      </c>
      <c r="C12" s="154">
        <v>2.3006098059160678</v>
      </c>
      <c r="D12" s="154">
        <v>1.9105884647976694</v>
      </c>
      <c r="E12" s="154">
        <v>1.6809577297902365</v>
      </c>
      <c r="F12" s="154">
        <v>1.5501447527990422</v>
      </c>
      <c r="G12" s="154">
        <v>1.4023841490579372</v>
      </c>
      <c r="H12" s="154">
        <v>1.4116741163700652</v>
      </c>
      <c r="I12" s="154">
        <v>2.0074603109507336</v>
      </c>
      <c r="J12" s="154">
        <v>1.1546837347478913</v>
      </c>
      <c r="K12" s="154">
        <v>0.88108154843659747</v>
      </c>
      <c r="L12" s="154">
        <v>0.62112208462872331</v>
      </c>
      <c r="M12" s="154">
        <v>0</v>
      </c>
      <c r="N12" s="9"/>
    </row>
    <row r="13" spans="1:15" s="23" customFormat="1" ht="25.5" thickBot="1">
      <c r="A13" s="164" t="s">
        <v>199</v>
      </c>
      <c r="B13" s="221">
        <v>97.728060651003631</v>
      </c>
      <c r="C13" s="221">
        <v>97.713175050733824</v>
      </c>
      <c r="D13" s="221">
        <v>97.651029493754919</v>
      </c>
      <c r="E13" s="221">
        <v>97.521572639107859</v>
      </c>
      <c r="F13" s="221">
        <v>97.552402342277915</v>
      </c>
      <c r="G13" s="221">
        <v>97.417058157296893</v>
      </c>
      <c r="H13" s="221">
        <v>97.184458124386254</v>
      </c>
      <c r="I13" s="221">
        <v>96.790087528394764</v>
      </c>
      <c r="J13" s="221">
        <v>96.897372315389603</v>
      </c>
      <c r="K13" s="221">
        <v>97.047159851512532</v>
      </c>
      <c r="L13" s="221">
        <v>96.113824162764956</v>
      </c>
      <c r="M13" s="221">
        <v>95.502260293257265</v>
      </c>
      <c r="N13" s="24"/>
    </row>
    <row r="14" spans="1:1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</sheetData>
  <mergeCells count="1">
    <mergeCell ref="B9:L9"/>
  </mergeCells>
  <phoneticPr fontId="40" type="noConversion"/>
  <hyperlinks>
    <hyperlink ref="A7" location="Contents!A1" display="Return to Contents" xr:uid="{00000000-0004-0000-0700-000000000000}"/>
  </hyperlinks>
  <pageMargins left="0.75" right="0.75" top="1" bottom="1" header="0.5" footer="0.5"/>
  <pageSetup paperSize="9" scale="8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37"/>
  <sheetViews>
    <sheetView showGridLines="0" topLeftCell="A6" zoomScaleNormal="100" zoomScaleSheetLayoutView="100" workbookViewId="0">
      <selection activeCell="O18" sqref="O18"/>
    </sheetView>
  </sheetViews>
  <sheetFormatPr defaultColWidth="9.1796875" defaultRowHeight="12.5"/>
  <cols>
    <col min="1" max="1" width="13.54296875" style="1" customWidth="1"/>
    <col min="2" max="2" width="11.7265625" style="1" customWidth="1"/>
    <col min="3" max="12" width="7.54296875" style="1" bestFit="1" customWidth="1"/>
    <col min="13" max="16384" width="9.1796875" style="1"/>
  </cols>
  <sheetData>
    <row r="1" spans="1:19" ht="30" customHeight="1">
      <c r="A1" s="102" t="s">
        <v>147</v>
      </c>
      <c r="J1" s="27"/>
      <c r="K1" s="72"/>
      <c r="L1" s="72"/>
      <c r="M1" s="72"/>
      <c r="N1" s="72"/>
      <c r="O1" s="72"/>
    </row>
    <row r="2" spans="1:19" ht="30" customHeight="1">
      <c r="A2" s="122" t="s">
        <v>150</v>
      </c>
      <c r="J2" s="27"/>
      <c r="K2" s="72"/>
      <c r="L2" s="72"/>
      <c r="M2" s="72"/>
      <c r="N2" s="72"/>
      <c r="O2" s="72"/>
    </row>
    <row r="3" spans="1:19" s="13" customFormat="1" ht="15.5">
      <c r="A3" s="105" t="s">
        <v>94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s="17" customFormat="1" ht="15.5">
      <c r="A4" s="107" t="s">
        <v>133</v>
      </c>
      <c r="B4" s="40"/>
      <c r="C4" s="41"/>
      <c r="D4" s="41"/>
      <c r="E4" s="41"/>
      <c r="F4" s="41"/>
      <c r="G4" s="41"/>
      <c r="H4" s="42"/>
      <c r="I4" s="36"/>
      <c r="J4" s="43"/>
      <c r="K4" s="41"/>
      <c r="L4" s="74"/>
      <c r="M4" s="41"/>
      <c r="N4" s="41"/>
    </row>
    <row r="5" spans="1:19" s="13" customFormat="1" ht="15.5">
      <c r="A5" s="105" t="s">
        <v>90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9" ht="15.5">
      <c r="A6" s="108" t="s">
        <v>119</v>
      </c>
      <c r="B6" s="36"/>
      <c r="C6" s="28"/>
      <c r="D6" s="28"/>
      <c r="E6" s="28"/>
      <c r="F6" s="28"/>
      <c r="G6" s="28"/>
      <c r="H6" s="37"/>
      <c r="I6" s="28"/>
      <c r="J6" s="43"/>
      <c r="K6" s="41"/>
      <c r="L6" s="74"/>
      <c r="M6" s="41"/>
      <c r="N6" s="41"/>
      <c r="O6" s="72"/>
    </row>
    <row r="7" spans="1:19" ht="15.5">
      <c r="A7" s="103" t="s">
        <v>84</v>
      </c>
      <c r="B7" s="103"/>
    </row>
    <row r="8" spans="1:19" ht="13">
      <c r="A8" s="6"/>
      <c r="B8" s="6"/>
      <c r="K8" s="26"/>
      <c r="L8" s="26"/>
      <c r="M8" s="26"/>
      <c r="N8" s="26"/>
      <c r="O8" s="26"/>
      <c r="P8" s="26"/>
      <c r="Q8" s="26"/>
      <c r="R8" s="26"/>
      <c r="S8" s="26"/>
    </row>
    <row r="9" spans="1:19" ht="35.25" customHeight="1">
      <c r="A9" s="29"/>
      <c r="B9" s="29"/>
      <c r="C9" s="29" t="s">
        <v>23</v>
      </c>
      <c r="D9" s="29" t="s">
        <v>25</v>
      </c>
      <c r="E9" s="29" t="s">
        <v>26</v>
      </c>
      <c r="F9" s="29" t="s">
        <v>56</v>
      </c>
      <c r="G9" s="29" t="s">
        <v>57</v>
      </c>
      <c r="H9" s="29" t="s">
        <v>60</v>
      </c>
      <c r="I9" s="29" t="s">
        <v>63</v>
      </c>
      <c r="J9" s="29" t="s">
        <v>81</v>
      </c>
      <c r="K9" s="29" t="s">
        <v>89</v>
      </c>
      <c r="L9" s="29" t="s">
        <v>125</v>
      </c>
      <c r="M9" s="29" t="s">
        <v>141</v>
      </c>
      <c r="N9" s="29" t="s">
        <v>172</v>
      </c>
      <c r="O9" s="26"/>
      <c r="P9" s="26"/>
      <c r="Q9" s="26"/>
      <c r="R9" s="26"/>
    </row>
    <row r="10" spans="1:19" ht="16" customHeight="1">
      <c r="A10" s="36" t="s">
        <v>31</v>
      </c>
      <c r="B10" s="101" t="s">
        <v>23</v>
      </c>
      <c r="C10" s="160">
        <v>95.229948274081707</v>
      </c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26"/>
      <c r="P10" s="26"/>
      <c r="Q10" s="26"/>
      <c r="R10" s="26"/>
    </row>
    <row r="11" spans="1:19" ht="16" customHeight="1">
      <c r="A11" s="36" t="s">
        <v>32</v>
      </c>
      <c r="B11" s="222" t="s">
        <v>25</v>
      </c>
      <c r="C11" s="77">
        <v>96.199032684766706</v>
      </c>
      <c r="D11" s="77">
        <v>95.412565244817742</v>
      </c>
      <c r="E11" s="77"/>
      <c r="F11" s="77"/>
      <c r="G11" s="77"/>
      <c r="H11" s="77"/>
      <c r="I11" s="77"/>
      <c r="J11" s="77"/>
      <c r="K11" s="77"/>
      <c r="L11" s="77"/>
      <c r="M11" s="77"/>
      <c r="N11" s="72"/>
      <c r="O11" s="26"/>
      <c r="P11" s="26"/>
      <c r="Q11" s="26"/>
      <c r="R11" s="26"/>
    </row>
    <row r="12" spans="1:19" ht="16" customHeight="1">
      <c r="A12" s="36" t="s">
        <v>33</v>
      </c>
      <c r="B12" s="101" t="s">
        <v>26</v>
      </c>
      <c r="C12" s="160">
        <v>96.63692520136334</v>
      </c>
      <c r="D12" s="160">
        <v>96.263515795526274</v>
      </c>
      <c r="E12" s="160">
        <v>95.740441028957264</v>
      </c>
      <c r="F12" s="160"/>
      <c r="G12" s="160"/>
      <c r="H12" s="160"/>
      <c r="I12" s="160"/>
      <c r="J12" s="160"/>
      <c r="K12" s="160"/>
      <c r="L12" s="160"/>
      <c r="M12" s="160"/>
      <c r="N12" s="160"/>
      <c r="O12" s="26"/>
      <c r="P12" s="26"/>
      <c r="Q12" s="26"/>
      <c r="R12" s="26"/>
    </row>
    <row r="13" spans="1:19" ht="16" customHeight="1">
      <c r="A13" s="36" t="s">
        <v>34</v>
      </c>
      <c r="B13" s="222" t="s">
        <v>56</v>
      </c>
      <c r="C13" s="77">
        <v>96.825534161615877</v>
      </c>
      <c r="D13" s="77">
        <v>96.656003937007867</v>
      </c>
      <c r="E13" s="77">
        <v>96.394351418868879</v>
      </c>
      <c r="F13" s="77">
        <v>95.840614909317623</v>
      </c>
      <c r="G13" s="77"/>
      <c r="H13" s="77"/>
      <c r="I13" s="77"/>
      <c r="J13" s="77"/>
      <c r="K13" s="77"/>
      <c r="L13" s="77"/>
      <c r="M13" s="77"/>
      <c r="N13" s="72"/>
      <c r="O13" s="26"/>
      <c r="P13" s="26"/>
      <c r="Q13" s="26"/>
      <c r="R13" s="26"/>
    </row>
    <row r="14" spans="1:19" ht="16" customHeight="1">
      <c r="A14" s="32"/>
      <c r="B14" s="101" t="s">
        <v>57</v>
      </c>
      <c r="C14" s="160">
        <v>97.1</v>
      </c>
      <c r="D14" s="160">
        <v>96.9</v>
      </c>
      <c r="E14" s="160">
        <v>96.7</v>
      </c>
      <c r="F14" s="160">
        <v>96.4</v>
      </c>
      <c r="G14" s="160">
        <v>96</v>
      </c>
      <c r="H14" s="160"/>
      <c r="I14" s="160"/>
      <c r="J14" s="160"/>
      <c r="K14" s="160"/>
      <c r="L14" s="160"/>
      <c r="M14" s="160"/>
      <c r="N14" s="160"/>
      <c r="O14" s="26"/>
      <c r="P14" s="26"/>
      <c r="Q14" s="26"/>
      <c r="R14" s="26"/>
    </row>
    <row r="15" spans="1:19" s="15" customFormat="1" ht="16" customHeight="1">
      <c r="A15" s="32"/>
      <c r="B15" s="113" t="s">
        <v>60</v>
      </c>
      <c r="C15" s="161">
        <v>97.245764586808576</v>
      </c>
      <c r="D15" s="161">
        <v>97.129997496943005</v>
      </c>
      <c r="E15" s="161">
        <v>96.98632373499035</v>
      </c>
      <c r="F15" s="161">
        <v>96.737639261307649</v>
      </c>
      <c r="G15" s="161">
        <v>96.581735758628454</v>
      </c>
      <c r="H15" s="161">
        <v>96.014674008238956</v>
      </c>
      <c r="I15" s="161"/>
      <c r="J15" s="161"/>
      <c r="K15" s="161"/>
      <c r="L15" s="161"/>
      <c r="M15" s="161"/>
      <c r="N15" s="75"/>
      <c r="O15" s="25"/>
      <c r="P15" s="25"/>
      <c r="Q15" s="25"/>
      <c r="R15" s="25"/>
    </row>
    <row r="16" spans="1:19" s="15" customFormat="1" ht="16" customHeight="1">
      <c r="A16" s="32"/>
      <c r="B16" s="101" t="s">
        <v>63</v>
      </c>
      <c r="C16" s="160">
        <v>97.377976487466313</v>
      </c>
      <c r="D16" s="160">
        <v>97.278289475399831</v>
      </c>
      <c r="E16" s="160">
        <v>97.16199772919137</v>
      </c>
      <c r="F16" s="160">
        <v>96.971977354283183</v>
      </c>
      <c r="G16" s="160">
        <v>96.892586399343415</v>
      </c>
      <c r="H16" s="160">
        <v>96.523075618684601</v>
      </c>
      <c r="I16" s="160">
        <v>95.772784008016188</v>
      </c>
      <c r="J16" s="160"/>
      <c r="K16" s="160"/>
      <c r="L16" s="160"/>
      <c r="M16" s="160"/>
      <c r="N16" s="160"/>
      <c r="O16" s="25"/>
      <c r="P16" s="25"/>
      <c r="Q16" s="25"/>
      <c r="R16" s="25"/>
    </row>
    <row r="17" spans="1:18" ht="16" customHeight="1">
      <c r="A17" s="32"/>
      <c r="B17" s="113" t="s">
        <v>81</v>
      </c>
      <c r="C17" s="161">
        <v>97.480381260215793</v>
      </c>
      <c r="D17" s="161">
        <v>97.404583910232887</v>
      </c>
      <c r="E17" s="161">
        <v>97.295715937094826</v>
      </c>
      <c r="F17" s="161">
        <v>97.121560112196363</v>
      </c>
      <c r="G17" s="161">
        <v>97.09814225470727</v>
      </c>
      <c r="H17" s="161">
        <v>96.837768582003847</v>
      </c>
      <c r="I17" s="161">
        <v>96.261242139700983</v>
      </c>
      <c r="J17" s="161">
        <v>94.782627217444031</v>
      </c>
      <c r="K17" s="161"/>
      <c r="L17" s="161"/>
      <c r="M17" s="161"/>
      <c r="N17" s="72"/>
      <c r="O17" s="26"/>
      <c r="P17" s="26"/>
      <c r="Q17" s="26"/>
      <c r="R17" s="26"/>
    </row>
    <row r="18" spans="1:18" ht="16" customHeight="1">
      <c r="A18" s="32"/>
      <c r="B18" s="101" t="s">
        <v>89</v>
      </c>
      <c r="C18" s="160">
        <v>97.577970602272984</v>
      </c>
      <c r="D18" s="160">
        <v>97.51262068473126</v>
      </c>
      <c r="E18" s="160">
        <v>97.424308142451309</v>
      </c>
      <c r="F18" s="160">
        <v>97.290344664685023</v>
      </c>
      <c r="G18" s="160">
        <v>97.276742999932182</v>
      </c>
      <c r="H18" s="160">
        <v>97.071011457655857</v>
      </c>
      <c r="I18" s="160">
        <v>96.668798266404238</v>
      </c>
      <c r="J18" s="160">
        <v>95.773872287629686</v>
      </c>
      <c r="K18" s="160">
        <v>95.742688580641712</v>
      </c>
      <c r="L18" s="160"/>
      <c r="M18" s="160"/>
      <c r="N18" s="160"/>
      <c r="O18" s="26"/>
      <c r="P18" s="26"/>
      <c r="Q18" s="26"/>
      <c r="R18" s="26"/>
    </row>
    <row r="19" spans="1:18">
      <c r="A19" s="5"/>
      <c r="B19" s="113" t="s">
        <v>125</v>
      </c>
      <c r="C19" s="162">
        <v>97.631126775429806</v>
      </c>
      <c r="D19" s="162">
        <v>97.574841518595605</v>
      </c>
      <c r="E19" s="162">
        <v>97.489182530659576</v>
      </c>
      <c r="F19" s="162">
        <v>97.614888358791148</v>
      </c>
      <c r="G19" s="162">
        <v>97.368932935025171</v>
      </c>
      <c r="H19" s="162">
        <v>97.196056338489328</v>
      </c>
      <c r="I19" s="162">
        <v>96.857990664258395</v>
      </c>
      <c r="J19" s="162">
        <v>96.202980591567638</v>
      </c>
      <c r="K19" s="162">
        <v>96.315035303409473</v>
      </c>
      <c r="L19" s="162">
        <v>96.166078303075935</v>
      </c>
      <c r="M19" s="162"/>
      <c r="N19" s="72"/>
    </row>
    <row r="20" spans="1:18">
      <c r="A20" s="5"/>
      <c r="B20" s="101" t="s">
        <v>141</v>
      </c>
      <c r="C20" s="160">
        <v>97.675408089849213</v>
      </c>
      <c r="D20" s="160">
        <v>97.643500152356651</v>
      </c>
      <c r="E20" s="160">
        <v>97.569843369991872</v>
      </c>
      <c r="F20" s="160">
        <v>97.4380354392854</v>
      </c>
      <c r="G20" s="160">
        <v>97.467039052754473</v>
      </c>
      <c r="H20" s="160">
        <v>97.315925987879353</v>
      </c>
      <c r="I20" s="160">
        <v>97.064157916183078</v>
      </c>
      <c r="J20" s="160">
        <v>96.49874243906531</v>
      </c>
      <c r="K20" s="160">
        <v>96.635952161352861</v>
      </c>
      <c r="L20" s="160">
        <v>96.714280570901863</v>
      </c>
      <c r="M20" s="160">
        <v>95.492702078136233</v>
      </c>
      <c r="N20" s="160"/>
    </row>
    <row r="21" spans="1:18" ht="13" thickBot="1">
      <c r="A21" s="5"/>
      <c r="B21" s="223" t="s">
        <v>172</v>
      </c>
      <c r="C21" s="224">
        <v>97.728060651003631</v>
      </c>
      <c r="D21" s="224">
        <v>97.713175050733824</v>
      </c>
      <c r="E21" s="224">
        <v>97.651029493754919</v>
      </c>
      <c r="F21" s="224">
        <v>97.521572639107859</v>
      </c>
      <c r="G21" s="224">
        <v>97.552402342277915</v>
      </c>
      <c r="H21" s="224">
        <v>97.417058157296893</v>
      </c>
      <c r="I21" s="224">
        <v>97.184458124386254</v>
      </c>
      <c r="J21" s="224">
        <v>96.790087528394764</v>
      </c>
      <c r="K21" s="224">
        <v>96.897372315389603</v>
      </c>
      <c r="L21" s="224">
        <v>97.047159851512532</v>
      </c>
      <c r="M21" s="224">
        <v>96.113824162764956</v>
      </c>
      <c r="N21" s="224">
        <v>95.502260293257265</v>
      </c>
    </row>
    <row r="22" spans="1:18">
      <c r="A22" s="5"/>
      <c r="B22" s="5"/>
    </row>
    <row r="23" spans="1:18">
      <c r="A23" s="5"/>
      <c r="B23" s="5"/>
    </row>
    <row r="24" spans="1:18">
      <c r="A24" s="5"/>
      <c r="B24" s="5"/>
    </row>
    <row r="25" spans="1:18">
      <c r="A25" s="5"/>
      <c r="B25" s="5"/>
    </row>
    <row r="26" spans="1:18">
      <c r="A26" s="5"/>
      <c r="B26" s="5"/>
    </row>
    <row r="27" spans="1:18">
      <c r="A27" s="5"/>
      <c r="B27" s="5"/>
    </row>
    <row r="28" spans="1:18">
      <c r="A28" s="5"/>
      <c r="B28" s="5"/>
    </row>
    <row r="29" spans="1:18">
      <c r="A29" s="5"/>
      <c r="B29" s="5"/>
    </row>
    <row r="30" spans="1:18">
      <c r="A30" s="5"/>
      <c r="B30" s="5"/>
    </row>
    <row r="31" spans="1:18">
      <c r="A31" s="5"/>
      <c r="B31" s="5"/>
    </row>
    <row r="32" spans="1:18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9">
      <c r="A49" s="5"/>
      <c r="B49" s="5"/>
    </row>
    <row r="50" spans="1:9">
      <c r="A50" s="5"/>
      <c r="B50" s="5"/>
    </row>
    <row r="51" spans="1:9">
      <c r="A51" s="5"/>
      <c r="B51" s="5"/>
    </row>
    <row r="52" spans="1:9">
      <c r="A52" s="5"/>
      <c r="B52" s="5"/>
    </row>
    <row r="53" spans="1:9">
      <c r="A53" s="5"/>
      <c r="B53" s="5"/>
    </row>
    <row r="54" spans="1:9">
      <c r="A54" s="5"/>
      <c r="B54" s="5"/>
    </row>
    <row r="55" spans="1:9">
      <c r="A55" s="5"/>
      <c r="B55" s="5"/>
    </row>
    <row r="56" spans="1:9">
      <c r="A56" s="5"/>
      <c r="B56" s="5"/>
    </row>
    <row r="57" spans="1:9">
      <c r="A57" s="5"/>
      <c r="B57" s="5"/>
    </row>
    <row r="58" spans="1:9">
      <c r="A58" s="5"/>
      <c r="B58" s="5"/>
    </row>
    <row r="59" spans="1:9">
      <c r="A59" s="5"/>
      <c r="B59" s="5"/>
    </row>
    <row r="60" spans="1:9">
      <c r="A60" s="5"/>
      <c r="B60" s="5"/>
    </row>
    <row r="61" spans="1:9" ht="15.5">
      <c r="C61" s="12"/>
      <c r="D61" s="12"/>
      <c r="E61" s="12"/>
      <c r="F61" s="12"/>
      <c r="G61" s="12"/>
      <c r="H61" s="12"/>
      <c r="I61" s="12"/>
    </row>
    <row r="62" spans="1:9" ht="15.5">
      <c r="C62" s="3"/>
      <c r="D62" s="3"/>
      <c r="E62" s="3"/>
      <c r="F62" s="3"/>
      <c r="G62" s="3"/>
      <c r="H62" s="3"/>
      <c r="I62" s="3"/>
    </row>
    <row r="63" spans="1:9" ht="15.5">
      <c r="C63" s="3"/>
      <c r="D63" s="3"/>
      <c r="E63" s="3"/>
      <c r="F63" s="3"/>
      <c r="G63" s="3"/>
      <c r="H63" s="3"/>
      <c r="I63" s="3"/>
    </row>
    <row r="64" spans="1:9" ht="15.5">
      <c r="C64" s="3"/>
      <c r="D64" s="3"/>
      <c r="E64" s="3"/>
      <c r="F64" s="3"/>
      <c r="G64" s="3"/>
      <c r="H64" s="3"/>
      <c r="I64" s="3"/>
    </row>
    <row r="65" spans="3:9" ht="15.5">
      <c r="C65" s="3"/>
      <c r="D65" s="3"/>
      <c r="E65" s="3"/>
      <c r="F65" s="3"/>
      <c r="G65" s="3"/>
      <c r="H65" s="3"/>
      <c r="I65" s="3"/>
    </row>
    <row r="66" spans="3:9" ht="15.5">
      <c r="C66" s="3"/>
      <c r="D66" s="3"/>
      <c r="E66" s="3"/>
      <c r="F66" s="3"/>
      <c r="G66" s="3"/>
      <c r="H66" s="3"/>
      <c r="I66" s="3"/>
    </row>
    <row r="67" spans="3:9" ht="15.5">
      <c r="C67" s="3"/>
      <c r="D67" s="3"/>
      <c r="E67" s="3"/>
      <c r="F67" s="3"/>
      <c r="G67" s="3"/>
      <c r="H67" s="3"/>
      <c r="I67" s="3"/>
    </row>
    <row r="68" spans="3:9" ht="15.5">
      <c r="C68" s="3"/>
      <c r="D68" s="3"/>
      <c r="E68" s="3"/>
      <c r="F68" s="3"/>
      <c r="G68" s="3"/>
      <c r="H68" s="3"/>
      <c r="I68" s="3"/>
    </row>
    <row r="69" spans="3:9" ht="15.5">
      <c r="C69" s="3"/>
      <c r="D69" s="3"/>
      <c r="E69" s="3"/>
      <c r="F69" s="3"/>
      <c r="G69" s="3"/>
      <c r="H69" s="3"/>
      <c r="I69" s="3"/>
    </row>
    <row r="70" spans="3:9" ht="15.5">
      <c r="C70" s="3"/>
      <c r="D70" s="3"/>
      <c r="E70" s="3"/>
      <c r="F70" s="3"/>
      <c r="G70" s="3"/>
      <c r="H70" s="3"/>
      <c r="I70" s="3"/>
    </row>
    <row r="71" spans="3:9" ht="15.5">
      <c r="C71" s="3"/>
      <c r="D71" s="3"/>
      <c r="E71" s="3"/>
      <c r="F71" s="3"/>
      <c r="G71" s="3"/>
      <c r="H71" s="3"/>
      <c r="I71" s="3"/>
    </row>
    <row r="72" spans="3:9" ht="15.5">
      <c r="C72" s="3"/>
      <c r="D72" s="3"/>
      <c r="E72" s="3"/>
      <c r="F72" s="3"/>
      <c r="G72" s="3"/>
      <c r="H72" s="3"/>
      <c r="I72" s="3"/>
    </row>
    <row r="73" spans="3:9" ht="15.5">
      <c r="C73" s="3"/>
      <c r="D73" s="3"/>
      <c r="E73" s="3"/>
      <c r="F73" s="3"/>
      <c r="G73" s="3"/>
      <c r="H73" s="3"/>
      <c r="I73" s="3"/>
    </row>
    <row r="74" spans="3:9" ht="15.5">
      <c r="C74" s="3"/>
      <c r="D74" s="3"/>
      <c r="E74" s="3"/>
      <c r="F74" s="3"/>
      <c r="G74" s="3"/>
      <c r="H74" s="3"/>
      <c r="I74" s="3"/>
    </row>
    <row r="75" spans="3:9" ht="15.5">
      <c r="C75" s="3"/>
      <c r="D75" s="3"/>
      <c r="E75" s="3"/>
      <c r="F75" s="3"/>
      <c r="G75" s="3"/>
      <c r="H75" s="3"/>
      <c r="I75" s="3"/>
    </row>
    <row r="76" spans="3:9" ht="15.5">
      <c r="C76" s="3"/>
      <c r="D76" s="3"/>
      <c r="E76" s="3"/>
      <c r="F76" s="3"/>
      <c r="G76" s="3"/>
      <c r="H76" s="3"/>
      <c r="I76" s="3"/>
    </row>
    <row r="77" spans="3:9" ht="15.5">
      <c r="C77" s="3"/>
      <c r="D77" s="3"/>
      <c r="E77" s="3"/>
      <c r="F77" s="3"/>
      <c r="G77" s="3"/>
      <c r="H77" s="3"/>
      <c r="I77" s="3"/>
    </row>
    <row r="78" spans="3:9" ht="15.5">
      <c r="C78" s="3"/>
      <c r="D78" s="3"/>
      <c r="E78" s="3"/>
      <c r="F78" s="3"/>
      <c r="G78" s="3"/>
      <c r="H78" s="3"/>
      <c r="I78" s="3"/>
    </row>
    <row r="79" spans="3:9" ht="15.5">
      <c r="C79" s="3"/>
      <c r="D79" s="3"/>
      <c r="E79" s="3"/>
      <c r="F79" s="3"/>
      <c r="G79" s="3"/>
      <c r="H79" s="3"/>
      <c r="I79" s="3"/>
    </row>
    <row r="80" spans="3:9" ht="15.5">
      <c r="C80" s="3"/>
      <c r="D80" s="3"/>
      <c r="E80" s="3"/>
      <c r="F80" s="3"/>
      <c r="G80" s="3"/>
      <c r="H80" s="3"/>
      <c r="I80" s="3"/>
    </row>
    <row r="81" spans="3:9" ht="15.5">
      <c r="C81" s="3"/>
      <c r="D81" s="3"/>
      <c r="E81" s="3"/>
      <c r="F81" s="3"/>
      <c r="G81" s="3"/>
      <c r="H81" s="3"/>
      <c r="I81" s="3"/>
    </row>
    <row r="82" spans="3:9" ht="15.5">
      <c r="C82" s="3"/>
      <c r="D82" s="3"/>
      <c r="E82" s="3"/>
      <c r="F82" s="3"/>
      <c r="G82" s="3"/>
      <c r="H82" s="3"/>
      <c r="I82" s="3"/>
    </row>
    <row r="83" spans="3:9" ht="15.5">
      <c r="C83" s="3"/>
      <c r="D83" s="3"/>
      <c r="E83" s="3"/>
      <c r="F83" s="3"/>
      <c r="G83" s="3"/>
      <c r="H83" s="3"/>
      <c r="I83" s="3"/>
    </row>
    <row r="84" spans="3:9" ht="15.5">
      <c r="C84" s="3"/>
      <c r="D84" s="3"/>
      <c r="E84" s="3"/>
      <c r="F84" s="3"/>
      <c r="G84" s="3"/>
      <c r="H84" s="3"/>
      <c r="I84" s="3"/>
    </row>
    <row r="85" spans="3:9" ht="15.5">
      <c r="C85" s="3"/>
      <c r="D85" s="3"/>
      <c r="E85" s="3"/>
      <c r="F85" s="3"/>
      <c r="G85" s="3"/>
      <c r="H85" s="3"/>
      <c r="I85" s="3"/>
    </row>
    <row r="86" spans="3:9" ht="15.5">
      <c r="C86" s="3"/>
      <c r="D86" s="3"/>
      <c r="E86" s="3"/>
      <c r="F86" s="3"/>
      <c r="G86" s="3"/>
      <c r="H86" s="3"/>
      <c r="I86" s="3"/>
    </row>
    <row r="87" spans="3:9" ht="15.5">
      <c r="C87" s="3"/>
      <c r="D87" s="3"/>
      <c r="E87" s="3"/>
      <c r="F87" s="3"/>
      <c r="G87" s="3"/>
      <c r="H87" s="3"/>
      <c r="I87" s="3"/>
    </row>
    <row r="88" spans="3:9" ht="15.5">
      <c r="C88" s="3"/>
      <c r="D88" s="3"/>
      <c r="E88" s="3"/>
      <c r="F88" s="3"/>
      <c r="G88" s="3"/>
      <c r="H88" s="3"/>
      <c r="I88" s="3"/>
    </row>
    <row r="89" spans="3:9" ht="15.5">
      <c r="C89" s="3"/>
      <c r="D89" s="3"/>
      <c r="E89" s="3"/>
      <c r="F89" s="3"/>
      <c r="G89" s="3"/>
      <c r="H89" s="3"/>
      <c r="I89" s="3"/>
    </row>
    <row r="90" spans="3:9" ht="15.5">
      <c r="C90" s="3"/>
      <c r="D90" s="3"/>
      <c r="E90" s="3"/>
      <c r="F90" s="3"/>
      <c r="G90" s="3"/>
      <c r="H90" s="3"/>
      <c r="I90" s="3"/>
    </row>
    <row r="91" spans="3:9" ht="15.5">
      <c r="C91" s="3"/>
      <c r="D91" s="3"/>
      <c r="E91" s="3"/>
      <c r="F91" s="3"/>
      <c r="G91" s="3"/>
      <c r="H91" s="3"/>
      <c r="I91" s="3"/>
    </row>
    <row r="92" spans="3:9" ht="15.5">
      <c r="C92" s="3"/>
      <c r="D92" s="3"/>
      <c r="E92" s="3"/>
      <c r="F92" s="3"/>
      <c r="G92" s="3"/>
      <c r="H92" s="3"/>
      <c r="I92" s="3"/>
    </row>
    <row r="93" spans="3:9" ht="15.5">
      <c r="C93" s="3"/>
      <c r="D93" s="3"/>
      <c r="E93" s="3"/>
      <c r="F93" s="3"/>
      <c r="G93" s="3"/>
      <c r="H93" s="3"/>
      <c r="I93" s="3"/>
    </row>
    <row r="95" spans="3:9">
      <c r="C95" s="10"/>
      <c r="D95" s="10"/>
      <c r="E95" s="10"/>
      <c r="F95" s="10"/>
      <c r="G95" s="10"/>
      <c r="H95" s="10"/>
      <c r="I95" s="10"/>
    </row>
    <row r="96" spans="3:9">
      <c r="C96" s="10"/>
      <c r="D96" s="10"/>
      <c r="E96" s="10"/>
      <c r="F96" s="10"/>
      <c r="G96" s="10"/>
      <c r="H96" s="10"/>
      <c r="I96" s="10"/>
    </row>
    <row r="97" spans="3:9">
      <c r="C97" s="10"/>
      <c r="D97" s="10"/>
      <c r="E97" s="10"/>
      <c r="F97" s="10"/>
      <c r="G97" s="10"/>
      <c r="H97" s="10"/>
      <c r="I97" s="10"/>
    </row>
    <row r="98" spans="3:9">
      <c r="C98" s="10"/>
      <c r="D98" s="10"/>
      <c r="E98" s="10"/>
      <c r="F98" s="10"/>
      <c r="G98" s="10"/>
      <c r="H98" s="10"/>
      <c r="I98" s="10"/>
    </row>
    <row r="99" spans="3:9">
      <c r="C99" s="10"/>
      <c r="D99" s="10"/>
      <c r="E99" s="10"/>
      <c r="F99" s="10"/>
      <c r="G99" s="10"/>
      <c r="H99" s="10"/>
      <c r="I99" s="10"/>
    </row>
    <row r="100" spans="3:9">
      <c r="C100" s="10"/>
      <c r="D100" s="10"/>
      <c r="E100" s="10"/>
      <c r="F100" s="10"/>
      <c r="G100" s="10"/>
      <c r="H100" s="10"/>
      <c r="I100" s="10"/>
    </row>
    <row r="101" spans="3:9">
      <c r="C101" s="10"/>
      <c r="D101" s="10"/>
      <c r="E101" s="10"/>
      <c r="F101" s="10"/>
      <c r="G101" s="10"/>
      <c r="H101" s="10"/>
      <c r="I101" s="10"/>
    </row>
    <row r="102" spans="3:9">
      <c r="C102" s="10"/>
      <c r="D102" s="10"/>
      <c r="E102" s="10"/>
      <c r="F102" s="10"/>
      <c r="G102" s="10"/>
      <c r="H102" s="10"/>
      <c r="I102" s="10"/>
    </row>
    <row r="103" spans="3:9">
      <c r="C103" s="10"/>
      <c r="D103" s="10"/>
      <c r="E103" s="10"/>
      <c r="F103" s="10"/>
      <c r="G103" s="10"/>
      <c r="H103" s="10"/>
      <c r="I103" s="10"/>
    </row>
    <row r="104" spans="3:9">
      <c r="C104" s="10"/>
      <c r="D104" s="10"/>
      <c r="E104" s="10"/>
      <c r="F104" s="10"/>
      <c r="G104" s="10"/>
      <c r="H104" s="10"/>
      <c r="I104" s="10"/>
    </row>
    <row r="105" spans="3:9">
      <c r="C105" s="10"/>
      <c r="D105" s="10"/>
      <c r="E105" s="10"/>
      <c r="F105" s="10"/>
      <c r="G105" s="10"/>
      <c r="H105" s="10"/>
      <c r="I105" s="10"/>
    </row>
    <row r="106" spans="3:9">
      <c r="C106" s="10"/>
      <c r="D106" s="10"/>
      <c r="E106" s="10"/>
      <c r="F106" s="10"/>
      <c r="G106" s="10"/>
      <c r="H106" s="10"/>
      <c r="I106" s="10"/>
    </row>
    <row r="107" spans="3:9">
      <c r="C107" s="10"/>
      <c r="D107" s="10"/>
      <c r="E107" s="10"/>
      <c r="F107" s="10"/>
      <c r="G107" s="10"/>
      <c r="H107" s="10"/>
      <c r="I107" s="10"/>
    </row>
    <row r="108" spans="3:9">
      <c r="C108" s="10"/>
      <c r="D108" s="10"/>
      <c r="E108" s="10"/>
      <c r="F108" s="10"/>
      <c r="G108" s="10"/>
      <c r="H108" s="10"/>
      <c r="I108" s="10"/>
    </row>
    <row r="109" spans="3:9">
      <c r="C109" s="10"/>
      <c r="D109" s="10"/>
      <c r="E109" s="10"/>
      <c r="F109" s="10"/>
      <c r="G109" s="10"/>
      <c r="H109" s="10"/>
      <c r="I109" s="10"/>
    </row>
    <row r="110" spans="3:9">
      <c r="C110" s="10"/>
      <c r="D110" s="10"/>
      <c r="E110" s="10"/>
      <c r="F110" s="10"/>
      <c r="G110" s="10"/>
      <c r="H110" s="10"/>
      <c r="I110" s="10"/>
    </row>
    <row r="111" spans="3:9">
      <c r="C111" s="10"/>
      <c r="D111" s="10"/>
      <c r="E111" s="10"/>
      <c r="F111" s="10"/>
      <c r="G111" s="10"/>
      <c r="H111" s="10"/>
      <c r="I111" s="10"/>
    </row>
    <row r="112" spans="3:9">
      <c r="C112" s="10"/>
      <c r="D112" s="10"/>
      <c r="E112" s="10"/>
      <c r="F112" s="10"/>
      <c r="G112" s="10"/>
      <c r="H112" s="10"/>
      <c r="I112" s="10"/>
    </row>
    <row r="113" spans="3:9">
      <c r="C113" s="10"/>
      <c r="D113" s="10"/>
      <c r="E113" s="10"/>
      <c r="F113" s="10"/>
      <c r="G113" s="10"/>
      <c r="H113" s="10"/>
      <c r="I113" s="10"/>
    </row>
    <row r="114" spans="3:9">
      <c r="C114" s="10"/>
      <c r="D114" s="10"/>
      <c r="E114" s="10"/>
      <c r="F114" s="10"/>
      <c r="G114" s="10"/>
      <c r="H114" s="10"/>
      <c r="I114" s="10"/>
    </row>
    <row r="115" spans="3:9">
      <c r="C115" s="10"/>
      <c r="D115" s="10"/>
      <c r="E115" s="10"/>
      <c r="F115" s="10"/>
      <c r="G115" s="10"/>
      <c r="H115" s="10"/>
      <c r="I115" s="10"/>
    </row>
    <row r="116" spans="3:9">
      <c r="C116" s="10"/>
      <c r="D116" s="10"/>
      <c r="E116" s="10"/>
      <c r="F116" s="10"/>
      <c r="G116" s="10"/>
      <c r="H116" s="10"/>
      <c r="I116" s="10"/>
    </row>
    <row r="117" spans="3:9">
      <c r="C117" s="10"/>
      <c r="D117" s="10"/>
      <c r="E117" s="10"/>
      <c r="F117" s="10"/>
      <c r="G117" s="10"/>
      <c r="H117" s="10"/>
      <c r="I117" s="10"/>
    </row>
    <row r="118" spans="3:9">
      <c r="C118" s="10"/>
      <c r="D118" s="10"/>
      <c r="E118" s="10"/>
      <c r="F118" s="10"/>
      <c r="G118" s="10"/>
      <c r="H118" s="10"/>
      <c r="I118" s="10"/>
    </row>
    <row r="119" spans="3:9">
      <c r="C119" s="10"/>
      <c r="D119" s="10"/>
      <c r="E119" s="10"/>
      <c r="F119" s="10"/>
      <c r="G119" s="10"/>
      <c r="H119" s="10"/>
      <c r="I119" s="10"/>
    </row>
    <row r="120" spans="3:9">
      <c r="C120" s="10"/>
      <c r="D120" s="10"/>
      <c r="E120" s="10"/>
      <c r="F120" s="10"/>
      <c r="G120" s="10"/>
      <c r="H120" s="10"/>
      <c r="I120" s="10"/>
    </row>
    <row r="121" spans="3:9">
      <c r="C121" s="10"/>
      <c r="D121" s="10"/>
      <c r="E121" s="10"/>
      <c r="F121" s="10"/>
      <c r="G121" s="10"/>
      <c r="H121" s="10"/>
      <c r="I121" s="10"/>
    </row>
    <row r="122" spans="3:9">
      <c r="C122" s="10"/>
      <c r="D122" s="10"/>
      <c r="E122" s="10"/>
      <c r="F122" s="10"/>
      <c r="G122" s="10"/>
      <c r="H122" s="10"/>
      <c r="I122" s="10"/>
    </row>
    <row r="123" spans="3:9">
      <c r="C123" s="10"/>
      <c r="D123" s="10"/>
      <c r="E123" s="10"/>
      <c r="F123" s="10"/>
      <c r="G123" s="10"/>
      <c r="H123" s="10"/>
      <c r="I123" s="10"/>
    </row>
    <row r="124" spans="3:9">
      <c r="C124" s="10"/>
      <c r="D124" s="10"/>
      <c r="E124" s="10"/>
      <c r="F124" s="10"/>
      <c r="G124" s="10"/>
      <c r="H124" s="10"/>
      <c r="I124" s="10"/>
    </row>
    <row r="125" spans="3:9">
      <c r="C125" s="10"/>
      <c r="D125" s="10"/>
      <c r="E125" s="10"/>
      <c r="F125" s="10"/>
      <c r="G125" s="10"/>
      <c r="H125" s="10"/>
      <c r="I125" s="10"/>
    </row>
    <row r="126" spans="3:9">
      <c r="C126" s="10"/>
      <c r="D126" s="10"/>
      <c r="E126" s="10"/>
      <c r="F126" s="10"/>
      <c r="G126" s="10"/>
      <c r="H126" s="10"/>
      <c r="I126" s="10"/>
    </row>
    <row r="127" spans="3:9">
      <c r="C127" s="10"/>
      <c r="D127" s="10"/>
      <c r="E127" s="10"/>
      <c r="F127" s="10"/>
      <c r="G127" s="10"/>
      <c r="H127" s="10"/>
      <c r="I127" s="10"/>
    </row>
    <row r="128" spans="3:9">
      <c r="C128" s="10"/>
      <c r="D128" s="10"/>
      <c r="E128" s="10"/>
      <c r="F128" s="10"/>
      <c r="G128" s="10"/>
      <c r="H128" s="10"/>
      <c r="I128" s="10"/>
    </row>
    <row r="129" spans="3:9">
      <c r="C129" s="10"/>
      <c r="D129" s="10"/>
      <c r="E129" s="10"/>
      <c r="F129" s="10"/>
      <c r="G129" s="10"/>
      <c r="H129" s="10"/>
      <c r="I129" s="10"/>
    </row>
    <row r="130" spans="3:9">
      <c r="C130" s="10"/>
      <c r="D130" s="10"/>
      <c r="E130" s="10"/>
      <c r="F130" s="10"/>
      <c r="G130" s="10"/>
      <c r="H130" s="10"/>
      <c r="I130" s="10"/>
    </row>
    <row r="131" spans="3:9">
      <c r="C131" s="10"/>
      <c r="D131" s="10"/>
      <c r="E131" s="10"/>
      <c r="F131" s="10"/>
      <c r="G131" s="10"/>
      <c r="H131" s="10"/>
      <c r="I131" s="10"/>
    </row>
    <row r="132" spans="3:9">
      <c r="C132" s="10"/>
      <c r="D132" s="10"/>
      <c r="E132" s="10"/>
      <c r="F132" s="10"/>
      <c r="G132" s="10"/>
      <c r="H132" s="10"/>
      <c r="I132" s="10"/>
    </row>
    <row r="133" spans="3:9">
      <c r="C133" s="10"/>
      <c r="D133" s="10"/>
      <c r="E133" s="10"/>
      <c r="F133" s="10"/>
      <c r="G133" s="10"/>
      <c r="H133" s="10"/>
      <c r="I133" s="10"/>
    </row>
    <row r="134" spans="3:9">
      <c r="C134" s="10"/>
      <c r="D134" s="10"/>
      <c r="E134" s="10"/>
      <c r="F134" s="10"/>
      <c r="G134" s="10"/>
      <c r="H134" s="10"/>
      <c r="I134" s="10"/>
    </row>
    <row r="135" spans="3:9">
      <c r="C135" s="10"/>
      <c r="D135" s="10"/>
      <c r="E135" s="10"/>
      <c r="F135" s="10"/>
      <c r="G135" s="10"/>
      <c r="H135" s="10"/>
      <c r="I135" s="10"/>
    </row>
    <row r="136" spans="3:9">
      <c r="C136" s="10"/>
      <c r="D136" s="10"/>
      <c r="E136" s="10"/>
      <c r="F136" s="10"/>
      <c r="G136" s="10"/>
      <c r="H136" s="10"/>
      <c r="I136" s="10"/>
    </row>
    <row r="137" spans="3:9">
      <c r="C137" s="10"/>
      <c r="D137" s="10"/>
      <c r="E137" s="10"/>
      <c r="F137" s="10"/>
      <c r="G137" s="10"/>
      <c r="H137" s="10"/>
      <c r="I137" s="10"/>
    </row>
  </sheetData>
  <phoneticPr fontId="5" type="noConversion"/>
  <hyperlinks>
    <hyperlink ref="A7" location="Contents!A1" display="Return to Contents" xr:uid="{00000000-0004-0000-0800-000000000000}"/>
  </hyperlinks>
  <pageMargins left="0.42" right="0.44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2"/>
  <sheetViews>
    <sheetView zoomScaleNormal="100" workbookViewId="0">
      <selection activeCell="A3" sqref="A3"/>
    </sheetView>
  </sheetViews>
  <sheetFormatPr defaultColWidth="9.1796875" defaultRowHeight="14"/>
  <cols>
    <col min="1" max="16384" width="9.1796875" style="82"/>
  </cols>
  <sheetData>
    <row r="1" spans="1:1" ht="18">
      <c r="A1" s="102" t="s">
        <v>160</v>
      </c>
    </row>
    <row r="2" spans="1:1" ht="16.5">
      <c r="A2" s="128" t="s">
        <v>167</v>
      </c>
    </row>
  </sheetData>
  <hyperlinks>
    <hyperlink ref="A2" r:id="rId1" location="counciltax" display="Council Tax Collection Statistics, 2022-23" xr:uid="{80BDEF57-9252-4EDF-BA2C-635F0E82765E}"/>
  </hyperlinks>
  <pageMargins left="0.7" right="0.7" top="0.75" bottom="0.75" header="0.3" footer="0.3"/>
  <pageSetup paperSize="9" scale="78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7"/>
  <sheetViews>
    <sheetView zoomScaleNormal="100" workbookViewId="0">
      <selection activeCell="G7" sqref="G7"/>
    </sheetView>
  </sheetViews>
  <sheetFormatPr defaultColWidth="9.1796875" defaultRowHeight="14"/>
  <cols>
    <col min="1" max="1" width="31.26953125" style="80" customWidth="1"/>
    <col min="2" max="4" width="12.453125" style="80" customWidth="1"/>
    <col min="5" max="5" width="25.81640625" style="80" customWidth="1"/>
    <col min="6" max="6" width="7.453125" style="80" customWidth="1"/>
    <col min="7" max="7" width="17.26953125" style="85" customWidth="1"/>
    <col min="8" max="8" width="13.81640625" style="83" customWidth="1"/>
    <col min="9" max="11" width="23.453125" style="83" customWidth="1"/>
    <col min="12" max="12" width="26.453125" style="83" customWidth="1"/>
    <col min="13" max="16384" width="9.1796875" style="80"/>
  </cols>
  <sheetData>
    <row r="1" spans="1:17" s="15" customFormat="1" ht="30" customHeight="1">
      <c r="A1" s="102" t="s">
        <v>171</v>
      </c>
      <c r="B1" s="75"/>
      <c r="C1" s="75"/>
      <c r="D1" s="75"/>
      <c r="E1" s="75"/>
      <c r="F1" s="75"/>
      <c r="G1" s="75"/>
      <c r="H1" s="75"/>
      <c r="I1" s="75"/>
      <c r="J1" s="110"/>
      <c r="K1" s="75"/>
      <c r="L1" s="75"/>
      <c r="M1" s="75"/>
      <c r="N1" s="75"/>
      <c r="O1" s="75"/>
    </row>
    <row r="2" spans="1:17" s="15" customFormat="1" ht="15.5">
      <c r="A2" s="122" t="s">
        <v>150</v>
      </c>
      <c r="B2" s="75"/>
      <c r="C2" s="75"/>
      <c r="D2" s="75"/>
      <c r="E2" s="75"/>
      <c r="F2" s="75"/>
      <c r="G2" s="75"/>
      <c r="H2" s="75"/>
      <c r="I2" s="75"/>
      <c r="J2" s="110"/>
      <c r="K2" s="75"/>
      <c r="L2" s="75"/>
      <c r="M2" s="75"/>
      <c r="N2" s="75"/>
      <c r="O2" s="75"/>
    </row>
    <row r="3" spans="1:17" s="15" customFormat="1" ht="15.5">
      <c r="A3" s="225" t="s">
        <v>174</v>
      </c>
      <c r="B3" s="75"/>
      <c r="C3" s="75"/>
      <c r="D3" s="75"/>
      <c r="E3" s="75"/>
      <c r="F3" s="75"/>
      <c r="G3" s="75"/>
      <c r="H3" s="75"/>
      <c r="I3" s="75"/>
      <c r="J3" s="110"/>
      <c r="K3" s="75"/>
      <c r="L3" s="75"/>
      <c r="M3" s="75"/>
      <c r="N3" s="75"/>
      <c r="O3" s="75"/>
    </row>
    <row r="4" spans="1:17" s="15" customFormat="1" ht="30" customHeight="1">
      <c r="A4" s="122" t="s">
        <v>175</v>
      </c>
      <c r="B4" s="75"/>
      <c r="C4" s="75"/>
      <c r="D4" s="75"/>
      <c r="E4" s="75"/>
      <c r="F4" s="75"/>
      <c r="G4" s="75"/>
      <c r="H4" s="75"/>
      <c r="I4" s="75"/>
      <c r="J4" s="110"/>
      <c r="K4" s="75"/>
      <c r="L4" s="75"/>
      <c r="M4" s="75"/>
      <c r="N4" s="75"/>
      <c r="O4" s="75"/>
    </row>
    <row r="5" spans="1:17" ht="15.5">
      <c r="A5" s="81" t="s">
        <v>120</v>
      </c>
      <c r="E5" s="83"/>
      <c r="F5" s="83"/>
      <c r="G5" s="83"/>
      <c r="H5" s="80"/>
      <c r="I5" s="80"/>
      <c r="J5" s="80"/>
      <c r="K5" s="80"/>
      <c r="L5" s="80"/>
    </row>
    <row r="6" spans="1:17" ht="16" customHeight="1">
      <c r="A6" s="103" t="s">
        <v>84</v>
      </c>
      <c r="B6" s="79"/>
      <c r="C6" s="79"/>
      <c r="D6" s="79"/>
      <c r="G6" s="80"/>
      <c r="H6" s="80"/>
      <c r="I6" s="80"/>
      <c r="J6" s="80"/>
      <c r="K6" s="80"/>
      <c r="L6" s="80"/>
    </row>
    <row r="7" spans="1:17" ht="14.15" customHeight="1">
      <c r="B7" s="79"/>
      <c r="C7" s="79"/>
      <c r="D7" s="79"/>
      <c r="G7" s="80"/>
      <c r="H7" s="80"/>
      <c r="I7" s="80"/>
      <c r="J7" s="80"/>
      <c r="K7" s="80"/>
      <c r="L7" s="80"/>
    </row>
    <row r="8" spans="1:17" ht="10" customHeight="1">
      <c r="B8" s="79"/>
      <c r="C8" s="79"/>
      <c r="D8" s="79"/>
      <c r="E8" s="85"/>
      <c r="F8" s="86"/>
      <c r="G8" s="86"/>
      <c r="H8" s="86"/>
      <c r="I8" s="86"/>
      <c r="J8" s="86"/>
      <c r="K8" s="86"/>
      <c r="L8" s="86"/>
      <c r="M8" s="85"/>
      <c r="N8" s="85"/>
      <c r="O8" s="85"/>
      <c r="P8" s="85"/>
      <c r="Q8" s="85"/>
    </row>
    <row r="9" spans="1:17" ht="40" customHeight="1">
      <c r="A9" s="149" t="s">
        <v>148</v>
      </c>
      <c r="B9" s="152" t="s">
        <v>141</v>
      </c>
      <c r="C9" s="152" t="s">
        <v>69</v>
      </c>
      <c r="E9" s="87"/>
      <c r="F9" s="87"/>
      <c r="G9" s="87"/>
      <c r="H9" s="88"/>
      <c r="I9" s="89"/>
      <c r="J9" s="90"/>
      <c r="K9" s="80"/>
      <c r="L9" s="80"/>
    </row>
    <row r="10" spans="1:17" ht="18" customHeight="1">
      <c r="A10" s="150" t="s">
        <v>149</v>
      </c>
      <c r="B10" s="226">
        <v>8920</v>
      </c>
      <c r="C10" s="227">
        <v>0.59499999999999997</v>
      </c>
      <c r="D10" s="91"/>
      <c r="E10" s="92" t="s">
        <v>85</v>
      </c>
      <c r="F10" s="93"/>
      <c r="G10" s="93"/>
      <c r="H10" s="94"/>
      <c r="I10" s="80"/>
      <c r="J10" s="80"/>
      <c r="K10" s="80"/>
      <c r="L10" s="80"/>
    </row>
    <row r="11" spans="1:17" ht="18" customHeight="1">
      <c r="A11" s="151" t="s">
        <v>86</v>
      </c>
      <c r="B11" s="226">
        <v>3045</v>
      </c>
      <c r="C11" s="227">
        <v>0.20300000000000001</v>
      </c>
      <c r="E11" s="92" t="s">
        <v>85</v>
      </c>
      <c r="F11" s="93"/>
      <c r="G11" s="93"/>
      <c r="H11" s="94"/>
      <c r="I11" s="80"/>
      <c r="J11" s="80"/>
      <c r="K11" s="80"/>
      <c r="L11" s="80"/>
    </row>
    <row r="12" spans="1:17" ht="18" customHeight="1">
      <c r="A12" s="150" t="s">
        <v>70</v>
      </c>
      <c r="B12" s="226">
        <v>2931</v>
      </c>
      <c r="C12" s="227">
        <v>0.19600000000000001</v>
      </c>
      <c r="E12" s="92" t="s">
        <v>85</v>
      </c>
      <c r="F12" s="93"/>
      <c r="G12" s="93"/>
      <c r="H12" s="94"/>
      <c r="I12" s="80"/>
      <c r="J12" s="80"/>
      <c r="K12" s="80"/>
      <c r="L12" s="80"/>
    </row>
    <row r="13" spans="1:17" ht="18" customHeight="1">
      <c r="A13" s="151" t="s">
        <v>91</v>
      </c>
      <c r="B13" s="226">
        <v>87</v>
      </c>
      <c r="C13" s="227">
        <v>6.0000000000000001E-3</v>
      </c>
      <c r="E13" s="92" t="s">
        <v>85</v>
      </c>
      <c r="F13" s="93"/>
      <c r="G13" s="93"/>
      <c r="H13" s="94"/>
      <c r="I13" s="80"/>
      <c r="J13" s="80"/>
      <c r="K13" s="80"/>
      <c r="L13" s="80"/>
    </row>
    <row r="14" spans="1:17" ht="22" customHeight="1">
      <c r="A14" s="149" t="s">
        <v>87</v>
      </c>
      <c r="B14" s="228">
        <v>14983</v>
      </c>
      <c r="C14" s="229">
        <v>1</v>
      </c>
      <c r="E14" s="95" t="s">
        <v>85</v>
      </c>
      <c r="F14" s="95" t="s">
        <v>85</v>
      </c>
      <c r="G14" s="95" t="s">
        <v>85</v>
      </c>
      <c r="H14" s="94"/>
      <c r="I14" s="80"/>
      <c r="J14" s="80"/>
      <c r="K14" s="80"/>
      <c r="L14" s="80"/>
    </row>
    <row r="15" spans="1:17">
      <c r="B15" s="98"/>
      <c r="C15" s="98"/>
      <c r="D15" s="98"/>
      <c r="E15" s="99"/>
    </row>
    <row r="16" spans="1:17">
      <c r="E16" s="96"/>
    </row>
    <row r="17" spans="5:5">
      <c r="E17" s="97"/>
    </row>
  </sheetData>
  <hyperlinks>
    <hyperlink ref="A6" location="Contents!A1" display="Return to Contents" xr:uid="{00000000-0004-0000-0A00-000000000000}"/>
  </hyperlinks>
  <pageMargins left="0.25" right="0.25" top="0.75" bottom="0.75" header="0.3" footer="0.3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O16"/>
  <sheetViews>
    <sheetView showGridLines="0" zoomScaleNormal="100" zoomScaleSheetLayoutView="100" workbookViewId="0"/>
  </sheetViews>
  <sheetFormatPr defaultColWidth="9.1796875" defaultRowHeight="12.5"/>
  <cols>
    <col min="1" max="1" width="20.54296875" style="1" customWidth="1"/>
    <col min="2" max="12" width="12.7265625" style="1" customWidth="1"/>
    <col min="13" max="16384" width="9.1796875" style="1"/>
  </cols>
  <sheetData>
    <row r="1" spans="1:41" ht="30" customHeight="1">
      <c r="A1" s="102" t="s">
        <v>77</v>
      </c>
      <c r="L1" s="27"/>
      <c r="M1" s="72"/>
      <c r="N1" s="72"/>
      <c r="O1" s="72"/>
      <c r="P1" s="72"/>
      <c r="Q1" s="72"/>
    </row>
    <row r="2" spans="1:41" s="13" customFormat="1" ht="15.5">
      <c r="A2" s="104" t="s">
        <v>121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41" s="13" customFormat="1" ht="15.5">
      <c r="A3" s="105" t="s">
        <v>94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41" s="13" customFormat="1" ht="15.5">
      <c r="A4" s="105" t="s">
        <v>90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1:41" s="13" customFormat="1" ht="15.5">
      <c r="A5" s="105" t="s">
        <v>122</v>
      </c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1:41" s="13" customFormat="1" ht="15.5">
      <c r="A6" s="105" t="s">
        <v>123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spans="1:41" s="13" customFormat="1" ht="15.5">
      <c r="A7" s="105" t="s">
        <v>124</v>
      </c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spans="1:41" s="14" customFormat="1" ht="15.5">
      <c r="A8" s="106" t="s">
        <v>119</v>
      </c>
      <c r="B8" s="31"/>
      <c r="C8" s="31"/>
      <c r="D8" s="31"/>
      <c r="E8" s="31"/>
      <c r="F8" s="31"/>
      <c r="G8" s="61"/>
      <c r="H8" s="61"/>
      <c r="I8" s="61"/>
      <c r="J8" s="61"/>
      <c r="K8" s="63"/>
      <c r="L8" s="62"/>
      <c r="M8" s="67"/>
      <c r="N8" s="67"/>
      <c r="O8" s="67"/>
      <c r="P8" s="67"/>
      <c r="Q8" s="67"/>
    </row>
    <row r="9" spans="1:41" ht="15.5">
      <c r="A9" s="103" t="s">
        <v>84</v>
      </c>
    </row>
    <row r="10" spans="1:41" ht="14.25" customHeight="1">
      <c r="A10" s="31"/>
      <c r="B10" s="31"/>
      <c r="C10" s="31"/>
      <c r="D10" s="31"/>
      <c r="E10" s="31"/>
      <c r="F10" s="45"/>
      <c r="G10" s="53"/>
      <c r="L10" s="7"/>
      <c r="M10" s="8"/>
      <c r="N10" s="8"/>
    </row>
    <row r="11" spans="1:41" ht="75.75" customHeight="1">
      <c r="A11" s="30" t="s">
        <v>28</v>
      </c>
      <c r="B11" s="29" t="s">
        <v>27</v>
      </c>
      <c r="C11" s="29" t="s">
        <v>71</v>
      </c>
      <c r="D11" s="29" t="s">
        <v>72</v>
      </c>
      <c r="E11" s="29" t="s">
        <v>92</v>
      </c>
      <c r="F11" s="52"/>
      <c r="K11" s="7"/>
      <c r="L11" s="8"/>
      <c r="M11" s="8"/>
    </row>
    <row r="12" spans="1:41" ht="20.149999999999999" customHeight="1">
      <c r="A12" s="54" t="s">
        <v>73</v>
      </c>
      <c r="B12" s="55">
        <v>1193293.2846086973</v>
      </c>
      <c r="C12" s="56">
        <v>1154519.8746415626</v>
      </c>
      <c r="D12" s="56">
        <v>38773.409967134707</v>
      </c>
      <c r="E12" s="57">
        <v>96.750722520000679</v>
      </c>
      <c r="F12" s="52"/>
      <c r="K12" s="7"/>
      <c r="L12" s="8"/>
      <c r="M12" s="8"/>
    </row>
    <row r="13" spans="1:41" s="7" customFormat="1" ht="32.15" customHeight="1">
      <c r="A13" s="33" t="s">
        <v>74</v>
      </c>
      <c r="B13" s="34">
        <v>1114440.916977223</v>
      </c>
      <c r="C13" s="35">
        <v>1075561.3565363071</v>
      </c>
      <c r="D13" s="35">
        <v>38879.56044091587</v>
      </c>
      <c r="E13" s="58">
        <v>96.511294600850476</v>
      </c>
      <c r="F13" s="52"/>
      <c r="G13" s="1"/>
      <c r="H13" s="1"/>
      <c r="I13" s="1"/>
      <c r="J13" s="1"/>
      <c r="L13" s="8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s="7" customFormat="1" ht="32.15" customHeight="1">
      <c r="A14" s="59" t="s">
        <v>75</v>
      </c>
      <c r="B14" s="55">
        <v>1001833.2729204617</v>
      </c>
      <c r="C14" s="56">
        <v>965865.84661264182</v>
      </c>
      <c r="D14" s="56">
        <v>35967.4263078199</v>
      </c>
      <c r="E14" s="57">
        <v>96.409839113950497</v>
      </c>
      <c r="F14" s="52"/>
      <c r="G14" s="1"/>
      <c r="H14" s="1"/>
      <c r="I14" s="1"/>
      <c r="J14" s="1"/>
      <c r="L14" s="8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s="23" customFormat="1" ht="32.15" customHeight="1">
      <c r="A15" s="51" t="s">
        <v>76</v>
      </c>
      <c r="B15" s="50">
        <v>2798156.9439700004</v>
      </c>
      <c r="C15" s="47">
        <v>2700295</v>
      </c>
      <c r="D15" s="48">
        <v>97861.943970000371</v>
      </c>
      <c r="E15" s="49">
        <v>96.502628482619883</v>
      </c>
      <c r="F15" s="52"/>
      <c r="G15" s="1"/>
      <c r="H15" s="1"/>
      <c r="I15" s="1"/>
      <c r="J15" s="1"/>
      <c r="K15" s="7"/>
      <c r="L15" s="8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3">
      <c r="A16" s="46"/>
      <c r="B16" s="31"/>
      <c r="C16" s="31"/>
      <c r="D16" s="31"/>
      <c r="E16" s="31"/>
      <c r="F16" s="28"/>
      <c r="G16" s="28"/>
      <c r="L16" s="7"/>
      <c r="M16" s="8"/>
      <c r="N16" s="8"/>
    </row>
  </sheetData>
  <hyperlinks>
    <hyperlink ref="A9" location="Contents!A1" display="Return to Contents" xr:uid="{00000000-0004-0000-0C00-000000000000}"/>
  </hyperlinks>
  <pageMargins left="0.75" right="0.75" top="1" bottom="1" header="0.5" footer="0.5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Contents</vt:lpstr>
      <vt:lpstr>Notes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Archived data</vt:lpstr>
      <vt:lpstr>Contents!Print_Area</vt:lpstr>
      <vt:lpstr>'Figure 1'!Print_Area</vt:lpstr>
      <vt:lpstr>'Figure 3'!Print_Area</vt:lpstr>
      <vt:lpstr>'Figure 5'!Print_Area</vt:lpstr>
      <vt:lpstr>'Figure 7'!Print_Area</vt:lpstr>
      <vt:lpstr>'Figure 8'!Print_Area</vt:lpstr>
    </vt:vector>
  </TitlesOfParts>
  <Company>Scottish Executive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Valentine</dc:creator>
  <cp:lastModifiedBy>Jon Hunter</cp:lastModifiedBy>
  <cp:lastPrinted>2024-05-29T10:44:03Z</cp:lastPrinted>
  <dcterms:created xsi:type="dcterms:W3CDTF">2004-08-31T09:33:44Z</dcterms:created>
  <dcterms:modified xsi:type="dcterms:W3CDTF">2025-06-03T13:57:02Z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ctive-Id">
    <vt:lpwstr>A21231109</vt:lpwstr>
  </property>
  <property fmtid="{D5CDD505-2E9C-101B-9397-08002B2CF9AE}" pid="3" name="Objective-Comment">
    <vt:lpwstr/>
  </property>
  <property fmtid="{D5CDD505-2E9C-101B-9397-08002B2CF9AE}" pid="4" name="Objective-CreationStamp">
    <vt:filetime>2018-06-04T07:04:27Z</vt:filetime>
  </property>
  <property fmtid="{D5CDD505-2E9C-101B-9397-08002B2CF9AE}" pid="5" name="Objective-IsApproved">
    <vt:bool>false</vt:bool>
  </property>
  <property fmtid="{D5CDD505-2E9C-101B-9397-08002B2CF9AE}" pid="6" name="Objective-IsPublished">
    <vt:bool>false</vt:bool>
  </property>
  <property fmtid="{D5CDD505-2E9C-101B-9397-08002B2CF9AE}" pid="7" name="Objective-DatePublished">
    <vt:lpwstr/>
  </property>
  <property fmtid="{D5CDD505-2E9C-101B-9397-08002B2CF9AE}" pid="8" name="Objective-ModificationStamp">
    <vt:filetime>2018-06-05T14:20:38Z</vt:filetime>
  </property>
  <property fmtid="{D5CDD505-2E9C-101B-9397-08002B2CF9AE}" pid="9" name="Objective-Owner">
    <vt:lpwstr>Melling, Maria MA (u113209)</vt:lpwstr>
  </property>
  <property fmtid="{D5CDD505-2E9C-101B-9397-08002B2CF9AE}" pid="10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</vt:lpwstr>
  </property>
  <property fmtid="{D5CDD505-2E9C-101B-9397-08002B2CF9AE}" pid="11" name="Objective-Parent">
    <vt:lpwstr>Statistical: Statistical returns - Council tax 2017-18: Research and analysis: Finance - Council tax and non domestic rates: 2017-2022</vt:lpwstr>
  </property>
  <property fmtid="{D5CDD505-2E9C-101B-9397-08002B2CF9AE}" pid="12" name="Objective-State">
    <vt:lpwstr>Being Edited</vt:lpwstr>
  </property>
  <property fmtid="{D5CDD505-2E9C-101B-9397-08002B2CF9AE}" pid="13" name="Objective-Title">
    <vt:lpwstr>Council Tax Collection Statistics, 2017-18 - Publication tables - DRAFT</vt:lpwstr>
  </property>
  <property fmtid="{D5CDD505-2E9C-101B-9397-08002B2CF9AE}" pid="14" name="Objective-Version">
    <vt:lpwstr>0.3</vt:lpwstr>
  </property>
  <property fmtid="{D5CDD505-2E9C-101B-9397-08002B2CF9AE}" pid="15" name="Objective-VersionComment">
    <vt:lpwstr/>
  </property>
  <property fmtid="{D5CDD505-2E9C-101B-9397-08002B2CF9AE}" pid="16" name="Objective-VersionNumber">
    <vt:r8>3</vt:r8>
  </property>
  <property fmtid="{D5CDD505-2E9C-101B-9397-08002B2CF9AE}" pid="17" name="Objective-FileNumber">
    <vt:lpwstr>PUBRES/3543</vt:lpwstr>
  </property>
  <property fmtid="{D5CDD505-2E9C-101B-9397-08002B2CF9AE}" pid="18" name="Objective-Classification">
    <vt:lpwstr>[Inherited - OFFICIAL]</vt:lpwstr>
  </property>
  <property fmtid="{D5CDD505-2E9C-101B-9397-08002B2CF9AE}" pid="19" name="Objective-Caveats">
    <vt:lpwstr/>
  </property>
  <property fmtid="{D5CDD505-2E9C-101B-9397-08002B2CF9AE}" pid="20" name="Objective-Date of Original [system]">
    <vt:lpwstr/>
  </property>
  <property fmtid="{D5CDD505-2E9C-101B-9397-08002B2CF9AE}" pid="21" name="Objective-Date Received [system]">
    <vt:lpwstr/>
  </property>
  <property fmtid="{D5CDD505-2E9C-101B-9397-08002B2CF9AE}" pid="22" name="Objective-SG Web Publication - Category [system]">
    <vt:lpwstr/>
  </property>
  <property fmtid="{D5CDD505-2E9C-101B-9397-08002B2CF9AE}" pid="23" name="Objective-SG Web Publication - Category 2 Classification [system]">
    <vt:lpwstr/>
  </property>
  <property fmtid="{D5CDD505-2E9C-101B-9397-08002B2CF9AE}" pid="24" name="Objective-Connect Creator [system]">
    <vt:lpwstr/>
  </property>
</Properties>
</file>