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cotsconnect-my.sharepoint.com/personal/jon_hunter_gov_scot/Documents/Council Tax Projects/Council Tax Collection/2025-26/"/>
    </mc:Choice>
  </mc:AlternateContent>
  <xr:revisionPtr revIDLastSave="33" documentId="8_{6A752EBC-A7F8-4DB6-822C-1F95840ACD40}" xr6:coauthVersionLast="47" xr6:coauthVersionMax="47" xr10:uidLastSave="{975A7CC6-44F1-41FE-93EF-274279BC6A85}"/>
  <bookViews>
    <workbookView xWindow="-110" yWindow="-110" windowWidth="19420" windowHeight="11500" tabRatio="665" xr2:uid="{00000000-000D-0000-FFFF-FFFF00000000}"/>
  </bookViews>
  <sheets>
    <sheet name="Contents" sheetId="28" r:id="rId1"/>
    <sheet name="Notes" sheetId="29" r:id="rId2"/>
    <sheet name="Figure 1" sheetId="13" r:id="rId3"/>
    <sheet name="Figure 2" sheetId="55" r:id="rId4"/>
    <sheet name="Figure 3" sheetId="36" r:id="rId5"/>
    <sheet name="Figure 4" sheetId="56" r:id="rId6"/>
    <sheet name="Figure 5" sheetId="50" r:id="rId7"/>
    <sheet name="Figure 6" sheetId="18" r:id="rId8"/>
    <sheet name="Figure 7" sheetId="25" r:id="rId9"/>
    <sheet name="Figure 8" sheetId="57" r:id="rId10"/>
    <sheet name="Figure 9" sheetId="51" r:id="rId11"/>
    <sheet name="Figure 10" sheetId="53" r:id="rId12"/>
    <sheet name="Archived data" sheetId="44" r:id="rId13"/>
  </sheets>
  <definedNames>
    <definedName name="_xlnm._FilterDatabase" localSheetId="4" hidden="1">'Figure 3'!$A$15:$J$48</definedName>
    <definedName name="_xlnm.Print_Area" localSheetId="12">'Archived data'!#REF!</definedName>
    <definedName name="_xlnm.Print_Area" localSheetId="0">Contents!$A$1:$F$23</definedName>
    <definedName name="_xlnm.Print_Area" localSheetId="2">'Figure 1'!$A$1:$G$38</definedName>
    <definedName name="_xlnm.Print_Area" localSheetId="4">'Figure 3'!$A$1:$H$49</definedName>
    <definedName name="_xlnm.Print_Area" localSheetId="6">'Figure 5'!$A$1:$I$47</definedName>
    <definedName name="_xlnm.Print_Area" localSheetId="7">'Figure 6'!$A$1:$I$13</definedName>
    <definedName name="_xlnm.Print_Area" localSheetId="8">'Figure 7'!$A$1:$I$17</definedName>
    <definedName name="_xlnm.Print_Area" localSheetId="10">'Figure 9'!#REF!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3" l="1"/>
  <c r="C11" i="53"/>
  <c r="C12" i="53"/>
  <c r="C13" i="53"/>
  <c r="C9" i="53"/>
</calcChain>
</file>

<file path=xl/sharedStrings.xml><?xml version="1.0" encoding="utf-8"?>
<sst xmlns="http://schemas.openxmlformats.org/spreadsheetml/2006/main" count="338" uniqueCount="222">
  <si>
    <t>1999-00</t>
  </si>
  <si>
    <t>2000-01</t>
  </si>
  <si>
    <t>2001-02</t>
  </si>
  <si>
    <t>2002-03</t>
  </si>
  <si>
    <t>2003-04</t>
  </si>
  <si>
    <t>Scotland</t>
  </si>
  <si>
    <t>Aberdeen City</t>
  </si>
  <si>
    <t>Aberdeenshire</t>
  </si>
  <si>
    <t>Argyll &amp; Bute</t>
  </si>
  <si>
    <t>Dumfries &amp; Galloway</t>
  </si>
  <si>
    <t>East Dunbartonshire</t>
  </si>
  <si>
    <t>Highland</t>
  </si>
  <si>
    <t>Inverclyde</t>
  </si>
  <si>
    <t>Shetland Islands</t>
  </si>
  <si>
    <t>2004-05</t>
  </si>
  <si>
    <t>2007-08</t>
  </si>
  <si>
    <t>2006-07</t>
  </si>
  <si>
    <t>2005-06</t>
  </si>
  <si>
    <t>2008-09</t>
  </si>
  <si>
    <t>2009-10</t>
  </si>
  <si>
    <t>2010-11</t>
  </si>
  <si>
    <t>2011-12</t>
  </si>
  <si>
    <t>2012-13</t>
  </si>
  <si>
    <t>2013-14</t>
  </si>
  <si>
    <t>Percentage collected after billing year</t>
  </si>
  <si>
    <t>2014-15</t>
  </si>
  <si>
    <t>2015-16</t>
  </si>
  <si>
    <t>Net amount 
billed (£000s)</t>
  </si>
  <si>
    <t>Year to which 
bill refers</t>
  </si>
  <si>
    <t>Notes</t>
  </si>
  <si>
    <t>Percentage collected 
in billing year</t>
  </si>
  <si>
    <t>Percentage</t>
  </si>
  <si>
    <t>received as</t>
  </si>
  <si>
    <t>at year end</t>
  </si>
  <si>
    <t>(31 March)</t>
  </si>
  <si>
    <t>Min</t>
  </si>
  <si>
    <t>For commentary and advice on these statistics please refer to the main publication.</t>
  </si>
  <si>
    <t>Contents</t>
  </si>
  <si>
    <t>For commentary and further details on these statistics please refer to the main publication.</t>
  </si>
  <si>
    <t>4. Enquiries</t>
  </si>
  <si>
    <t>Copies of this publication are available on the Scottish Government's website at:</t>
  </si>
  <si>
    <t>For enquiries about this publication, please contact:</t>
  </si>
  <si>
    <t xml:space="preserve">The Scottish Government's Council Tax Receipts Return (CTRR) collects data from local authorities on the total amounts of Council Tax billed and the total amounts </t>
  </si>
  <si>
    <t xml:space="preserve">As part of the quality assurance procedure, the Scottish Government carries out validation checks on the incoming data to identify possible errors. Potential problems </t>
  </si>
  <si>
    <t xml:space="preserve">are identified in a number of ways, including comparing the data received to: other known sources; data from previous years; and data from other local authorities. </t>
  </si>
  <si>
    <t>the Scottish Government website:</t>
  </si>
  <si>
    <t>Further information on Sources, Uses and Quality of Local Government Finance National Statistics can be found on the Local Government Finance Statistics pages of</t>
  </si>
  <si>
    <t xml:space="preserve">Where appropriate, views are also sought from policy colleagues – for example where a change in the data may be attributable to a policy change. To ensure the data </t>
  </si>
  <si>
    <t>2. Data Definitions</t>
  </si>
  <si>
    <t>3. Data Sources</t>
  </si>
  <si>
    <t>Directors of Finance and follow accountancy standards where applicable. Final audited figures will be published by the Scottish Government later in the year.</t>
  </si>
  <si>
    <t>Total for 
previous years</t>
  </si>
  <si>
    <t>Years</t>
  </si>
  <si>
    <t>Previous</t>
  </si>
  <si>
    <t>2016-17</t>
  </si>
  <si>
    <t>2017-18</t>
  </si>
  <si>
    <t xml:space="preserve"> </t>
  </si>
  <si>
    <t xml:space="preserve">2016-17 </t>
  </si>
  <si>
    <t>2018-19</t>
  </si>
  <si>
    <t xml:space="preserve">2017-18 </t>
  </si>
  <si>
    <t>Argyll and Bute</t>
  </si>
  <si>
    <t>2019-20</t>
  </si>
  <si>
    <t xml:space="preserve">collected for all years from 1999-00 to date - their continued cooperation is gratefully acknowledged.  </t>
  </si>
  <si>
    <t>The number of years covered by this return has been reduced as earlier years collections data is now fairly static. Years prior to 1999-00 have been archived.</t>
  </si>
  <si>
    <t xml:space="preserve">Data is requested from 1999-00 in line with the Scottish Parliament being established and the period of time over which Council Tax arrears can be pursued. </t>
  </si>
  <si>
    <t>is of a high quality, the Scottish Government then works with the relevant local authorities to resolve any data issues identified.</t>
  </si>
  <si>
    <t xml:space="preserve">2018-19 </t>
  </si>
  <si>
    <t>Proportion</t>
  </si>
  <si>
    <t>Council Tax</t>
  </si>
  <si>
    <t>Amount recv'd 
(£000s) as at
31 March 2019</t>
  </si>
  <si>
    <t>Amount 
uncollected 
(£000s) as at 
31 March 2019</t>
  </si>
  <si>
    <t>1998-99</t>
  </si>
  <si>
    <t>1997-98</t>
  </si>
  <si>
    <t>1996-97</t>
  </si>
  <si>
    <t>1993-94 to 1995-96</t>
  </si>
  <si>
    <t>Archived data -   Table 1: Council Tax billed and received as at March 2019</t>
  </si>
  <si>
    <t>Archived data as at 31 March 2019</t>
  </si>
  <si>
    <t>https://www.gov.scot/publications/local-government-finance-statistics-methodology-and-background/</t>
  </si>
  <si>
    <t xml:space="preserve">Should you require analysis that does not appear in this spreadsheet then please contact: </t>
  </si>
  <si>
    <t>2020-21</t>
  </si>
  <si>
    <t xml:space="preserve">2019-20 </t>
  </si>
  <si>
    <t xml:space="preserve">  </t>
  </si>
  <si>
    <t>Return to Contents</t>
  </si>
  <si>
    <t/>
  </si>
  <si>
    <t>NDR Distributable Amount</t>
  </si>
  <si>
    <t>Total General Funding</t>
  </si>
  <si>
    <t>https://www.gov.scot/collections/local-government-finance-statistics/#counciltax</t>
  </si>
  <si>
    <t>2021-22</t>
  </si>
  <si>
    <t>The figures are before any amounts written off for bad or doubtful debt. They reflect any correction to liabilities following billing.</t>
  </si>
  <si>
    <t>Other Funding</t>
  </si>
  <si>
    <t>Percentage 
received as at
31 March 2019</t>
  </si>
  <si>
    <t>Local authorities have reported their collection rates on a 'line by line' accounting basis for:</t>
  </si>
  <si>
    <r>
      <t xml:space="preserve">All figures are </t>
    </r>
    <r>
      <rPr>
        <b/>
        <sz val="12"/>
        <rFont val="Arial"/>
        <family val="2"/>
      </rPr>
      <t>net</t>
    </r>
    <r>
      <rPr>
        <sz val="12"/>
        <rFont val="Arial"/>
        <family val="2"/>
      </rPr>
      <t xml:space="preserve"> of discounts (e.g. single person discount), exemptions and surcharges.</t>
    </r>
  </si>
  <si>
    <t>Angus</t>
  </si>
  <si>
    <t>City of Edinburgh</t>
  </si>
  <si>
    <t>Clackmannanshire</t>
  </si>
  <si>
    <t>Dundee City</t>
  </si>
  <si>
    <t>East Ayrshire</t>
  </si>
  <si>
    <t>East Lothian</t>
  </si>
  <si>
    <t>East Renfrewshire</t>
  </si>
  <si>
    <t>Falkirk</t>
  </si>
  <si>
    <t>Fife</t>
  </si>
  <si>
    <t>Glasgow City</t>
  </si>
  <si>
    <t>Midlothian</t>
  </si>
  <si>
    <t>Moray</t>
  </si>
  <si>
    <t>Na h-Eileanan Siar</t>
  </si>
  <si>
    <t>North Ayrshire</t>
  </si>
  <si>
    <t>North Lanarkshire</t>
  </si>
  <si>
    <t>Perth &amp; Kinross</t>
  </si>
  <si>
    <t>Renfrewshire</t>
  </si>
  <si>
    <t>Scottish Borders</t>
  </si>
  <si>
    <t>South Ayrshire</t>
  </si>
  <si>
    <t>South Lanarkshire</t>
  </si>
  <si>
    <t>Stirling</t>
  </si>
  <si>
    <t>West Dunbartonshire</t>
  </si>
  <si>
    <t>West Lothian</t>
  </si>
  <si>
    <r>
      <t xml:space="preserve">Source: </t>
    </r>
    <r>
      <rPr>
        <sz val="12"/>
        <rFont val="Arial"/>
        <family val="2"/>
      </rPr>
      <t>Council Tax Receipts Return (CTRR)</t>
    </r>
  </si>
  <si>
    <r>
      <rPr>
        <b/>
        <sz val="12"/>
        <color theme="1"/>
        <rFont val="Arial"/>
        <family val="2"/>
      </rPr>
      <t xml:space="preserve">Source: </t>
    </r>
    <r>
      <rPr>
        <sz val="12"/>
        <color theme="1"/>
        <rFont val="Arial"/>
        <family val="2"/>
      </rPr>
      <t>LFR A0</t>
    </r>
  </si>
  <si>
    <t>Years prior to the latest year are closer to final collection rates as local authorities have had longer to collect late payments.</t>
  </si>
  <si>
    <t>Figures for amounts billed and collected up to and including 1995-96 include Council Water Charges</t>
  </si>
  <si>
    <t>Dumfries and Galloway has only provided figures from 1996-97 onwards</t>
  </si>
  <si>
    <t>For years prior to 1996-97, surcharges have been included for Aberdeenshire, Argyll and Bute, East Lothian, East Renfrewshire, Eilean Siar, Fife, North Ayrshire, Renfrewshire, Scottish Borders and Shetland Islands.</t>
  </si>
  <si>
    <t>2022-23</t>
  </si>
  <si>
    <t>Tax account, so could contribute towards their Council Tax liability and/or water and sewerage charges.</t>
  </si>
  <si>
    <t>Eligible households included those in Council Tax bands A-D or in receipt of a Council Tax Reduction (CTR) and for whom payment was made as a credit to their Council</t>
  </si>
  <si>
    <t>All figures are net of discounts (e.g. single person discount) and exemptions. They are after Council Tax Benefit/Reduction and exclude Water and Sewerage Charges but will</t>
  </si>
  <si>
    <t>their Council Tax (but not Water and Sewerage).</t>
  </si>
  <si>
    <t>as part payment of their Council Tax.</t>
  </si>
  <si>
    <t>Figures exclude Council Tax Benefit/Reduction and Water and Sewerage Charges but will include any Cost of Living payments used to meet individual Council Tax liabilities.</t>
  </si>
  <si>
    <t xml:space="preserve">Figures exclude Council Tax Benefit/Reduction and Water and Sewerage Charges but will include any Cost of Living payments used to meet individual Council Tax liabilities.  </t>
  </si>
  <si>
    <t xml:space="preserve">Figures exclude Council Tax Benefit/Reduction and Water and Sewerage Charges but will include any Cost of Living payments used to meet individual Council Tax liabilities. </t>
  </si>
  <si>
    <t>lgfstats@gov.scot</t>
  </si>
  <si>
    <t>1. An Accredited Official Statistics Publication for Scotland</t>
  </si>
  <si>
    <t>Statistics on Local Government Finance and Council Tax Collection in Scotland were assessed together on 28 June 2012.   </t>
  </si>
  <si>
    <t>Assessment Report 225 - Statistics on Local Government Finance and Council Tax Collection in Scotland (statisticsauthority.gov.uk)</t>
  </si>
  <si>
    <t xml:space="preserve">These statistics are accredited official statistics. </t>
  </si>
  <si>
    <t xml:space="preserve">The Office for Statistics Regulation has independently reviewed and accredited these statistics as complying with the </t>
  </si>
  <si>
    <t>standards of trustworthiness, quality, and value in the Code of Practice for Statistics.</t>
  </si>
  <si>
    <t>2023-24</t>
  </si>
  <si>
    <t>Figure 1: Council Tax billed and received</t>
  </si>
  <si>
    <t>Figure 3: In-year Council Tax percentage received, by year to which the bill refers by Local Authority</t>
  </si>
  <si>
    <r>
      <t xml:space="preserve">include any </t>
    </r>
    <r>
      <rPr>
        <b/>
        <sz val="13"/>
        <color theme="1"/>
        <rFont val="Arial"/>
        <family val="2"/>
      </rPr>
      <t>Cost of Living payments</t>
    </r>
    <r>
      <rPr>
        <sz val="13"/>
        <color theme="1"/>
        <rFont val="Arial"/>
        <family val="2"/>
      </rPr>
      <t xml:space="preserve"> used to meet individual Council Tax liabilities. Therefore, the amounts billed represent what those liable have been asked to pay towards </t>
    </r>
  </si>
  <si>
    <r>
      <t xml:space="preserve">The </t>
    </r>
    <r>
      <rPr>
        <b/>
        <sz val="13"/>
        <rFont val="Arial"/>
        <family val="2"/>
      </rPr>
      <t>Cost of Living payment</t>
    </r>
    <r>
      <rPr>
        <sz val="13"/>
        <color theme="1"/>
        <rFont val="Arial"/>
        <family val="2"/>
      </rPr>
      <t xml:space="preserve"> was a single £150 Council Tax payment made to eligible households in April 2022 by local authorities on behalf of the Scottish Government.</t>
    </r>
  </si>
  <si>
    <r>
      <t xml:space="preserve">The CTRR data is collected after the end of the financial year, but </t>
    </r>
    <r>
      <rPr>
        <b/>
        <sz val="13"/>
        <color indexed="8"/>
        <rFont val="Arial"/>
        <family val="2"/>
      </rPr>
      <t>before audit, and is therefore provisional</t>
    </r>
    <r>
      <rPr>
        <sz val="13"/>
        <color indexed="8"/>
        <rFont val="Arial"/>
        <family val="2"/>
      </rPr>
      <t xml:space="preserve">. These financial returns are approved by local authority </t>
    </r>
  </si>
  <si>
    <t>General Funding Source</t>
  </si>
  <si>
    <t>General Revenue Grant (GRG)</t>
  </si>
  <si>
    <t>This worksheet contains one table. Please note the following:</t>
  </si>
  <si>
    <t xml:space="preserve">Na h-Eileanan Siar </t>
  </si>
  <si>
    <t>Dumfries and Galloway (l)</t>
  </si>
  <si>
    <t xml:space="preserve">Midlothian </t>
  </si>
  <si>
    <t>Perth and Kinross (l)</t>
  </si>
  <si>
    <t xml:space="preserve">Stirling </t>
  </si>
  <si>
    <t xml:space="preserve">Falkirk </t>
  </si>
  <si>
    <t>Figure 2 is an accessible chart and is available in the main publication</t>
  </si>
  <si>
    <t>Figure 4 is an accessible chart and is available in the main publication</t>
  </si>
  <si>
    <t>Figure 9 is an accessible chart and is available in the main publication</t>
  </si>
  <si>
    <t>Figure 2: Council Tax Billed Continues to Rise</t>
  </si>
  <si>
    <t xml:space="preserve">Figure 9: Bands B and E have the potential to yield the most Council Tax  </t>
  </si>
  <si>
    <r>
      <t xml:space="preserve">The 2022-23 collection rate is affected by households using the £150 </t>
    </r>
    <r>
      <rPr>
        <b/>
        <sz val="13"/>
        <color theme="1"/>
        <rFont val="Arial"/>
        <family val="2"/>
      </rPr>
      <t xml:space="preserve">Cost of Living payment, </t>
    </r>
    <r>
      <rPr>
        <sz val="13"/>
        <color theme="1"/>
        <rFont val="Arial"/>
        <family val="2"/>
      </rPr>
      <t>administered by local authorities on behalf of the Scottish Government.</t>
    </r>
  </si>
  <si>
    <r>
      <t xml:space="preserve">Source: </t>
    </r>
    <r>
      <rPr>
        <sz val="12"/>
        <rFont val="Arial"/>
        <family val="2"/>
      </rPr>
      <t>Council Tax Receipts Return (CTRR)</t>
    </r>
    <r>
      <rPr>
        <b/>
        <sz val="12"/>
        <rFont val="Arial"/>
        <family val="2"/>
      </rPr>
      <t xml:space="preserve">  </t>
    </r>
  </si>
  <si>
    <t>2024-25</t>
  </si>
  <si>
    <r>
      <t xml:space="preserve">Source: </t>
    </r>
    <r>
      <rPr>
        <sz val="12"/>
        <rFont val="Arial"/>
        <family val="2"/>
      </rPr>
      <t xml:space="preserve"> Council Tax Receipts Return (CTRR)</t>
    </r>
  </si>
  <si>
    <t>CTRR is the source of the data.</t>
  </si>
  <si>
    <t>Figure 4: In-year Council Tax collection remains steady</t>
  </si>
  <si>
    <r>
      <t xml:space="preserve">All figures are </t>
    </r>
    <r>
      <rPr>
        <b/>
        <sz val="12"/>
        <color theme="1"/>
        <rFont val="Arial"/>
        <family val="2"/>
      </rPr>
      <t>net</t>
    </r>
    <r>
      <rPr>
        <sz val="12"/>
        <color theme="1"/>
        <rFont val="Arial"/>
        <family val="2"/>
      </rPr>
      <t xml:space="preserve"> of discounts (e.g. single person discount), exemptions and surcharges.</t>
    </r>
  </si>
  <si>
    <r>
      <t xml:space="preserve">Source: </t>
    </r>
    <r>
      <rPr>
        <sz val="12"/>
        <color theme="1"/>
        <rFont val="Arial"/>
        <family val="2"/>
      </rPr>
      <t>Council Tax Receipts Return (CTRR)</t>
    </r>
  </si>
  <si>
    <t>1999-00 to 2024-25</t>
  </si>
  <si>
    <t>Figures from 2005-06 onwards include additional amounts in respect of reduced Second Home/Long Term Empty property discounts and premiums.</t>
  </si>
  <si>
    <t>Latest Year to 
31 March 2026</t>
  </si>
  <si>
    <t>2025-26</t>
  </si>
  <si>
    <t>Amount recv'd 
(£000s) as at
31 March 2026</t>
  </si>
  <si>
    <t>Amount 
uncollected 
(£000s) as at 
31 March 2026</t>
  </si>
  <si>
    <t>Percentage 
received as at
31 March 2026</t>
  </si>
  <si>
    <t>1999-00 to 2025-26</t>
  </si>
  <si>
    <t>Total for all years 
to 31 March 2026</t>
  </si>
  <si>
    <t xml:space="preserve">Note - Comhairle nan Eilean Siar suffered a cyber-attack in 2023.  The data presented for the years prior to this are as they were at the time of the attack.  </t>
  </si>
  <si>
    <t>However, due to the attack, Comhairle nan Eilean Siar are unable to attribute these payments to the years they apply to.</t>
  </si>
  <si>
    <t>This worksheet contains one table.</t>
  </si>
  <si>
    <t>Please note that 'Other Funding' includes government grants paid to joint boards, income received through NDR TIF and NDRIS schemes plus capital to revenue transfers.</t>
  </si>
  <si>
    <t>Figure 5: Percentage of Council Tax received as at 31 March 2026, by year to which the bill refers and Local Authority</t>
  </si>
  <si>
    <t xml:space="preserve">Figure 7: Percentage of Council Tax received as at 31 March each year, by year to which the bill refers </t>
  </si>
  <si>
    <t>Figure 8 is an accessible chart and is available in the main publication</t>
  </si>
  <si>
    <t>Figures 2, 4, 8 and 9 are accessible charts and feature in the main publication only.</t>
  </si>
  <si>
    <t>Figure 6: In-year Council Tax percentage received and total Council Tax percentage received as at 31 March 2026, by year to which the bill refers</t>
  </si>
  <si>
    <t>Figure 7: Percentage of Council Tax received as at 31 March each year, by year to which the bill refers</t>
  </si>
  <si>
    <t xml:space="preserve">Figure 8: An increasing proportion of 2014-15 Council Tax has been collected over the past twelve years </t>
  </si>
  <si>
    <t>Figure 10: Local Authority Revenue Funding, 2024-25</t>
  </si>
  <si>
    <t>Council Tax Collection Statistics, 2025-26</t>
  </si>
  <si>
    <t>This workbook contains data tables for Council Tax Collection Statistics 2025-26, published as part of the Accredited Official Statistics Publication:</t>
  </si>
  <si>
    <t>The Council Tax Receipts Return (CTRR) Q4 2025-26 was issued to local authorities in April 2026 and relates to their Council Tax billing and receipts to 31 March 2026.</t>
  </si>
  <si>
    <t>The 2025-26 collection rate is typically lower since it is effectively the in-year collection rate (i.e. before any late payments).</t>
  </si>
  <si>
    <t>Years prior to 2025-26 are closer to final collection rates as local authorities have had longer to collect late payments.</t>
  </si>
  <si>
    <t>Figures for 2025-26 are provisional</t>
  </si>
  <si>
    <t>(c) 2014-15 (d) 2015-16 (e) 2016-17 (f) 2017-18 (g) 2018-19 (h) 2019-20 (i) 2020-21 (j) 2021-22 (k) 2022-23 (l) 2023-24 (m) 2024-25 (n) 2025-26</t>
  </si>
  <si>
    <r>
      <t xml:space="preserve">Source: </t>
    </r>
    <r>
      <rPr>
        <sz val="12"/>
        <color theme="1"/>
        <rFont val="Arial"/>
        <family val="2"/>
      </rPr>
      <t xml:space="preserve"> Council Tax Receipts Return (CTRR)</t>
    </r>
  </si>
  <si>
    <t>Angus (c-n)</t>
  </si>
  <si>
    <t>City of Edinburgh (l-n)</t>
  </si>
  <si>
    <t>Clackmannanshire (c-n)</t>
  </si>
  <si>
    <t>Dundee City (c-n)</t>
  </si>
  <si>
    <t>East Ayrshire (c-n)</t>
  </si>
  <si>
    <t>East Lothian (e-n)</t>
  </si>
  <si>
    <t>East Renfrewshire (c-n)</t>
  </si>
  <si>
    <t>Fife (c-n)</t>
  </si>
  <si>
    <t>Glasgow City (c-n)</t>
  </si>
  <si>
    <t>Moray (c-n)</t>
  </si>
  <si>
    <t>North Ayrshire (c-n)</t>
  </si>
  <si>
    <t>North Lanarkshire (c-n)</t>
  </si>
  <si>
    <t>Renfrewshire (c-n)</t>
  </si>
  <si>
    <t>Scottish Borders (g-n)</t>
  </si>
  <si>
    <t>Shetland Islands (n)</t>
  </si>
  <si>
    <t>South Ayrshire (e-n)</t>
  </si>
  <si>
    <t>South Lanarkshire (c-n)</t>
  </si>
  <si>
    <t>West Dunbartonshire (l-n)</t>
  </si>
  <si>
    <t>West Lothian (l-m)</t>
  </si>
  <si>
    <t>Figure 5:  Percentage of Council Tax received as at 31 March 2026, by year to which the bill refers and Local Authority</t>
  </si>
  <si>
    <t>Percentage received as at 31 March 2026</t>
  </si>
  <si>
    <t xml:space="preserve">There have been further payments received and adjustments made for these historic years.  The balance is decreasing and money is being collected.  </t>
  </si>
  <si>
    <t>Orkney Islands (c-n) *</t>
  </si>
  <si>
    <t>Orkney Islands*</t>
  </si>
  <si>
    <t>* Further to the original publication of this report, Orkney Islands Council provided revised figures - their in-year collection rate for 2025-26 is 96.2%.</t>
  </si>
  <si>
    <t xml:space="preserve">* Further to the original publication of this report, Orkney Islands Council provided revised figures - their collection rate for 2025-26 is 96.2% and for 2024-25 is 97.8%. </t>
  </si>
  <si>
    <t>Note - Orkney Islands Council submitted a revised return on 19 June 2026, after the original publication (see notes on Figure 3 and Figure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</si>
</sst>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.0"/>
    <numFmt numFmtId="166" formatCode="#,##0_ ;\-#,##0\ "/>
    <numFmt numFmtId="167" formatCode="#,##0.00000"/>
    <numFmt numFmtId="168" formatCode="0.00000000000"/>
    <numFmt numFmtId="169" formatCode="0.0%"/>
    <numFmt numFmtId="170" formatCode="#,##0;\-#,##0;\-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7.5"/>
      <color indexed="12"/>
      <name val="Times New Roman"/>
      <family val="1"/>
    </font>
    <font>
      <sz val="9"/>
      <name val="Arial"/>
      <family val="2"/>
    </font>
    <font>
      <u/>
      <sz val="12"/>
      <color indexed="12"/>
      <name val="Arial"/>
      <family val="2"/>
    </font>
    <font>
      <sz val="10"/>
      <name val="Geneva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2"/>
      <color theme="0" tint="-0.499984740745262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0"/>
      <name val="Arial"/>
      <family val="2"/>
    </font>
    <font>
      <sz val="10"/>
      <color rgb="FF00B050"/>
      <name val="Arial"/>
      <family val="2"/>
    </font>
    <font>
      <sz val="9"/>
      <color theme="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Arial"/>
      <family val="2"/>
    </font>
    <font>
      <sz val="10"/>
      <color theme="4"/>
      <name val="Arial"/>
      <family val="2"/>
    </font>
    <font>
      <u/>
      <sz val="12"/>
      <color rgb="FF0563C1"/>
      <name val="Arial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4"/>
      <name val="Arial"/>
      <family val="2"/>
    </font>
    <font>
      <sz val="10"/>
      <color theme="0" tint="-0.34998626667073579"/>
      <name val="Arial"/>
      <family val="2"/>
    </font>
    <font>
      <sz val="8"/>
      <name val="Arial"/>
      <family val="2"/>
    </font>
    <font>
      <sz val="13"/>
      <name val="Arial"/>
      <family val="2"/>
    </font>
    <font>
      <u/>
      <sz val="13"/>
      <color indexed="12"/>
      <name val="Arial"/>
      <family val="2"/>
    </font>
    <font>
      <sz val="13"/>
      <color rgb="FFFF0000"/>
      <name val="Arial"/>
      <family val="2"/>
    </font>
    <font>
      <sz val="13"/>
      <color theme="1"/>
      <name val="Arial"/>
      <family val="2"/>
    </font>
    <font>
      <sz val="13"/>
      <color theme="0" tint="-0.499984740745262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u/>
      <sz val="13"/>
      <color rgb="FF0000FF"/>
      <name val="Arial"/>
      <family val="2"/>
    </font>
    <font>
      <b/>
      <sz val="13"/>
      <color indexed="8"/>
      <name val="Arial"/>
      <family val="2"/>
    </font>
    <font>
      <sz val="13"/>
      <color indexed="8"/>
      <name val="Arial"/>
      <family val="2"/>
    </font>
    <font>
      <u/>
      <sz val="13"/>
      <color theme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2"/>
      <name val="Aptos"/>
      <family val="2"/>
    </font>
    <font>
      <b/>
      <sz val="10"/>
      <color theme="1"/>
      <name val="Arial"/>
      <family val="2"/>
    </font>
    <font>
      <sz val="13"/>
      <color rgb="FF7030A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486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6" fillId="0" borderId="0"/>
    <xf numFmtId="0" fontId="32" fillId="0" borderId="0" applyNumberFormat="0" applyFill="0" applyBorder="0" applyAlignment="0" applyProtection="0"/>
    <xf numFmtId="0" fontId="2" fillId="0" borderId="0"/>
    <xf numFmtId="0" fontId="17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6" fillId="0" borderId="4" applyNumberFormat="0" applyFill="0" applyAlignment="0" applyProtection="0"/>
    <xf numFmtId="43" fontId="1" fillId="0" borderId="0" applyFont="0" applyFill="0" applyBorder="0" applyAlignment="0" applyProtection="0"/>
    <xf numFmtId="9" fontId="51" fillId="0" borderId="0" applyFont="0" applyFill="0" applyBorder="0" applyAlignment="0" applyProtection="0"/>
  </cellStyleXfs>
  <cellXfs count="241">
    <xf numFmtId="0" fontId="0" fillId="0" borderId="0" xfId="0"/>
    <xf numFmtId="0" fontId="4" fillId="0" borderId="0" xfId="0" applyFont="1" applyAlignment="1">
      <alignment vertical="center"/>
    </xf>
    <xf numFmtId="0" fontId="10" fillId="0" borderId="0" xfId="0" quotePrefix="1" applyFont="1" applyAlignment="1">
      <alignment horizontal="right" vertical="center"/>
    </xf>
    <xf numFmtId="165" fontId="12" fillId="0" borderId="0" xfId="0" applyNumberFormat="1" applyFo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vertical="center"/>
    </xf>
    <xf numFmtId="164" fontId="0" fillId="0" borderId="0" xfId="0" applyNumberFormat="1"/>
    <xf numFmtId="164" fontId="8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7" fillId="0" borderId="0" xfId="0" applyFont="1"/>
    <xf numFmtId="165" fontId="6" fillId="0" borderId="0" xfId="0" applyNumberFormat="1" applyFont="1"/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14" fillId="0" borderId="0" xfId="0" applyFont="1" applyAlignment="1">
      <alignment vertical="center"/>
    </xf>
    <xf numFmtId="0" fontId="6" fillId="2" borderId="0" xfId="2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0" fillId="0" borderId="0" xfId="0" applyFont="1" applyAlignment="1">
      <alignment vertical="center"/>
    </xf>
    <xf numFmtId="0" fontId="26" fillId="2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42"/>
    <xf numFmtId="0" fontId="19" fillId="3" borderId="0" xfId="42" applyFont="1" applyFill="1" applyAlignment="1">
      <alignment horizontal="right" vertical="center" wrapText="1"/>
    </xf>
    <xf numFmtId="0" fontId="19" fillId="3" borderId="0" xfId="42" applyFont="1" applyFill="1" applyAlignment="1">
      <alignment horizontal="left" vertical="center" wrapText="1"/>
    </xf>
    <xf numFmtId="0" fontId="4" fillId="2" borderId="0" xfId="42" applyFill="1"/>
    <xf numFmtId="0" fontId="4" fillId="2" borderId="0" xfId="42" applyFill="1" applyAlignment="1">
      <alignment vertical="center"/>
    </xf>
    <xf numFmtId="2" fontId="4" fillId="4" borderId="0" xfId="42" applyNumberFormat="1" applyFill="1" applyAlignment="1">
      <alignment horizontal="left" vertical="center" wrapText="1"/>
    </xf>
    <xf numFmtId="166" fontId="4" fillId="4" borderId="0" xfId="42" applyNumberFormat="1" applyFill="1" applyAlignment="1">
      <alignment horizontal="right" vertical="center" wrapText="1"/>
    </xf>
    <xf numFmtId="166" fontId="4" fillId="4" borderId="0" xfId="42" quotePrefix="1" applyNumberFormat="1" applyFill="1" applyAlignment="1">
      <alignment horizontal="right" vertical="center" wrapText="1"/>
    </xf>
    <xf numFmtId="0" fontId="4" fillId="0" borderId="0" xfId="42" applyAlignment="1">
      <alignment vertical="center"/>
    </xf>
    <xf numFmtId="165" fontId="4" fillId="0" borderId="0" xfId="42" applyNumberFormat="1" applyAlignment="1">
      <alignment vertical="center"/>
    </xf>
    <xf numFmtId="0" fontId="8" fillId="0" borderId="0" xfId="42" applyFont="1" applyAlignment="1">
      <alignment vertical="center"/>
    </xf>
    <xf numFmtId="164" fontId="4" fillId="0" borderId="0" xfId="42" applyNumberFormat="1" applyAlignment="1">
      <alignment horizontal="right" vertical="center"/>
    </xf>
    <xf numFmtId="0" fontId="14" fillId="0" borderId="0" xfId="42" quotePrefix="1" applyFont="1" applyAlignment="1">
      <alignment wrapText="1"/>
    </xf>
    <xf numFmtId="0" fontId="14" fillId="0" borderId="0" xfId="42" applyFont="1" applyAlignment="1">
      <alignment vertical="center"/>
    </xf>
    <xf numFmtId="165" fontId="14" fillId="0" borderId="0" xfId="42" applyNumberFormat="1" applyFont="1" applyAlignment="1">
      <alignment vertical="center"/>
    </xf>
    <xf numFmtId="0" fontId="27" fillId="0" borderId="0" xfId="42" applyFont="1" applyAlignment="1">
      <alignment vertical="center"/>
    </xf>
    <xf numFmtId="0" fontId="5" fillId="0" borderId="0" xfId="42" applyFont="1" applyAlignment="1">
      <alignment horizontal="left" vertical="center"/>
    </xf>
    <xf numFmtId="0" fontId="10" fillId="2" borderId="0" xfId="42" quotePrefix="1" applyFont="1" applyFill="1" applyAlignment="1">
      <alignment horizontal="right"/>
    </xf>
    <xf numFmtId="0" fontId="4" fillId="2" borderId="0" xfId="42" quotePrefix="1" applyFill="1"/>
    <xf numFmtId="3" fontId="4" fillId="4" borderId="1" xfId="42" applyNumberFormat="1" applyFill="1" applyBorder="1" applyAlignment="1">
      <alignment horizontal="right" vertical="center"/>
    </xf>
    <xf numFmtId="166" fontId="4" fillId="4" borderId="1" xfId="42" quotePrefix="1" applyNumberFormat="1" applyFill="1" applyBorder="1" applyAlignment="1">
      <alignment horizontal="right" vertical="center" wrapText="1"/>
    </xf>
    <xf numFmtId="164" fontId="4" fillId="4" borderId="1" xfId="42" quotePrefix="1" applyNumberFormat="1" applyFill="1" applyBorder="1" applyAlignment="1">
      <alignment horizontal="right" vertical="center" wrapText="1"/>
    </xf>
    <xf numFmtId="166" fontId="4" fillId="4" borderId="1" xfId="42" applyNumberFormat="1" applyFill="1" applyBorder="1" applyAlignment="1">
      <alignment horizontal="right" vertical="center" wrapText="1"/>
    </xf>
    <xf numFmtId="0" fontId="4" fillId="4" borderId="1" xfId="42" applyFill="1" applyBorder="1" applyAlignment="1">
      <alignment horizontal="left" vertical="center" wrapText="1"/>
    </xf>
    <xf numFmtId="0" fontId="26" fillId="2" borderId="0" xfId="42" applyFont="1" applyFill="1" applyAlignment="1">
      <alignment vertical="center"/>
    </xf>
    <xf numFmtId="0" fontId="26" fillId="2" borderId="0" xfId="42" applyFont="1" applyFill="1"/>
    <xf numFmtId="2" fontId="4" fillId="2" borderId="0" xfId="42" applyNumberFormat="1" applyFill="1" applyAlignment="1">
      <alignment horizontal="left" vertical="center" wrapText="1"/>
    </xf>
    <xf numFmtId="166" fontId="4" fillId="2" borderId="0" xfId="42" applyNumberFormat="1" applyFill="1" applyAlignment="1">
      <alignment horizontal="right" vertical="center" wrapText="1"/>
    </xf>
    <xf numFmtId="166" fontId="4" fillId="2" borderId="0" xfId="42" quotePrefix="1" applyNumberFormat="1" applyFill="1" applyAlignment="1">
      <alignment horizontal="right" vertical="center" wrapText="1"/>
    </xf>
    <xf numFmtId="164" fontId="4" fillId="2" borderId="0" xfId="42" quotePrefix="1" applyNumberFormat="1" applyFill="1" applyAlignment="1">
      <alignment horizontal="right" vertical="center" wrapText="1"/>
    </xf>
    <xf numFmtId="164" fontId="4" fillId="4" borderId="0" xfId="42" quotePrefix="1" applyNumberFormat="1" applyFill="1" applyAlignment="1">
      <alignment horizontal="right" vertical="center" wrapText="1"/>
    </xf>
    <xf numFmtId="0" fontId="4" fillId="2" borderId="0" xfId="42" applyFill="1" applyAlignment="1">
      <alignment horizontal="left" vertical="center"/>
    </xf>
    <xf numFmtId="166" fontId="20" fillId="0" borderId="0" xfId="42" applyNumberFormat="1" applyFont="1"/>
    <xf numFmtId="0" fontId="20" fillId="0" borderId="0" xfId="42" applyFont="1"/>
    <xf numFmtId="0" fontId="20" fillId="2" borderId="0" xfId="42" applyFont="1" applyFill="1"/>
    <xf numFmtId="0" fontId="20" fillId="2" borderId="0" xfId="42" applyFont="1" applyFill="1" applyAlignment="1">
      <alignment vertical="center"/>
    </xf>
    <xf numFmtId="168" fontId="20" fillId="2" borderId="0" xfId="42" applyNumberFormat="1" applyFont="1" applyFill="1" applyAlignment="1">
      <alignment vertical="center"/>
    </xf>
    <xf numFmtId="0" fontId="20" fillId="2" borderId="0" xfId="0" applyFont="1" applyFill="1"/>
    <xf numFmtId="0" fontId="31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3" fillId="4" borderId="0" xfId="42" applyFont="1" applyFill="1" applyAlignment="1">
      <alignment vertical="center"/>
    </xf>
    <xf numFmtId="0" fontId="3" fillId="2" borderId="0" xfId="42" applyFont="1" applyFill="1" applyAlignment="1">
      <alignment vertical="center"/>
    </xf>
    <xf numFmtId="0" fontId="3" fillId="0" borderId="0" xfId="42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42" applyFont="1"/>
    <xf numFmtId="164" fontId="3" fillId="0" borderId="0" xfId="42" applyNumberFormat="1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0" borderId="3" xfId="42" applyBorder="1" applyAlignment="1">
      <alignment vertical="center"/>
    </xf>
    <xf numFmtId="164" fontId="3" fillId="0" borderId="0" xfId="42" applyNumberFormat="1" applyFont="1" applyAlignment="1">
      <alignment vertical="center"/>
    </xf>
    <xf numFmtId="164" fontId="3" fillId="0" borderId="2" xfId="42" applyNumberFormat="1" applyFont="1" applyBorder="1" applyAlignment="1">
      <alignment horizontal="right" vertical="center"/>
    </xf>
    <xf numFmtId="0" fontId="28" fillId="2" borderId="0" xfId="51" applyFont="1" applyFill="1" applyAlignment="1">
      <alignment horizontal="right" vertical="center"/>
    </xf>
    <xf numFmtId="0" fontId="28" fillId="2" borderId="0" xfId="51" applyFont="1" applyFill="1" applyAlignment="1">
      <alignment vertical="center"/>
    </xf>
    <xf numFmtId="0" fontId="28" fillId="2" borderId="0" xfId="52" applyFont="1" applyFill="1"/>
    <xf numFmtId="0" fontId="30" fillId="2" borderId="0" xfId="51" applyFont="1" applyFill="1" applyAlignment="1">
      <alignment vertical="center"/>
    </xf>
    <xf numFmtId="0" fontId="11" fillId="2" borderId="0" xfId="40" applyFill="1" applyAlignment="1" applyProtection="1">
      <alignment vertical="center"/>
    </xf>
    <xf numFmtId="0" fontId="33" fillId="2" borderId="0" xfId="51" applyFont="1" applyFill="1" applyAlignment="1">
      <alignment vertical="center"/>
    </xf>
    <xf numFmtId="0" fontId="33" fillId="5" borderId="0" xfId="51" applyFont="1" applyFill="1" applyAlignment="1">
      <alignment vertical="center"/>
    </xf>
    <xf numFmtId="0" fontId="9" fillId="5" borderId="0" xfId="51" applyFont="1" applyFill="1" applyAlignment="1">
      <alignment vertical="center"/>
    </xf>
    <xf numFmtId="0" fontId="9" fillId="5" borderId="0" xfId="51" applyFont="1" applyFill="1" applyAlignment="1">
      <alignment vertical="center" wrapText="1"/>
    </xf>
    <xf numFmtId="0" fontId="34" fillId="2" borderId="0" xfId="51" applyFont="1" applyFill="1" applyAlignment="1">
      <alignment vertical="center"/>
    </xf>
    <xf numFmtId="0" fontId="35" fillId="2" borderId="0" xfId="51" applyFont="1" applyFill="1" applyAlignment="1">
      <alignment vertical="center"/>
    </xf>
    <xf numFmtId="2" fontId="28" fillId="2" borderId="0" xfId="54" applyNumberFormat="1" applyFont="1" applyFill="1" applyBorder="1" applyAlignment="1">
      <alignment vertical="center"/>
    </xf>
    <xf numFmtId="0" fontId="5" fillId="5" borderId="0" xfId="51" quotePrefix="1" applyFont="1" applyFill="1" applyAlignment="1">
      <alignment vertical="center"/>
    </xf>
    <xf numFmtId="0" fontId="5" fillId="5" borderId="0" xfId="51" applyFont="1" applyFill="1" applyAlignment="1">
      <alignment vertical="center"/>
    </xf>
    <xf numFmtId="0" fontId="35" fillId="5" borderId="0" xfId="51" applyFont="1" applyFill="1" applyAlignment="1">
      <alignment vertical="center"/>
    </xf>
    <xf numFmtId="0" fontId="34" fillId="5" borderId="0" xfId="51" quotePrefix="1" applyFont="1" applyFill="1" applyAlignment="1">
      <alignment vertical="center"/>
    </xf>
    <xf numFmtId="10" fontId="28" fillId="2" borderId="0" xfId="54" applyNumberFormat="1" applyFont="1" applyFill="1" applyAlignment="1">
      <alignment vertical="center"/>
    </xf>
    <xf numFmtId="9" fontId="28" fillId="2" borderId="0" xfId="54" applyFont="1" applyFill="1" applyAlignment="1">
      <alignment vertical="center"/>
    </xf>
    <xf numFmtId="170" fontId="28" fillId="2" borderId="0" xfId="51" applyNumberFormat="1" applyFont="1" applyFill="1" applyAlignment="1">
      <alignment vertical="center"/>
    </xf>
    <xf numFmtId="169" fontId="28" fillId="2" borderId="0" xfId="54" applyNumberFormat="1" applyFont="1" applyFill="1" applyAlignment="1">
      <alignment vertical="center"/>
    </xf>
    <xf numFmtId="0" fontId="15" fillId="0" borderId="0" xfId="40" quotePrefix="1" applyFont="1" applyFill="1" applyAlignment="1" applyProtection="1">
      <alignment vertical="center"/>
    </xf>
    <xf numFmtId="0" fontId="37" fillId="2" borderId="0" xfId="55" applyFont="1" applyFill="1" applyBorder="1" applyAlignment="1">
      <alignment vertical="center"/>
    </xf>
    <xf numFmtId="0" fontId="25" fillId="2" borderId="0" xfId="50" applyFont="1" applyFill="1" applyAlignment="1">
      <alignment vertical="center"/>
    </xf>
    <xf numFmtId="0" fontId="12" fillId="2" borderId="0" xfId="40" applyFont="1" applyFill="1" applyAlignment="1" applyProtection="1">
      <alignment vertical="center"/>
    </xf>
    <xf numFmtId="0" fontId="12" fillId="2" borderId="0" xfId="42" quotePrefix="1" applyFont="1" applyFill="1"/>
    <xf numFmtId="0" fontId="6" fillId="2" borderId="0" xfId="42" quotePrefix="1" applyFont="1" applyFill="1" applyAlignment="1">
      <alignment horizontal="left"/>
    </xf>
    <xf numFmtId="0" fontId="12" fillId="0" borderId="0" xfId="42" quotePrefix="1" applyFont="1"/>
    <xf numFmtId="0" fontId="6" fillId="0" borderId="0" xfId="42" applyFont="1" applyAlignment="1">
      <alignment vertical="center"/>
    </xf>
    <xf numFmtId="0" fontId="18" fillId="2" borderId="0" xfId="0" applyFont="1" applyFill="1" applyAlignment="1">
      <alignment vertical="center"/>
    </xf>
    <xf numFmtId="0" fontId="38" fillId="2" borderId="0" xfId="42" applyFont="1" applyFill="1" applyAlignment="1">
      <alignment vertical="center"/>
    </xf>
    <xf numFmtId="3" fontId="38" fillId="2" borderId="0" xfId="42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40" fillId="0" borderId="0" xfId="0" applyFont="1"/>
    <xf numFmtId="0" fontId="40" fillId="0" borderId="0" xfId="0" applyFont="1" applyAlignment="1">
      <alignment vertical="center"/>
    </xf>
    <xf numFmtId="0" fontId="38" fillId="2" borderId="0" xfId="0" applyFont="1" applyFill="1"/>
    <xf numFmtId="164" fontId="20" fillId="0" borderId="0" xfId="0" applyNumberFormat="1" applyFont="1" applyAlignment="1">
      <alignment vertical="center"/>
    </xf>
    <xf numFmtId="0" fontId="12" fillId="2" borderId="0" xfId="0" applyFont="1" applyFill="1" applyAlignment="1">
      <alignment vertical="center"/>
    </xf>
    <xf numFmtId="0" fontId="41" fillId="0" borderId="0" xfId="40" quotePrefix="1" applyFont="1" applyFill="1" applyAlignment="1" applyProtection="1">
      <alignment vertical="center"/>
    </xf>
    <xf numFmtId="0" fontId="40" fillId="2" borderId="0" xfId="2" applyFont="1" applyFill="1"/>
    <xf numFmtId="0" fontId="40" fillId="2" borderId="0" xfId="2" applyFont="1" applyFill="1" applyAlignment="1">
      <alignment wrapText="1"/>
    </xf>
    <xf numFmtId="0" fontId="43" fillId="2" borderId="0" xfId="0" applyFont="1" applyFill="1"/>
    <xf numFmtId="0" fontId="44" fillId="2" borderId="0" xfId="0" applyFont="1" applyFill="1"/>
    <xf numFmtId="0" fontId="41" fillId="2" borderId="0" xfId="40" applyFont="1" applyFill="1" applyAlignment="1" applyProtection="1"/>
    <xf numFmtId="0" fontId="40" fillId="2" borderId="0" xfId="2" applyFont="1" applyFill="1" applyAlignment="1">
      <alignment vertical="top"/>
    </xf>
    <xf numFmtId="0" fontId="40" fillId="2" borderId="0" xfId="2" applyFont="1" applyFill="1" applyAlignment="1">
      <alignment vertical="top" wrapText="1"/>
    </xf>
    <xf numFmtId="0" fontId="41" fillId="0" borderId="0" xfId="40" applyFont="1" applyFill="1" applyAlignment="1" applyProtection="1">
      <alignment wrapText="1"/>
    </xf>
    <xf numFmtId="0" fontId="45" fillId="2" borderId="0" xfId="2" applyFont="1" applyFill="1"/>
    <xf numFmtId="0" fontId="41" fillId="2" borderId="0" xfId="41" applyFont="1" applyFill="1" applyAlignment="1" applyProtection="1">
      <alignment vertical="center"/>
    </xf>
    <xf numFmtId="0" fontId="43" fillId="2" borderId="0" xfId="0" applyFont="1" applyFill="1" applyAlignment="1">
      <alignment vertical="center"/>
    </xf>
    <xf numFmtId="14" fontId="43" fillId="2" borderId="0" xfId="0" applyNumberFormat="1" applyFont="1" applyFill="1" applyAlignment="1">
      <alignment vertical="center"/>
    </xf>
    <xf numFmtId="0" fontId="46" fillId="2" borderId="0" xfId="0" applyFont="1" applyFill="1"/>
    <xf numFmtId="0" fontId="41" fillId="0" borderId="0" xfId="40" applyFont="1" applyAlignment="1" applyProtection="1">
      <alignment vertical="center"/>
    </xf>
    <xf numFmtId="0" fontId="47" fillId="0" borderId="0" xfId="40" applyFont="1" applyAlignment="1" applyProtection="1">
      <alignment vertical="center"/>
    </xf>
    <xf numFmtId="0" fontId="43" fillId="2" borderId="0" xfId="0" applyFont="1" applyFill="1" applyAlignment="1">
      <alignment horizontal="left" vertical="center"/>
    </xf>
    <xf numFmtId="0" fontId="42" fillId="2" borderId="0" xfId="0" applyFont="1" applyFill="1"/>
    <xf numFmtId="0" fontId="40" fillId="2" borderId="0" xfId="42" applyFont="1" applyFill="1"/>
    <xf numFmtId="0" fontId="42" fillId="2" borderId="0" xfId="42" applyFont="1" applyFill="1"/>
    <xf numFmtId="0" fontId="43" fillId="2" borderId="0" xfId="42" applyFont="1" applyFill="1"/>
    <xf numFmtId="0" fontId="43" fillId="2" borderId="0" xfId="42" applyFont="1" applyFill="1" applyAlignment="1">
      <alignment horizontal="left" vertical="center"/>
    </xf>
    <xf numFmtId="0" fontId="50" fillId="2" borderId="0" xfId="40" applyFont="1" applyFill="1" applyBorder="1" applyAlignment="1" applyProtection="1"/>
    <xf numFmtId="169" fontId="4" fillId="0" borderId="0" xfId="57" applyNumberFormat="1" applyFont="1" applyAlignment="1">
      <alignment vertical="center"/>
    </xf>
    <xf numFmtId="169" fontId="31" fillId="0" borderId="0" xfId="57" applyNumberFormat="1" applyFont="1" applyAlignment="1">
      <alignment vertical="center"/>
    </xf>
    <xf numFmtId="0" fontId="3" fillId="4" borderId="0" xfId="42" applyFont="1" applyFill="1" applyAlignment="1">
      <alignment vertical="center" wrapText="1"/>
    </xf>
    <xf numFmtId="0" fontId="52" fillId="6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52" fillId="6" borderId="0" xfId="0" applyFont="1" applyFill="1" applyAlignment="1">
      <alignment horizontal="right" vertical="center"/>
    </xf>
    <xf numFmtId="164" fontId="8" fillId="0" borderId="0" xfId="42" applyNumberFormat="1" applyFont="1" applyAlignment="1">
      <alignment horizontal="right" vertical="center"/>
    </xf>
    <xf numFmtId="164" fontId="3" fillId="4" borderId="0" xfId="42" applyNumberFormat="1" applyFont="1" applyFill="1" applyAlignment="1">
      <alignment horizontal="right" vertical="center"/>
    </xf>
    <xf numFmtId="164" fontId="3" fillId="0" borderId="0" xfId="42" applyNumberFormat="1" applyFont="1" applyAlignment="1">
      <alignment horizontal="right" vertical="center"/>
    </xf>
    <xf numFmtId="164" fontId="3" fillId="2" borderId="0" xfId="42" applyNumberFormat="1" applyFont="1" applyFill="1" applyAlignment="1">
      <alignment horizontal="right" vertical="center"/>
    </xf>
    <xf numFmtId="164" fontId="3" fillId="0" borderId="3" xfId="42" applyNumberFormat="1" applyFont="1" applyBorder="1" applyAlignment="1">
      <alignment horizontal="right" vertical="center"/>
    </xf>
    <xf numFmtId="0" fontId="53" fillId="0" borderId="0" xfId="0" applyFont="1" applyAlignment="1">
      <alignment vertical="center"/>
    </xf>
    <xf numFmtId="0" fontId="3" fillId="0" borderId="3" xfId="42" applyFont="1" applyBorder="1" applyAlignment="1">
      <alignment vertical="center" wrapText="1"/>
    </xf>
    <xf numFmtId="0" fontId="19" fillId="3" borderId="3" xfId="42" applyFont="1" applyFill="1" applyBorder="1" applyAlignment="1">
      <alignment horizontal="right" vertical="center" wrapText="1"/>
    </xf>
    <xf numFmtId="0" fontId="19" fillId="3" borderId="3" xfId="42" applyFont="1" applyFill="1" applyBorder="1" applyAlignment="1">
      <alignment horizontal="left" vertical="center" wrapText="1"/>
    </xf>
    <xf numFmtId="0" fontId="41" fillId="0" borderId="0" xfId="40" applyFont="1" applyFill="1" applyAlignment="1" applyProtection="1">
      <alignment vertical="center"/>
    </xf>
    <xf numFmtId="0" fontId="3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0" fillId="0" borderId="0" xfId="42" applyFont="1" applyAlignment="1">
      <alignment vertical="center"/>
    </xf>
    <xf numFmtId="0" fontId="4" fillId="4" borderId="0" xfId="42" applyFill="1" applyAlignment="1">
      <alignment vertical="center"/>
    </xf>
    <xf numFmtId="164" fontId="8" fillId="0" borderId="0" xfId="0" applyNumberFormat="1" applyFont="1"/>
    <xf numFmtId="0" fontId="43" fillId="2" borderId="0" xfId="2" applyFont="1" applyFill="1"/>
    <xf numFmtId="0" fontId="17" fillId="2" borderId="0" xfId="42" applyFont="1" applyFill="1"/>
    <xf numFmtId="166" fontId="17" fillId="0" borderId="0" xfId="42" applyNumberFormat="1" applyFont="1"/>
    <xf numFmtId="0" fontId="17" fillId="0" borderId="0" xfId="42" applyFont="1"/>
    <xf numFmtId="0" fontId="17" fillId="2" borderId="0" xfId="0" applyFont="1" applyFill="1"/>
    <xf numFmtId="0" fontId="21" fillId="2" borderId="0" xfId="40" applyFont="1" applyFill="1" applyAlignment="1" applyProtection="1">
      <alignment vertical="center"/>
    </xf>
    <xf numFmtId="0" fontId="21" fillId="2" borderId="0" xfId="42" quotePrefix="1" applyFont="1" applyFill="1"/>
    <xf numFmtId="0" fontId="29" fillId="2" borderId="0" xfId="42" quotePrefix="1" applyFont="1" applyFill="1" applyAlignment="1">
      <alignment horizontal="left"/>
    </xf>
    <xf numFmtId="0" fontId="17" fillId="2" borderId="0" xfId="42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54" fillId="2" borderId="0" xfId="42" applyFont="1" applyFill="1" applyAlignment="1">
      <alignment vertical="center" wrapText="1"/>
    </xf>
    <xf numFmtId="0" fontId="17" fillId="4" borderId="0" xfId="0" applyFont="1" applyFill="1" applyAlignment="1">
      <alignment vertical="center"/>
    </xf>
    <xf numFmtId="2" fontId="17" fillId="0" borderId="0" xfId="42" applyNumberFormat="1" applyFont="1" applyAlignment="1">
      <alignment horizontal="left" vertical="center" wrapText="1"/>
    </xf>
    <xf numFmtId="2" fontId="17" fillId="4" borderId="0" xfId="42" applyNumberFormat="1" applyFont="1" applyFill="1" applyAlignment="1">
      <alignment horizontal="left" vertical="center" wrapText="1"/>
    </xf>
    <xf numFmtId="0" fontId="54" fillId="2" borderId="0" xfId="42" quotePrefix="1" applyFont="1" applyFill="1" applyAlignment="1">
      <alignment horizontal="left" vertical="center"/>
    </xf>
    <xf numFmtId="166" fontId="54" fillId="2" borderId="0" xfId="42" quotePrefix="1" applyNumberFormat="1" applyFont="1" applyFill="1" applyAlignment="1">
      <alignment horizontal="left" vertical="center"/>
    </xf>
    <xf numFmtId="166" fontId="17" fillId="2" borderId="0" xfId="42" applyNumberFormat="1" applyFont="1" applyFill="1" applyAlignment="1">
      <alignment vertical="center"/>
    </xf>
    <xf numFmtId="167" fontId="17" fillId="2" borderId="0" xfId="42" applyNumberFormat="1" applyFont="1" applyFill="1" applyAlignment="1">
      <alignment vertical="center"/>
    </xf>
    <xf numFmtId="0" fontId="54" fillId="2" borderId="0" xfId="42" applyFont="1" applyFill="1" applyAlignment="1">
      <alignment vertical="center"/>
    </xf>
    <xf numFmtId="3" fontId="54" fillId="2" borderId="3" xfId="42" applyNumberFormat="1" applyFont="1" applyFill="1" applyBorder="1" applyAlignment="1">
      <alignment horizontal="right" vertical="center" wrapText="1"/>
    </xf>
    <xf numFmtId="169" fontId="54" fillId="2" borderId="3" xfId="57" applyNumberFormat="1" applyFont="1" applyFill="1" applyBorder="1" applyAlignment="1">
      <alignment horizontal="right" vertical="center"/>
    </xf>
    <xf numFmtId="0" fontId="3" fillId="2" borderId="0" xfId="0" applyFont="1" applyFill="1"/>
    <xf numFmtId="165" fontId="3" fillId="0" borderId="0" xfId="42" applyNumberFormat="1" applyFont="1" applyAlignment="1">
      <alignment vertical="center"/>
    </xf>
    <xf numFmtId="0" fontId="3" fillId="0" borderId="0" xfId="42" applyFont="1" applyAlignment="1">
      <alignment vertical="center" wrapText="1"/>
    </xf>
    <xf numFmtId="0" fontId="0" fillId="2" borderId="1" xfId="0" applyFill="1" applyBorder="1" applyAlignment="1">
      <alignment vertical="center"/>
    </xf>
    <xf numFmtId="164" fontId="3" fillId="0" borderId="0" xfId="0" applyNumberFormat="1" applyFont="1"/>
    <xf numFmtId="3" fontId="52" fillId="6" borderId="0" xfId="0" applyNumberFormat="1" applyFont="1" applyFill="1" applyAlignment="1">
      <alignment vertical="center"/>
    </xf>
    <xf numFmtId="0" fontId="21" fillId="4" borderId="0" xfId="0" applyFont="1" applyFill="1" applyAlignment="1">
      <alignment vertical="center"/>
    </xf>
    <xf numFmtId="169" fontId="52" fillId="3" borderId="0" xfId="57" applyNumberFormat="1" applyFont="1" applyFill="1" applyAlignment="1">
      <alignment vertical="center"/>
    </xf>
    <xf numFmtId="3" fontId="0" fillId="0" borderId="0" xfId="0" applyNumberFormat="1" applyAlignment="1">
      <alignment horizontal="right" vertical="center"/>
    </xf>
    <xf numFmtId="169" fontId="0" fillId="0" borderId="0" xfId="57" applyNumberFormat="1" applyFont="1" applyAlignment="1">
      <alignment horizontal="right" vertical="center"/>
    </xf>
    <xf numFmtId="3" fontId="0" fillId="4" borderId="0" xfId="0" applyNumberFormat="1" applyFill="1" applyAlignment="1">
      <alignment horizontal="right" vertical="center"/>
    </xf>
    <xf numFmtId="169" fontId="0" fillId="4" borderId="0" xfId="57" applyNumberFormat="1" applyFont="1" applyFill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9" fontId="0" fillId="0" borderId="1" xfId="57" applyNumberFormat="1" applyFont="1" applyBorder="1" applyAlignment="1">
      <alignment horizontal="right" vertical="center"/>
    </xf>
    <xf numFmtId="2" fontId="17" fillId="0" borderId="1" xfId="42" applyNumberFormat="1" applyFont="1" applyBorder="1" applyAlignment="1">
      <alignment horizontal="left" vertical="center" wrapText="1"/>
    </xf>
    <xf numFmtId="3" fontId="54" fillId="2" borderId="6" xfId="42" applyNumberFormat="1" applyFont="1" applyFill="1" applyBorder="1" applyAlignment="1">
      <alignment horizontal="right" vertical="center" wrapText="1"/>
    </xf>
    <xf numFmtId="169" fontId="54" fillId="2" borderId="6" xfId="57" applyNumberFormat="1" applyFont="1" applyFill="1" applyBorder="1" applyAlignment="1">
      <alignment horizontal="right" vertical="center"/>
    </xf>
    <xf numFmtId="3" fontId="20" fillId="2" borderId="0" xfId="0" applyNumberFormat="1" applyFont="1" applyFill="1"/>
    <xf numFmtId="164" fontId="3" fillId="0" borderId="3" xfId="0" applyNumberFormat="1" applyFont="1" applyBorder="1"/>
    <xf numFmtId="164" fontId="3" fillId="4" borderId="0" xfId="0" applyNumberFormat="1" applyFont="1" applyFill="1"/>
    <xf numFmtId="164" fontId="3" fillId="4" borderId="3" xfId="0" applyNumberFormat="1" applyFont="1" applyFill="1" applyBorder="1"/>
    <xf numFmtId="0" fontId="3" fillId="0" borderId="0" xfId="42" applyFont="1" applyAlignment="1">
      <alignment horizontal="center" vertical="center"/>
    </xf>
    <xf numFmtId="0" fontId="3" fillId="4" borderId="0" xfId="42" applyFont="1" applyFill="1" applyAlignment="1">
      <alignment horizontal="center" vertical="center"/>
    </xf>
    <xf numFmtId="164" fontId="3" fillId="4" borderId="0" xfId="42" applyNumberFormat="1" applyFont="1" applyFill="1" applyAlignment="1">
      <alignment vertical="center"/>
    </xf>
    <xf numFmtId="0" fontId="3" fillId="2" borderId="0" xfId="42" applyFont="1" applyFill="1" applyAlignment="1">
      <alignment horizontal="center" vertical="center"/>
    </xf>
    <xf numFmtId="164" fontId="3" fillId="2" borderId="0" xfId="42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3" fillId="4" borderId="3" xfId="42" applyFont="1" applyFill="1" applyBorder="1" applyAlignment="1">
      <alignment horizontal="center" vertical="center"/>
    </xf>
    <xf numFmtId="0" fontId="55" fillId="2" borderId="0" xfId="2" applyFont="1" applyFill="1" applyAlignment="1">
      <alignment wrapText="1"/>
    </xf>
    <xf numFmtId="0" fontId="24" fillId="2" borderId="0" xfId="2" applyFont="1" applyFill="1"/>
    <xf numFmtId="0" fontId="46" fillId="2" borderId="0" xfId="2" applyFont="1" applyFill="1"/>
    <xf numFmtId="0" fontId="21" fillId="0" borderId="0" xfId="0" applyFont="1" applyAlignment="1">
      <alignment vertical="center"/>
    </xf>
    <xf numFmtId="0" fontId="54" fillId="2" borderId="5" xfId="42" applyFont="1" applyFill="1" applyBorder="1" applyAlignment="1">
      <alignment vertical="center" wrapText="1"/>
    </xf>
    <xf numFmtId="0" fontId="54" fillId="2" borderId="1" xfId="0" applyFont="1" applyFill="1" applyBorder="1" applyAlignment="1">
      <alignment vertical="center"/>
    </xf>
    <xf numFmtId="3" fontId="54" fillId="0" borderId="1" xfId="0" applyNumberFormat="1" applyFont="1" applyBorder="1" applyAlignment="1">
      <alignment horizontal="right" vertical="center"/>
    </xf>
    <xf numFmtId="169" fontId="54" fillId="0" borderId="1" xfId="57" applyNumberFormat="1" applyFont="1" applyBorder="1" applyAlignment="1">
      <alignment horizontal="right" vertical="center"/>
    </xf>
    <xf numFmtId="0" fontId="54" fillId="2" borderId="6" xfId="42" quotePrefix="1" applyFont="1" applyFill="1" applyBorder="1" applyAlignment="1">
      <alignment horizontal="left" vertical="center" wrapText="1"/>
    </xf>
    <xf numFmtId="0" fontId="54" fillId="2" borderId="6" xfId="42" applyFont="1" applyFill="1" applyBorder="1" applyAlignment="1">
      <alignment horizontal="left" vertical="center" wrapText="1"/>
    </xf>
    <xf numFmtId="0" fontId="54" fillId="2" borderId="3" xfId="42" quotePrefix="1" applyFont="1" applyFill="1" applyBorder="1" applyAlignment="1">
      <alignment horizontal="left" vertical="center" wrapText="1"/>
    </xf>
    <xf numFmtId="0" fontId="54" fillId="2" borderId="3" xfId="42" applyFont="1" applyFill="1" applyBorder="1" applyAlignment="1">
      <alignment horizontal="left" vertical="center" wrapText="1"/>
    </xf>
    <xf numFmtId="0" fontId="21" fillId="0" borderId="0" xfId="42" quotePrefix="1" applyFont="1"/>
    <xf numFmtId="0" fontId="21" fillId="0" borderId="0" xfId="42" quotePrefix="1" applyFont="1" applyAlignment="1">
      <alignment horizontal="left"/>
    </xf>
    <xf numFmtId="0" fontId="29" fillId="0" borderId="0" xfId="42" applyFont="1" applyAlignment="1">
      <alignment vertical="center"/>
    </xf>
    <xf numFmtId="0" fontId="17" fillId="4" borderId="0" xfId="42" applyFont="1" applyFill="1" applyAlignment="1">
      <alignment vertical="center"/>
    </xf>
    <xf numFmtId="0" fontId="17" fillId="0" borderId="0" xfId="42" applyFont="1" applyAlignment="1">
      <alignment vertical="center"/>
    </xf>
    <xf numFmtId="0" fontId="17" fillId="0" borderId="2" xfId="42" applyFont="1" applyBorder="1" applyAlignment="1">
      <alignment vertical="center"/>
    </xf>
    <xf numFmtId="0" fontId="24" fillId="2" borderId="0" xfId="55" applyFont="1" applyFill="1" applyBorder="1" applyAlignment="1">
      <alignment vertical="center"/>
    </xf>
    <xf numFmtId="3" fontId="21" fillId="2" borderId="0" xfId="0" applyNumberFormat="1" applyFont="1" applyFill="1" applyAlignment="1">
      <alignment vertical="center"/>
    </xf>
    <xf numFmtId="169" fontId="21" fillId="2" borderId="0" xfId="57" applyNumberFormat="1" applyFont="1" applyFill="1" applyAlignment="1">
      <alignment vertical="center"/>
    </xf>
    <xf numFmtId="3" fontId="21" fillId="4" borderId="0" xfId="0" applyNumberFormat="1" applyFont="1" applyFill="1" applyAlignment="1">
      <alignment vertical="center"/>
    </xf>
    <xf numFmtId="169" fontId="21" fillId="4" borderId="0" xfId="57" applyNumberFormat="1" applyFont="1" applyFill="1" applyAlignment="1">
      <alignment vertical="center"/>
    </xf>
    <xf numFmtId="164" fontId="0" fillId="0" borderId="0" xfId="57" applyNumberFormat="1" applyFont="1" applyAlignment="1">
      <alignment horizontal="right" vertical="center"/>
    </xf>
    <xf numFmtId="164" fontId="8" fillId="0" borderId="0" xfId="57" applyNumberFormat="1" applyFont="1" applyAlignment="1">
      <alignment horizontal="right" vertical="center"/>
    </xf>
    <xf numFmtId="164" fontId="0" fillId="4" borderId="0" xfId="57" applyNumberFormat="1" applyFont="1" applyFill="1" applyAlignment="1">
      <alignment horizontal="right" vertical="center"/>
    </xf>
    <xf numFmtId="164" fontId="0" fillId="0" borderId="3" xfId="57" applyNumberFormat="1" applyFont="1" applyBorder="1" applyAlignment="1">
      <alignment horizontal="right" vertical="center"/>
    </xf>
    <xf numFmtId="164" fontId="3" fillId="0" borderId="0" xfId="57" applyNumberFormat="1" applyFont="1" applyAlignment="1">
      <alignment horizontal="right" vertical="center"/>
    </xf>
    <xf numFmtId="0" fontId="15" fillId="0" borderId="0" xfId="40" applyFont="1" applyAlignment="1" applyProtection="1">
      <alignment vertical="center"/>
    </xf>
    <xf numFmtId="0" fontId="4" fillId="0" borderId="0" xfId="0" applyFont="1" applyAlignment="1">
      <alignment horizontal="center" vertical="center"/>
    </xf>
    <xf numFmtId="0" fontId="19" fillId="3" borderId="0" xfId="42" applyFont="1" applyFill="1" applyAlignment="1">
      <alignment horizontal="center" vertical="center"/>
    </xf>
    <xf numFmtId="0" fontId="12" fillId="0" borderId="0" xfId="0" applyFont="1" applyAlignment="1">
      <alignment vertical="center"/>
    </xf>
  </cellXfs>
  <cellStyles count="58">
    <cellStyle name="%" xfId="1" xr:uid="{00000000-0005-0000-0000-000000000000}"/>
    <cellStyle name="% 2" xfId="2" xr:uid="{00000000-0005-0000-0000-000001000000}"/>
    <cellStyle name="Comma 10" xfId="56" xr:uid="{A626F620-5FAC-4D0F-894C-858415C8FDCE}"/>
    <cellStyle name="Comma 2" xfId="3" xr:uid="{00000000-0005-0000-0000-000002000000}"/>
    <cellStyle name="Comma 2 2" xfId="4" xr:uid="{00000000-0005-0000-0000-000003000000}"/>
    <cellStyle name="Comma 2 2 2" xfId="5" xr:uid="{00000000-0005-0000-0000-000004000000}"/>
    <cellStyle name="Comma 2 2 3" xfId="6" xr:uid="{00000000-0005-0000-0000-000005000000}"/>
    <cellStyle name="Comma 2 2 4" xfId="7" xr:uid="{00000000-0005-0000-0000-000006000000}"/>
    <cellStyle name="Comma 2 2 5" xfId="8" xr:uid="{00000000-0005-0000-0000-000007000000}"/>
    <cellStyle name="Comma 2 2 6" xfId="9" xr:uid="{00000000-0005-0000-0000-000008000000}"/>
    <cellStyle name="Comma 2 2 7" xfId="10" xr:uid="{00000000-0005-0000-0000-000009000000}"/>
    <cellStyle name="Comma 2 3" xfId="11" xr:uid="{00000000-0005-0000-0000-00000A000000}"/>
    <cellStyle name="Comma 2 4" xfId="12" xr:uid="{00000000-0005-0000-0000-00000B000000}"/>
    <cellStyle name="Comma 2 5" xfId="13" xr:uid="{00000000-0005-0000-0000-00000C000000}"/>
    <cellStyle name="Comma 2 6" xfId="14" xr:uid="{00000000-0005-0000-0000-00000D000000}"/>
    <cellStyle name="Comma 2 7" xfId="15" xr:uid="{00000000-0005-0000-0000-00000E000000}"/>
    <cellStyle name="Comma 2 8" xfId="16" xr:uid="{00000000-0005-0000-0000-00000F000000}"/>
    <cellStyle name="Comma 2 9" xfId="17" xr:uid="{00000000-0005-0000-0000-000010000000}"/>
    <cellStyle name="Comma 3" xfId="18" xr:uid="{00000000-0005-0000-0000-000011000000}"/>
    <cellStyle name="Comma 3 2" xfId="19" xr:uid="{00000000-0005-0000-0000-000012000000}"/>
    <cellStyle name="Comma 3 2 2" xfId="20" xr:uid="{00000000-0005-0000-0000-000013000000}"/>
    <cellStyle name="Comma 3 2 3" xfId="21" xr:uid="{00000000-0005-0000-0000-000014000000}"/>
    <cellStyle name="Comma 3 2 4" xfId="22" xr:uid="{00000000-0005-0000-0000-000015000000}"/>
    <cellStyle name="Comma 3 2 5" xfId="23" xr:uid="{00000000-0005-0000-0000-000016000000}"/>
    <cellStyle name="Comma 3 2 6" xfId="24" xr:uid="{00000000-0005-0000-0000-000017000000}"/>
    <cellStyle name="Comma 3 2 7" xfId="25" xr:uid="{00000000-0005-0000-0000-000018000000}"/>
    <cellStyle name="Comma 3 3" xfId="26" xr:uid="{00000000-0005-0000-0000-000019000000}"/>
    <cellStyle name="Comma 3 4" xfId="27" xr:uid="{00000000-0005-0000-0000-00001A000000}"/>
    <cellStyle name="Comma 3 5" xfId="28" xr:uid="{00000000-0005-0000-0000-00001B000000}"/>
    <cellStyle name="Comma 3 6" xfId="29" xr:uid="{00000000-0005-0000-0000-00001C000000}"/>
    <cellStyle name="Comma 3 7" xfId="30" xr:uid="{00000000-0005-0000-0000-00001D000000}"/>
    <cellStyle name="Comma 3 8" xfId="31" xr:uid="{00000000-0005-0000-0000-00001E000000}"/>
    <cellStyle name="Comma 3 9" xfId="32" xr:uid="{00000000-0005-0000-0000-00001F000000}"/>
    <cellStyle name="Comma 4" xfId="33" xr:uid="{00000000-0005-0000-0000-000020000000}"/>
    <cellStyle name="Comma 4 2" xfId="34" xr:uid="{00000000-0005-0000-0000-000021000000}"/>
    <cellStyle name="Comma 4 3" xfId="35" xr:uid="{00000000-0005-0000-0000-000022000000}"/>
    <cellStyle name="Comma 4 4" xfId="36" xr:uid="{00000000-0005-0000-0000-000023000000}"/>
    <cellStyle name="Comma 4 5" xfId="37" xr:uid="{00000000-0005-0000-0000-000024000000}"/>
    <cellStyle name="Comma 4 6" xfId="38" xr:uid="{00000000-0005-0000-0000-000025000000}"/>
    <cellStyle name="Comma 4 7" xfId="39" xr:uid="{00000000-0005-0000-0000-000026000000}"/>
    <cellStyle name="Comma 5" xfId="53" xr:uid="{00000000-0005-0000-0000-000027000000}"/>
    <cellStyle name="Heading 1" xfId="55" builtinId="16"/>
    <cellStyle name="Hyperlink" xfId="40" builtinId="8"/>
    <cellStyle name="Hyperlink 2" xfId="41" xr:uid="{00000000-0005-0000-0000-00002A000000}"/>
    <cellStyle name="Hyperlink 3" xfId="50" xr:uid="{00000000-0005-0000-0000-00002B000000}"/>
    <cellStyle name="Normal" xfId="0" builtinId="0"/>
    <cellStyle name="Normal 2" xfId="42" xr:uid="{00000000-0005-0000-0000-00002D000000}"/>
    <cellStyle name="Normal 2 2" xfId="52" xr:uid="{00000000-0005-0000-0000-00002E000000}"/>
    <cellStyle name="Normal 3" xfId="43" xr:uid="{00000000-0005-0000-0000-00002F000000}"/>
    <cellStyle name="Normal 4" xfId="44" xr:uid="{00000000-0005-0000-0000-000030000000}"/>
    <cellStyle name="Normal 4 2" xfId="45" xr:uid="{00000000-0005-0000-0000-000031000000}"/>
    <cellStyle name="Normal 5" xfId="46" xr:uid="{00000000-0005-0000-0000-000032000000}"/>
    <cellStyle name="Normal 6" xfId="51" xr:uid="{00000000-0005-0000-0000-000033000000}"/>
    <cellStyle name="Per cent" xfId="57" builtinId="5"/>
    <cellStyle name="Percent 2" xfId="47" xr:uid="{00000000-0005-0000-0000-000034000000}"/>
    <cellStyle name="Percent 3" xfId="48" xr:uid="{00000000-0005-0000-0000-000035000000}"/>
    <cellStyle name="Percent 4" xfId="54" xr:uid="{00000000-0005-0000-0000-000036000000}"/>
    <cellStyle name="Style 1" xfId="49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92075</xdr:rowOff>
    </xdr:from>
    <xdr:to>
      <xdr:col>4</xdr:col>
      <xdr:colOff>574675</xdr:colOff>
      <xdr:row>9</xdr:row>
      <xdr:rowOff>41275</xdr:rowOff>
    </xdr:to>
    <xdr:pic>
      <xdr:nvPicPr>
        <xdr:cNvPr id="14598" name="Picture 1">
          <a:extLst>
            <a:ext uri="{FF2B5EF4-FFF2-40B4-BE49-F238E27FC236}">
              <a16:creationId xmlns:a16="http://schemas.microsoft.com/office/drawing/2014/main" id="{00000000-0008-0000-0000-0000063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9950" y="727075"/>
          <a:ext cx="1292225" cy="120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183148</xdr:colOff>
      <xdr:row>48</xdr:row>
      <xdr:rowOff>169111</xdr:rowOff>
    </xdr:from>
    <xdr:to>
      <xdr:col>16</xdr:col>
      <xdr:colOff>424448</xdr:colOff>
      <xdr:row>53</xdr:row>
      <xdr:rowOff>173789</xdr:rowOff>
    </xdr:to>
    <xdr:pic>
      <xdr:nvPicPr>
        <xdr:cNvPr id="2" name="Picture 1" descr="A logo with a check mark&#10;&#10;Description automatically generated with low confidence">
          <a:extLst>
            <a:ext uri="{FF2B5EF4-FFF2-40B4-BE49-F238E27FC236}">
              <a16:creationId xmlns:a16="http://schemas.microsoft.com/office/drawing/2014/main" id="{9D51C7AD-9B64-E6D6-290F-A77D8E27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3148" y="8778374"/>
          <a:ext cx="1524668" cy="100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v.scot/collections/local-government-finance-statistics/" TargetMode="External"/><Relationship Id="rId1" Type="http://schemas.openxmlformats.org/officeDocument/2006/relationships/hyperlink" Target="mailto:lgfstats@gov.sco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scot/publications/local-government-finance-statistics-methodology-and-background/" TargetMode="External"/><Relationship Id="rId2" Type="http://schemas.openxmlformats.org/officeDocument/2006/relationships/hyperlink" Target="https://www.gov.scot/collections/local-government-finance-statistics/" TargetMode="External"/><Relationship Id="rId1" Type="http://schemas.openxmlformats.org/officeDocument/2006/relationships/hyperlink" Target="mailto:lgfstats@gov.scot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osr.statisticsauthority.gov.uk/wp-content/uploads/2015/12/images-assessmentreport225statisticsonlocalgovernmentfinanceandcounciltaxcollectioninscotlan_tcm97-41977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scot/collections/local-government-finance-statistic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scot/collections/local-government-finance-statistic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scot/collections/local-government-finance-statistics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v.scot/collections/local-government-finance-statistics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7"/>
  <sheetViews>
    <sheetView tabSelected="1" zoomScaleNormal="100" workbookViewId="0">
      <selection activeCell="C1" sqref="C1"/>
    </sheetView>
  </sheetViews>
  <sheetFormatPr defaultColWidth="9.1796875" defaultRowHeight="15.5"/>
  <cols>
    <col min="1" max="1" width="6" style="19" customWidth="1"/>
    <col min="2" max="2" width="100.1796875" style="19" customWidth="1"/>
    <col min="3" max="3" width="33.54296875" style="19" customWidth="1"/>
    <col min="4" max="4" width="10.26953125" style="19" customWidth="1"/>
    <col min="5" max="5" width="9.1796875" style="19"/>
    <col min="6" max="6" width="5.1796875" style="19" customWidth="1"/>
    <col min="7" max="16384" width="9.1796875" style="19"/>
  </cols>
  <sheetData>
    <row r="1" spans="1:7" ht="18">
      <c r="A1" s="210" t="s">
        <v>187</v>
      </c>
      <c r="B1" s="18"/>
      <c r="G1" s="20"/>
    </row>
    <row r="2" spans="1:7">
      <c r="G2" s="20"/>
    </row>
    <row r="3" spans="1:7" s="118" customFormat="1" ht="16.5">
      <c r="A3" s="159" t="s">
        <v>188</v>
      </c>
      <c r="B3" s="117"/>
      <c r="C3" s="117"/>
      <c r="G3" s="119"/>
    </row>
    <row r="4" spans="1:7" s="118" customFormat="1" ht="16.5">
      <c r="A4" s="237" t="s">
        <v>187</v>
      </c>
      <c r="B4" s="117"/>
      <c r="C4" s="117"/>
      <c r="G4" s="119"/>
    </row>
    <row r="5" spans="1:7" s="118" customFormat="1" ht="16.5">
      <c r="A5" s="116"/>
      <c r="B5" s="117"/>
      <c r="C5" s="117"/>
      <c r="G5" s="119"/>
    </row>
    <row r="6" spans="1:7" s="118" customFormat="1" ht="16.5">
      <c r="A6" s="121" t="s">
        <v>36</v>
      </c>
      <c r="B6" s="122"/>
      <c r="C6" s="117"/>
      <c r="G6" s="119"/>
    </row>
    <row r="7" spans="1:7" s="118" customFormat="1" ht="16.5">
      <c r="A7" s="211" t="s">
        <v>182</v>
      </c>
      <c r="B7" s="209"/>
      <c r="C7" s="117"/>
      <c r="G7" s="119"/>
    </row>
    <row r="8" spans="1:7" s="118" customFormat="1" ht="16.5">
      <c r="A8" s="116" t="s">
        <v>78</v>
      </c>
      <c r="B8" s="117"/>
      <c r="C8" s="123" t="s">
        <v>131</v>
      </c>
      <c r="G8" s="119"/>
    </row>
    <row r="9" spans="1:7" s="118" customFormat="1" ht="16.5">
      <c r="B9" s="117"/>
      <c r="C9" s="117"/>
      <c r="G9" s="119"/>
    </row>
    <row r="10" spans="1:7" s="118" customFormat="1" ht="16.5">
      <c r="A10" s="124" t="s">
        <v>37</v>
      </c>
      <c r="B10" s="124"/>
      <c r="C10" s="116"/>
      <c r="G10" s="119"/>
    </row>
    <row r="11" spans="1:7" s="126" customFormat="1" ht="24" customHeight="1">
      <c r="A11" s="153" t="s">
        <v>29</v>
      </c>
      <c r="B11" s="125"/>
    </row>
    <row r="12" spans="1:7" s="126" customFormat="1" ht="24" customHeight="1">
      <c r="A12" s="115" t="s">
        <v>139</v>
      </c>
      <c r="B12" s="127"/>
    </row>
    <row r="13" spans="1:7" s="126" customFormat="1" ht="24" customHeight="1">
      <c r="A13" s="115" t="s">
        <v>156</v>
      </c>
      <c r="B13" s="127"/>
    </row>
    <row r="14" spans="1:7" s="126" customFormat="1" ht="24" customHeight="1">
      <c r="A14" s="115" t="s">
        <v>140</v>
      </c>
      <c r="B14" s="127"/>
    </row>
    <row r="15" spans="1:7" s="126" customFormat="1" ht="24" customHeight="1">
      <c r="A15" s="115" t="s">
        <v>163</v>
      </c>
      <c r="B15" s="127"/>
    </row>
    <row r="16" spans="1:7" s="126" customFormat="1" ht="24" customHeight="1">
      <c r="A16" s="115" t="s">
        <v>179</v>
      </c>
      <c r="B16" s="127"/>
    </row>
    <row r="17" spans="1:2" s="126" customFormat="1" ht="24" customHeight="1">
      <c r="A17" s="115" t="s">
        <v>183</v>
      </c>
      <c r="B17" s="127"/>
    </row>
    <row r="18" spans="1:2" s="118" customFormat="1" ht="24" customHeight="1">
      <c r="A18" s="115" t="s">
        <v>184</v>
      </c>
    </row>
    <row r="19" spans="1:2" s="126" customFormat="1" ht="24" customHeight="1">
      <c r="A19" s="115" t="s">
        <v>185</v>
      </c>
      <c r="B19" s="127"/>
    </row>
    <row r="20" spans="1:2" s="118" customFormat="1" ht="24" customHeight="1">
      <c r="A20" s="115" t="s">
        <v>157</v>
      </c>
    </row>
    <row r="21" spans="1:2" s="118" customFormat="1" ht="24" customHeight="1">
      <c r="A21" s="115" t="s">
        <v>186</v>
      </c>
    </row>
    <row r="22" spans="1:2" s="118" customFormat="1" ht="24" customHeight="1">
      <c r="A22" s="115"/>
    </row>
    <row r="23" spans="1:2" s="118" customFormat="1" ht="24" customHeight="1">
      <c r="A23" s="115" t="s">
        <v>76</v>
      </c>
    </row>
    <row r="24" spans="1:2" ht="24" customHeight="1">
      <c r="A24" s="97"/>
    </row>
    <row r="25" spans="1:2" ht="24" customHeight="1"/>
    <row r="26" spans="1:2" ht="24" customHeight="1"/>
    <row r="27" spans="1:2" ht="24" customHeight="1"/>
  </sheetData>
  <hyperlinks>
    <hyperlink ref="A11" location="Notes!A1" display="Notes" xr:uid="{00000000-0004-0000-0000-000000000000}"/>
    <hyperlink ref="A14" location="'Figure 3'!A1" display="Figure 3: In-year Council Tax percentage received, by year to which the bill refers by Local Authority" xr:uid="{00000000-0004-0000-0000-000001000000}"/>
    <hyperlink ref="A16" location="'Figure 5'!A1" display="Figure 5: Percentage of Council Tax received as at 31 March 2024, by year to which the bill refers and Local Authority" xr:uid="{00000000-0004-0000-0000-000003000000}"/>
    <hyperlink ref="A19" location="'Figure 8'!A1" display="Figure 8: An increasing proportion of 2014-15 Council Tax has been collected over the past twelve years " xr:uid="{00000000-0004-0000-0000-000004000000}"/>
    <hyperlink ref="A17" location="'Figure 6'!A1" display="Figure 6: In-year Council Tax percentage received and total Council Tax percentage received as at 31 March 2026, by year to which the bill refers" xr:uid="{00000000-0004-0000-0000-000005000000}"/>
    <hyperlink ref="A18" location="'Figure 7'!A1" display="Figure 7: Percentage of Council Tax received as at 31 March each year, by year to which the bill refers" xr:uid="{00000000-0004-0000-0000-000006000000}"/>
    <hyperlink ref="A23" location="'Archived data'!A1" display="Archived data as at 31 March 2019" xr:uid="{00000000-0004-0000-0000-000007000000}"/>
    <hyperlink ref="A13" location="'Figure 2'!A1" display="Figure 2: Net Council Tax billed each year (£ millions)" xr:uid="{00000000-0004-0000-0000-00000A000000}"/>
    <hyperlink ref="A15" location="'Figure 4'!A1" display="Figure 4: In-year Council Tax percentage received, by year to which the bill refers - Scotland, and minimum and maximum for Local Authorities" xr:uid="{00000000-0004-0000-0000-00000B000000}"/>
    <hyperlink ref="A20" location="'Figure 9'!A1" display="Figure 9: 2011-12 Council Tax percentage received as at 31 March each year " xr:uid="{00000000-0004-0000-0000-00000C000000}"/>
    <hyperlink ref="A21" location="'Figure 10'!A1" display="Figure 10: Council Tax Potential Yield in 2022-23, £ millions" xr:uid="{00000000-0004-0000-0000-00000D000000}"/>
    <hyperlink ref="C8" r:id="rId1" xr:uid="{4F9DE8C1-6E23-4FC6-BC7F-E137715D2F8A}"/>
    <hyperlink ref="A12" location="'Figure 1'!A1" display="Figure 1: Council Tax billed and received" xr:uid="{00000000-0004-0000-0000-000002000000}"/>
    <hyperlink ref="A4" r:id="rId2" display="https://www.gov.scot/collections/local-government-finance-statistics/" xr:uid="{CCB05A7B-621F-4E2C-858B-9253DE891D2C}"/>
  </hyperlinks>
  <pageMargins left="0.7" right="0.7" top="0.75" bottom="0.75" header="0.3" footer="0.3"/>
  <pageSetup paperSize="9" scale="8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4"/>
  <sheetViews>
    <sheetView showGridLines="0" topLeftCell="A38" zoomScale="90" zoomScaleNormal="90" workbookViewId="0">
      <selection activeCell="M50" sqref="M50"/>
    </sheetView>
  </sheetViews>
  <sheetFormatPr defaultColWidth="9.1796875" defaultRowHeight="15.5"/>
  <cols>
    <col min="1" max="1" width="7.81640625" style="19" customWidth="1"/>
    <col min="2" max="16384" width="9.1796875" style="19"/>
  </cols>
  <sheetData>
    <row r="1" spans="1:7" ht="20">
      <c r="A1" s="21" t="s">
        <v>29</v>
      </c>
    </row>
    <row r="2" spans="1:7" s="118" customFormat="1" ht="16.5">
      <c r="A2" s="121" t="s">
        <v>38</v>
      </c>
    </row>
    <row r="3" spans="1:7" s="118" customFormat="1" ht="16.5">
      <c r="A3" s="121"/>
    </row>
    <row r="4" spans="1:7" s="118" customFormat="1" ht="18">
      <c r="A4" s="22" t="s">
        <v>132</v>
      </c>
    </row>
    <row r="5" spans="1:7" s="118" customFormat="1" ht="16.5">
      <c r="A5" s="110" t="s">
        <v>135</v>
      </c>
    </row>
    <row r="6" spans="1:7" s="118" customFormat="1" ht="16.5">
      <c r="A6" s="110" t="s">
        <v>136</v>
      </c>
    </row>
    <row r="7" spans="1:7" s="118" customFormat="1" ht="16.5">
      <c r="A7" s="110" t="s">
        <v>137</v>
      </c>
    </row>
    <row r="8" spans="1:7" s="118" customFormat="1" ht="16.5">
      <c r="A8" s="129"/>
    </row>
    <row r="9" spans="1:7" s="118" customFormat="1" ht="16.5">
      <c r="A9" s="111" t="s">
        <v>133</v>
      </c>
    </row>
    <row r="10" spans="1:7" s="118" customFormat="1" ht="16.5">
      <c r="A10" s="130" t="s">
        <v>134</v>
      </c>
    </row>
    <row r="11" spans="1:7" s="118" customFormat="1" ht="16.5"/>
    <row r="12" spans="1:7" s="118" customFormat="1" ht="18">
      <c r="A12" s="22" t="s">
        <v>48</v>
      </c>
    </row>
    <row r="13" spans="1:7" s="118" customFormat="1" ht="16.5">
      <c r="A13" s="118" t="s">
        <v>125</v>
      </c>
      <c r="G13" s="131"/>
    </row>
    <row r="14" spans="1:7" s="118" customFormat="1" ht="16.5">
      <c r="A14" s="118" t="s">
        <v>141</v>
      </c>
      <c r="G14" s="131"/>
    </row>
    <row r="15" spans="1:7" s="118" customFormat="1" ht="16.5">
      <c r="A15" s="118" t="s">
        <v>126</v>
      </c>
    </row>
    <row r="16" spans="1:7" s="118" customFormat="1" ht="16.5"/>
    <row r="17" spans="1:19" s="118" customFormat="1" ht="16.5">
      <c r="A17" s="118" t="s">
        <v>158</v>
      </c>
    </row>
    <row r="18" spans="1:19" s="118" customFormat="1" ht="16.5">
      <c r="A18" s="118" t="s">
        <v>127</v>
      </c>
    </row>
    <row r="19" spans="1:19" s="118" customFormat="1" ht="16.5"/>
    <row r="20" spans="1:19" s="118" customFormat="1" ht="16.5">
      <c r="A20" s="118" t="s">
        <v>142</v>
      </c>
    </row>
    <row r="21" spans="1:19" s="118" customFormat="1" ht="16.5">
      <c r="A21" s="118" t="s">
        <v>124</v>
      </c>
    </row>
    <row r="22" spans="1:19" s="118" customFormat="1" ht="16.5">
      <c r="A22" s="118" t="s">
        <v>123</v>
      </c>
    </row>
    <row r="23" spans="1:19" s="118" customFormat="1" ht="16.5"/>
    <row r="24" spans="1:19" s="118" customFormat="1" ht="18">
      <c r="A24" s="22" t="s">
        <v>49</v>
      </c>
    </row>
    <row r="25" spans="1:19" s="118" customFormat="1" ht="16.5">
      <c r="A25" s="118" t="s">
        <v>189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</row>
    <row r="26" spans="1:19" s="118" customFormat="1" ht="16.5">
      <c r="A26" s="128"/>
    </row>
    <row r="27" spans="1:19" s="118" customFormat="1" ht="15" customHeight="1">
      <c r="A27" s="133" t="s">
        <v>42</v>
      </c>
      <c r="B27" s="134"/>
      <c r="C27" s="135"/>
      <c r="D27" s="135"/>
      <c r="E27" s="135"/>
      <c r="F27" s="135"/>
      <c r="G27" s="136"/>
    </row>
    <row r="28" spans="1:19" s="118" customFormat="1" ht="15" customHeight="1">
      <c r="A28" s="133" t="s">
        <v>62</v>
      </c>
      <c r="B28" s="134"/>
      <c r="C28" s="135"/>
      <c r="D28" s="135"/>
      <c r="E28" s="135"/>
      <c r="F28" s="135"/>
      <c r="G28" s="136"/>
    </row>
    <row r="29" spans="1:19" s="118" customFormat="1" ht="15" customHeight="1">
      <c r="A29" s="133" t="s">
        <v>63</v>
      </c>
      <c r="B29" s="134"/>
      <c r="C29" s="135"/>
      <c r="D29" s="135"/>
      <c r="E29" s="135"/>
      <c r="F29" s="135"/>
      <c r="G29" s="136"/>
      <c r="H29" s="135"/>
      <c r="I29" s="135"/>
      <c r="J29" s="135"/>
      <c r="K29" s="135"/>
      <c r="L29" s="135"/>
      <c r="M29" s="135"/>
      <c r="N29" s="135"/>
      <c r="O29" s="135"/>
    </row>
    <row r="30" spans="1:19" s="118" customFormat="1" ht="15" customHeight="1">
      <c r="A30" s="133" t="s">
        <v>64</v>
      </c>
      <c r="B30" s="134"/>
      <c r="C30" s="135"/>
      <c r="D30" s="135"/>
      <c r="E30" s="135"/>
      <c r="F30" s="135"/>
      <c r="G30" s="136"/>
      <c r="H30" s="135"/>
      <c r="I30" s="135"/>
      <c r="J30" s="135"/>
      <c r="K30" s="135"/>
      <c r="L30" s="135"/>
      <c r="M30" s="135"/>
      <c r="N30" s="135"/>
      <c r="O30" s="135"/>
    </row>
    <row r="31" spans="1:19" s="118" customFormat="1" ht="15" customHeight="1">
      <c r="A31" s="133" t="s">
        <v>162</v>
      </c>
      <c r="B31" s="134"/>
      <c r="C31" s="135"/>
      <c r="D31" s="135"/>
      <c r="E31" s="135"/>
      <c r="F31" s="135"/>
      <c r="G31" s="136"/>
      <c r="H31" s="135"/>
      <c r="I31" s="135"/>
      <c r="J31" s="135"/>
      <c r="K31" s="135"/>
      <c r="L31" s="135"/>
      <c r="M31" s="135"/>
      <c r="N31" s="135"/>
      <c r="O31" s="135"/>
    </row>
    <row r="32" spans="1:19" s="118" customFormat="1" ht="15" customHeight="1"/>
    <row r="33" spans="1:9" s="118" customFormat="1" ht="15" customHeight="1">
      <c r="A33" s="118" t="s">
        <v>143</v>
      </c>
    </row>
    <row r="34" spans="1:9" s="118" customFormat="1" ht="15" customHeight="1">
      <c r="A34" s="118" t="s">
        <v>50</v>
      </c>
    </row>
    <row r="35" spans="1:9" s="118" customFormat="1" ht="15" customHeight="1"/>
    <row r="36" spans="1:9" s="118" customFormat="1" ht="15" customHeight="1">
      <c r="A36" s="118" t="s">
        <v>43</v>
      </c>
    </row>
    <row r="37" spans="1:9" s="118" customFormat="1" ht="15" customHeight="1">
      <c r="A37" s="118" t="s">
        <v>44</v>
      </c>
    </row>
    <row r="38" spans="1:9" s="118" customFormat="1" ht="15" customHeight="1">
      <c r="A38" s="131" t="s">
        <v>47</v>
      </c>
      <c r="I38" s="131"/>
    </row>
    <row r="39" spans="1:9" s="118" customFormat="1" ht="15" customHeight="1">
      <c r="A39" s="126" t="s">
        <v>65</v>
      </c>
      <c r="I39" s="131"/>
    </row>
    <row r="40" spans="1:9" s="118" customFormat="1" ht="15" customHeight="1"/>
    <row r="41" spans="1:9" s="118" customFormat="1" ht="15" customHeight="1">
      <c r="A41" s="118" t="s">
        <v>46</v>
      </c>
    </row>
    <row r="42" spans="1:9" s="118" customFormat="1" ht="15" customHeight="1">
      <c r="A42" s="118" t="s">
        <v>45</v>
      </c>
      <c r="F42" s="120" t="s">
        <v>77</v>
      </c>
      <c r="H42" s="132"/>
      <c r="I42" s="132"/>
    </row>
    <row r="43" spans="1:9" s="118" customFormat="1" ht="15" customHeight="1">
      <c r="F43" s="120"/>
      <c r="H43" s="132"/>
      <c r="I43" s="132"/>
    </row>
    <row r="44" spans="1:9" s="118" customFormat="1" ht="15" customHeight="1">
      <c r="A44" s="212" t="s">
        <v>175</v>
      </c>
      <c r="F44" s="120"/>
      <c r="H44" s="132"/>
      <c r="I44" s="132"/>
    </row>
    <row r="45" spans="1:9" s="118" customFormat="1" ht="15" customHeight="1">
      <c r="A45" s="212" t="s">
        <v>216</v>
      </c>
      <c r="F45" s="120"/>
      <c r="H45" s="132"/>
      <c r="I45" s="132"/>
    </row>
    <row r="46" spans="1:9" s="118" customFormat="1" ht="15" customHeight="1">
      <c r="A46" s="212" t="s">
        <v>176</v>
      </c>
      <c r="F46" s="120"/>
      <c r="H46" s="132"/>
      <c r="I46" s="132"/>
    </row>
    <row r="47" spans="1:9" s="118" customFormat="1" ht="15" customHeight="1">
      <c r="A47" s="212"/>
      <c r="F47" s="120"/>
      <c r="H47" s="132"/>
      <c r="I47" s="132"/>
    </row>
    <row r="48" spans="1:9" s="118" customFormat="1" ht="15" customHeight="1">
      <c r="A48" s="212" t="s">
        <v>221</v>
      </c>
      <c r="F48" s="120"/>
      <c r="H48" s="132"/>
      <c r="I48" s="132"/>
    </row>
    <row r="49" spans="1:9" s="118" customFormat="1" ht="15" customHeight="1">
      <c r="A49" s="137"/>
    </row>
    <row r="50" spans="1:9" s="118" customFormat="1" ht="18">
      <c r="A50" s="22" t="s">
        <v>39</v>
      </c>
    </row>
    <row r="51" spans="1:9" s="118" customFormat="1" ht="16.5">
      <c r="A51" s="118" t="s">
        <v>40</v>
      </c>
    </row>
    <row r="52" spans="1:9" s="118" customFormat="1" ht="16.5">
      <c r="A52" s="120" t="s">
        <v>86</v>
      </c>
      <c r="B52" s="132"/>
      <c r="C52" s="132"/>
      <c r="D52" s="132"/>
      <c r="E52" s="132"/>
    </row>
    <row r="53" spans="1:9" s="118" customFormat="1" ht="16.5"/>
    <row r="54" spans="1:9" s="118" customFormat="1" ht="16.5">
      <c r="A54" s="118" t="s">
        <v>41</v>
      </c>
      <c r="I54" s="120" t="s">
        <v>131</v>
      </c>
    </row>
  </sheetData>
  <hyperlinks>
    <hyperlink ref="I54" r:id="rId1" xr:uid="{00000000-0004-0000-0100-000000000000}"/>
    <hyperlink ref="A52" r:id="rId2" location="counciltax" xr:uid="{00000000-0004-0000-0100-000001000000}"/>
    <hyperlink ref="F42" r:id="rId3" xr:uid="{00000000-0004-0000-0100-000002000000}"/>
    <hyperlink ref="A10" r:id="rId4" display="https://osr.statisticsauthority.gov.uk/wp-content/uploads/2015/12/images-assessmentreport225statisticsonlocalgovernmentfinanceandcounciltaxcollectioninscotlan_tcm97-41977.pdf" xr:uid="{631C39B8-9DA7-4294-AEB7-336EA3C2C706}"/>
  </hyperlinks>
  <pageMargins left="0.7" right="0.7" top="0.75" bottom="0.75" header="0.3" footer="0.3"/>
  <pageSetup paperSize="9" scale="79"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L167"/>
  <sheetViews>
    <sheetView showGridLines="0" zoomScaleNormal="100" zoomScaleSheetLayoutView="100" workbookViewId="0">
      <selection activeCell="C44" sqref="C44"/>
    </sheetView>
  </sheetViews>
  <sheetFormatPr defaultColWidth="9.1796875" defaultRowHeight="12.5"/>
  <cols>
    <col min="1" max="1" width="20.1796875" style="13" customWidth="1"/>
    <col min="2" max="2" width="17.453125" style="13" customWidth="1"/>
    <col min="3" max="5" width="15.7265625" style="13" customWidth="1"/>
    <col min="6" max="6" width="14.54296875" style="13" customWidth="1"/>
    <col min="7" max="7" width="14.7265625" style="64" bestFit="1" customWidth="1"/>
    <col min="8" max="16384" width="9.1796875" style="13"/>
  </cols>
  <sheetData>
    <row r="1" spans="1:12" ht="30" customHeight="1">
      <c r="A1" s="98" t="s">
        <v>139</v>
      </c>
      <c r="B1" s="30"/>
      <c r="C1" s="30"/>
      <c r="D1" s="30"/>
      <c r="E1" s="30"/>
      <c r="F1" s="30"/>
      <c r="G1" s="59"/>
    </row>
    <row r="2" spans="1:12" s="163" customFormat="1" ht="19.5" customHeight="1">
      <c r="A2" s="142" t="s">
        <v>146</v>
      </c>
      <c r="B2" s="160"/>
      <c r="C2" s="160"/>
      <c r="D2" s="160"/>
      <c r="E2" s="160"/>
      <c r="F2" s="160"/>
      <c r="G2" s="161"/>
    </row>
    <row r="3" spans="1:12" s="163" customFormat="1" ht="15.5">
      <c r="A3" s="164" t="s">
        <v>190</v>
      </c>
    </row>
    <row r="4" spans="1:12" s="163" customFormat="1" ht="15.5">
      <c r="A4" s="164" t="s">
        <v>191</v>
      </c>
    </row>
    <row r="5" spans="1:12" s="163" customFormat="1" ht="15.5">
      <c r="A5" s="165" t="s">
        <v>164</v>
      </c>
    </row>
    <row r="6" spans="1:12" s="163" customFormat="1" ht="15.5">
      <c r="A6" s="165" t="s">
        <v>88</v>
      </c>
    </row>
    <row r="7" spans="1:12" s="163" customFormat="1" ht="15.5">
      <c r="A7" s="165" t="s">
        <v>167</v>
      </c>
    </row>
    <row r="8" spans="1:12" s="168" customFormat="1" ht="15.5">
      <c r="A8" s="166" t="s">
        <v>165</v>
      </c>
      <c r="B8" s="160"/>
      <c r="C8" s="160"/>
      <c r="D8" s="160"/>
      <c r="E8" s="160"/>
      <c r="F8" s="160"/>
      <c r="G8" s="162"/>
    </row>
    <row r="9" spans="1:12" ht="15.5">
      <c r="A9" s="99" t="s">
        <v>82</v>
      </c>
    </row>
    <row r="10" spans="1:12">
      <c r="A10" s="81"/>
      <c r="C10" s="64"/>
      <c r="D10" s="64"/>
    </row>
    <row r="11" spans="1:12" s="14" customFormat="1" ht="54" customHeight="1" thickBot="1">
      <c r="A11" s="151"/>
      <c r="B11" s="152" t="s">
        <v>28</v>
      </c>
      <c r="C11" s="28" t="s">
        <v>27</v>
      </c>
      <c r="D11" s="28" t="s">
        <v>170</v>
      </c>
      <c r="E11" s="28" t="s">
        <v>171</v>
      </c>
      <c r="F11" s="28" t="s">
        <v>172</v>
      </c>
      <c r="G11" s="62"/>
    </row>
    <row r="12" spans="1:12" s="14" customFormat="1" ht="31.5" customHeight="1">
      <c r="A12" s="213" t="s">
        <v>168</v>
      </c>
      <c r="B12" s="214" t="s">
        <v>169</v>
      </c>
      <c r="C12" s="215">
        <v>3388883.6060091602</v>
      </c>
      <c r="D12" s="215">
        <v>3226613.159306509</v>
      </c>
      <c r="E12" s="215">
        <v>162270.44670265121</v>
      </c>
      <c r="F12" s="216">
        <v>0.95211684272221286</v>
      </c>
      <c r="G12" s="62"/>
      <c r="H12" s="73" t="s">
        <v>56</v>
      </c>
      <c r="I12" s="73" t="s">
        <v>56</v>
      </c>
      <c r="J12" s="73" t="s">
        <v>56</v>
      </c>
      <c r="K12" s="73" t="s">
        <v>56</v>
      </c>
      <c r="L12" s="73" t="s">
        <v>81</v>
      </c>
    </row>
    <row r="13" spans="1:12" s="14" customFormat="1" ht="13">
      <c r="A13" s="169"/>
      <c r="B13" s="170" t="s">
        <v>160</v>
      </c>
      <c r="C13" s="190">
        <v>3072918.9663507841</v>
      </c>
      <c r="D13" s="190">
        <v>2949986.4611243685</v>
      </c>
      <c r="E13" s="190">
        <v>122932.50522641558</v>
      </c>
      <c r="F13" s="191">
        <v>0.95999487569553354</v>
      </c>
      <c r="G13" s="62"/>
      <c r="H13" s="73"/>
      <c r="I13" s="73"/>
      <c r="J13" s="73"/>
      <c r="K13" s="73"/>
      <c r="L13" s="73"/>
    </row>
    <row r="14" spans="1:12" s="14" customFormat="1" ht="13">
      <c r="A14" s="169"/>
      <c r="B14" s="168" t="s">
        <v>138</v>
      </c>
      <c r="C14" s="188">
        <v>3004953.0292659118</v>
      </c>
      <c r="D14" s="188">
        <v>2896405.3819903601</v>
      </c>
      <c r="E14" s="188">
        <v>108547.64727555169</v>
      </c>
      <c r="F14" s="189">
        <v>0.96387709018464451</v>
      </c>
      <c r="G14" s="62"/>
      <c r="H14" s="73"/>
      <c r="I14" s="73"/>
      <c r="J14" s="73"/>
      <c r="K14" s="73"/>
      <c r="L14" s="73"/>
    </row>
    <row r="15" spans="1:12" s="14" customFormat="1" ht="13">
      <c r="A15" s="169"/>
      <c r="B15" s="170" t="s">
        <v>122</v>
      </c>
      <c r="C15" s="190">
        <v>2825939.423106893</v>
      </c>
      <c r="D15" s="190">
        <v>2746556.974212402</v>
      </c>
      <c r="E15" s="190">
        <v>79382.448894490954</v>
      </c>
      <c r="F15" s="191">
        <v>0.97190935932829858</v>
      </c>
      <c r="G15" s="62"/>
      <c r="H15" s="73"/>
      <c r="I15" s="73"/>
      <c r="J15" s="73"/>
      <c r="K15" s="73"/>
      <c r="L15" s="73"/>
    </row>
    <row r="16" spans="1:12" s="14" customFormat="1" ht="13">
      <c r="A16" s="169"/>
      <c r="B16" s="171" t="s">
        <v>87</v>
      </c>
      <c r="C16" s="188">
        <v>2710914.0010786382</v>
      </c>
      <c r="D16" s="188">
        <v>2630373.994185925</v>
      </c>
      <c r="E16" s="188">
        <v>80540.006892713252</v>
      </c>
      <c r="F16" s="189">
        <v>0.97029046039060352</v>
      </c>
      <c r="G16" s="62"/>
      <c r="H16" s="73"/>
      <c r="I16" s="73"/>
      <c r="J16" s="73"/>
      <c r="K16" s="73"/>
      <c r="L16" s="73"/>
    </row>
    <row r="17" spans="1:7" s="14" customFormat="1" ht="13">
      <c r="A17" s="169"/>
      <c r="B17" s="172" t="s">
        <v>79</v>
      </c>
      <c r="C17" s="190">
        <v>2663358.9319249317</v>
      </c>
      <c r="D17" s="190">
        <v>2581325.5049392181</v>
      </c>
      <c r="E17" s="190">
        <v>82033.426985713653</v>
      </c>
      <c r="F17" s="191">
        <v>0.96919925962572973</v>
      </c>
      <c r="G17" s="62"/>
    </row>
    <row r="18" spans="1:7" s="14" customFormat="1" ht="13">
      <c r="A18" s="169"/>
      <c r="B18" s="171" t="s">
        <v>61</v>
      </c>
      <c r="C18" s="188">
        <v>2548023.966998395</v>
      </c>
      <c r="D18" s="188">
        <v>2478733.185529564</v>
      </c>
      <c r="E18" s="188">
        <v>69290.781468831003</v>
      </c>
      <c r="F18" s="189">
        <v>0.9728060715416047</v>
      </c>
      <c r="G18" s="62"/>
    </row>
    <row r="19" spans="1:7" s="14" customFormat="1" ht="13">
      <c r="A19" s="173"/>
      <c r="B19" s="172" t="s">
        <v>58</v>
      </c>
      <c r="C19" s="190">
        <v>2423525.315341854</v>
      </c>
      <c r="D19" s="190">
        <v>2363278.1632516971</v>
      </c>
      <c r="E19" s="190">
        <v>60247.152090156917</v>
      </c>
      <c r="F19" s="191">
        <v>0.97514069619625221</v>
      </c>
      <c r="G19" s="62"/>
    </row>
    <row r="20" spans="1:7" s="14" customFormat="1" ht="13">
      <c r="A20" s="174" t="s">
        <v>56</v>
      </c>
      <c r="B20" s="171" t="s">
        <v>55</v>
      </c>
      <c r="C20" s="188">
        <v>2322659.1661486025</v>
      </c>
      <c r="D20" s="188">
        <v>2268172.2714799386</v>
      </c>
      <c r="E20" s="188">
        <v>54486.894668663852</v>
      </c>
      <c r="F20" s="189">
        <v>0.97654115788369711</v>
      </c>
      <c r="G20" s="62"/>
    </row>
    <row r="21" spans="1:7" s="14" customFormat="1" ht="13">
      <c r="A21" s="173"/>
      <c r="B21" s="172" t="s">
        <v>54</v>
      </c>
      <c r="C21" s="190">
        <v>2137213.4223917723</v>
      </c>
      <c r="D21" s="190">
        <v>2086015.7236617873</v>
      </c>
      <c r="E21" s="190">
        <v>51197.698729984928</v>
      </c>
      <c r="F21" s="191">
        <v>0.9760446485158748</v>
      </c>
      <c r="G21" s="62"/>
    </row>
    <row r="22" spans="1:7" s="14" customFormat="1">
      <c r="A22" s="167"/>
      <c r="B22" s="171" t="s">
        <v>26</v>
      </c>
      <c r="C22" s="188">
        <v>2103638.7145748744</v>
      </c>
      <c r="D22" s="188">
        <v>2055659.9901960748</v>
      </c>
      <c r="E22" s="188">
        <v>47978.724378799554</v>
      </c>
      <c r="F22" s="189">
        <v>0.97719250741756025</v>
      </c>
      <c r="G22" s="62"/>
    </row>
    <row r="23" spans="1:7" s="14" customFormat="1">
      <c r="A23" s="175" t="s">
        <v>56</v>
      </c>
      <c r="B23" s="172" t="s">
        <v>25</v>
      </c>
      <c r="C23" s="190">
        <v>2069217.8050179379</v>
      </c>
      <c r="D23" s="190">
        <v>2022853.5693143881</v>
      </c>
      <c r="E23" s="190">
        <v>46364.235703549813</v>
      </c>
      <c r="F23" s="191">
        <v>0.97759335165630479</v>
      </c>
      <c r="G23" s="62"/>
    </row>
    <row r="24" spans="1:7" s="14" customFormat="1" ht="13">
      <c r="A24" s="173"/>
      <c r="B24" s="171" t="s">
        <v>23</v>
      </c>
      <c r="C24" s="188">
        <v>2030704.258184535</v>
      </c>
      <c r="D24" s="188">
        <v>1985592.9825993383</v>
      </c>
      <c r="E24" s="188">
        <v>45111.275585196679</v>
      </c>
      <c r="F24" s="189">
        <v>0.97778540355968602</v>
      </c>
      <c r="G24" s="62"/>
    </row>
    <row r="25" spans="1:7" s="15" customFormat="1">
      <c r="A25" s="176" t="s">
        <v>56</v>
      </c>
      <c r="B25" s="172" t="s">
        <v>22</v>
      </c>
      <c r="C25" s="190">
        <v>1999341.7759518288</v>
      </c>
      <c r="D25" s="190">
        <v>1954979.5173997167</v>
      </c>
      <c r="E25" s="190">
        <v>44362.258552112151</v>
      </c>
      <c r="F25" s="191">
        <v>0.97781156824425752</v>
      </c>
      <c r="G25" s="156"/>
    </row>
    <row r="26" spans="1:7" s="14" customFormat="1">
      <c r="A26" s="167"/>
      <c r="B26" s="171" t="s">
        <v>21</v>
      </c>
      <c r="C26" s="188">
        <v>1978049.4061884319</v>
      </c>
      <c r="D26" s="188">
        <v>1933666.3848713425</v>
      </c>
      <c r="E26" s="188">
        <v>44383.021317089442</v>
      </c>
      <c r="F26" s="189">
        <v>0.97756222813331417</v>
      </c>
      <c r="G26" s="62"/>
    </row>
    <row r="27" spans="1:7" s="14" customFormat="1">
      <c r="A27" s="167"/>
      <c r="B27" s="172" t="s">
        <v>20</v>
      </c>
      <c r="C27" s="190">
        <v>1963471.8390006649</v>
      </c>
      <c r="D27" s="190">
        <v>1918050.3481847432</v>
      </c>
      <c r="E27" s="190">
        <v>45421.490815921687</v>
      </c>
      <c r="F27" s="191">
        <v>0.97686674699697273</v>
      </c>
      <c r="G27" s="62"/>
    </row>
    <row r="28" spans="1:7" s="14" customFormat="1" ht="13">
      <c r="A28" s="177" t="s">
        <v>53</v>
      </c>
      <c r="B28" s="171" t="s">
        <v>19</v>
      </c>
      <c r="C28" s="188">
        <v>1956113.3663972649</v>
      </c>
      <c r="D28" s="188">
        <v>1909585.4039148614</v>
      </c>
      <c r="E28" s="188">
        <v>46527.962482403498</v>
      </c>
      <c r="F28" s="189">
        <v>0.97621407670860205</v>
      </c>
      <c r="G28" s="62"/>
    </row>
    <row r="29" spans="1:7" s="14" customFormat="1" ht="13">
      <c r="A29" s="177" t="s">
        <v>52</v>
      </c>
      <c r="B29" s="172" t="s">
        <v>18</v>
      </c>
      <c r="C29" s="190">
        <v>1955527.1487541141</v>
      </c>
      <c r="D29" s="190">
        <v>1905046.0722007165</v>
      </c>
      <c r="E29" s="190">
        <v>50481.076553397579</v>
      </c>
      <c r="F29" s="191">
        <v>0.97418543813847858</v>
      </c>
      <c r="G29" s="62"/>
    </row>
    <row r="30" spans="1:7" s="14" customFormat="1" ht="13">
      <c r="A30" s="177"/>
      <c r="B30" s="171" t="s">
        <v>15</v>
      </c>
      <c r="C30" s="188">
        <v>1930211.6114367759</v>
      </c>
      <c r="D30" s="188">
        <v>1882275.6366257626</v>
      </c>
      <c r="E30" s="188">
        <v>47935.974811013322</v>
      </c>
      <c r="F30" s="189">
        <v>0.97516543029428182</v>
      </c>
      <c r="G30" s="62"/>
    </row>
    <row r="31" spans="1:7" s="14" customFormat="1" ht="13">
      <c r="A31" s="177"/>
      <c r="B31" s="172" t="s">
        <v>16</v>
      </c>
      <c r="C31" s="190">
        <v>1857373.1711001503</v>
      </c>
      <c r="D31" s="190">
        <v>1811108.3474385177</v>
      </c>
      <c r="E31" s="190">
        <v>46264.823661632603</v>
      </c>
      <c r="F31" s="191">
        <v>0.97509126093695575</v>
      </c>
      <c r="G31" s="62"/>
    </row>
    <row r="32" spans="1:7" s="14" customFormat="1" ht="13">
      <c r="A32" s="173"/>
      <c r="B32" s="171" t="s">
        <v>17</v>
      </c>
      <c r="C32" s="188">
        <v>1766574.6785948365</v>
      </c>
      <c r="D32" s="188">
        <v>1723637.4731935498</v>
      </c>
      <c r="E32" s="188">
        <v>42937.205401286716</v>
      </c>
      <c r="F32" s="189">
        <v>0.9756946559228169</v>
      </c>
      <c r="G32" s="62"/>
    </row>
    <row r="33" spans="1:7" s="14" customFormat="1" ht="13">
      <c r="A33" s="173"/>
      <c r="B33" s="172" t="s">
        <v>14</v>
      </c>
      <c r="C33" s="190">
        <v>1657394.3940311801</v>
      </c>
      <c r="D33" s="190">
        <v>1617197.9746459944</v>
      </c>
      <c r="E33" s="190">
        <v>40196.419385185698</v>
      </c>
      <c r="F33" s="191">
        <v>0.97574722134336511</v>
      </c>
      <c r="G33" s="62"/>
    </row>
    <row r="34" spans="1:7" s="14" customFormat="1" ht="13">
      <c r="A34" s="173"/>
      <c r="B34" s="171" t="s">
        <v>4</v>
      </c>
      <c r="C34" s="188">
        <v>1571980.3699562065</v>
      </c>
      <c r="D34" s="188">
        <v>1529928.1247825748</v>
      </c>
      <c r="E34" s="188">
        <v>42052.245173631702</v>
      </c>
      <c r="F34" s="189">
        <v>0.97324887385533754</v>
      </c>
      <c r="G34" s="62"/>
    </row>
    <row r="35" spans="1:7" s="14" customFormat="1">
      <c r="A35" s="167"/>
      <c r="B35" s="172" t="s">
        <v>3</v>
      </c>
      <c r="C35" s="190">
        <v>1496056.3574129778</v>
      </c>
      <c r="D35" s="190">
        <v>1457002.8952552783</v>
      </c>
      <c r="E35" s="190">
        <v>39053.462157699512</v>
      </c>
      <c r="F35" s="191">
        <v>0.97389572794889101</v>
      </c>
      <c r="G35" s="62"/>
    </row>
    <row r="36" spans="1:7" s="14" customFormat="1" ht="13">
      <c r="A36" s="173"/>
      <c r="B36" s="171" t="s">
        <v>2</v>
      </c>
      <c r="C36" s="188">
        <v>1411251.0722758626</v>
      </c>
      <c r="D36" s="188">
        <v>1373560.5498611024</v>
      </c>
      <c r="E36" s="188">
        <v>37690.522414760198</v>
      </c>
      <c r="F36" s="189">
        <v>0.97329282991864918</v>
      </c>
      <c r="G36" s="62"/>
    </row>
    <row r="37" spans="1:7" s="14" customFormat="1" ht="13">
      <c r="A37" s="177"/>
      <c r="B37" s="172" t="s">
        <v>1</v>
      </c>
      <c r="C37" s="190">
        <v>1323213.5809308167</v>
      </c>
      <c r="D37" s="190">
        <v>1286271.9735022562</v>
      </c>
      <c r="E37" s="190">
        <v>36941.607428560499</v>
      </c>
      <c r="F37" s="191">
        <v>0.97208190124335492</v>
      </c>
      <c r="G37" s="63" t="s">
        <v>56</v>
      </c>
    </row>
    <row r="38" spans="1:7" s="14" customFormat="1">
      <c r="A38" s="183"/>
      <c r="B38" s="194" t="s">
        <v>0</v>
      </c>
      <c r="C38" s="192">
        <v>1242900.9805556806</v>
      </c>
      <c r="D38" s="192">
        <v>1208388.0856798568</v>
      </c>
      <c r="E38" s="192">
        <v>34512.894875823753</v>
      </c>
      <c r="F38" s="193">
        <v>0.97223198354836471</v>
      </c>
      <c r="G38" s="62" t="s">
        <v>56</v>
      </c>
    </row>
    <row r="39" spans="1:7" ht="26">
      <c r="A39" s="217" t="s">
        <v>51</v>
      </c>
      <c r="B39" s="218" t="s">
        <v>166</v>
      </c>
      <c r="C39" s="195">
        <v>54022526.752971902</v>
      </c>
      <c r="D39" s="195">
        <v>52575652.990041323</v>
      </c>
      <c r="E39" s="195">
        <v>1446873.7629305862</v>
      </c>
      <c r="F39" s="196">
        <v>0.97321721419017149</v>
      </c>
      <c r="G39" s="197"/>
    </row>
    <row r="40" spans="1:7" ht="26.5" thickBot="1">
      <c r="A40" s="219" t="s">
        <v>174</v>
      </c>
      <c r="B40" s="220" t="s">
        <v>173</v>
      </c>
      <c r="C40" s="178">
        <v>57411410.358981073</v>
      </c>
      <c r="D40" s="178">
        <v>55802266.149347834</v>
      </c>
      <c r="E40" s="178">
        <v>1609144.2096332374</v>
      </c>
      <c r="F40" s="179">
        <v>0.97197170040638947</v>
      </c>
      <c r="G40" s="197"/>
    </row>
    <row r="41" spans="1:7">
      <c r="A41" s="16"/>
      <c r="B41" s="16"/>
      <c r="C41" s="16"/>
      <c r="D41" s="16"/>
      <c r="E41" s="16"/>
    </row>
    <row r="42" spans="1:7">
      <c r="A42" s="16"/>
      <c r="B42" s="16"/>
      <c r="C42" s="16"/>
      <c r="D42" s="16"/>
      <c r="E42" s="16"/>
    </row>
    <row r="43" spans="1:7">
      <c r="A43" s="16"/>
      <c r="B43" s="16"/>
      <c r="C43" s="16"/>
      <c r="D43" s="16"/>
      <c r="E43" s="16"/>
    </row>
    <row r="44" spans="1:7">
      <c r="A44" s="16"/>
      <c r="B44" s="16"/>
      <c r="C44" s="16"/>
      <c r="D44" s="16"/>
      <c r="E44" s="16"/>
    </row>
    <row r="45" spans="1:7">
      <c r="A45" s="16"/>
      <c r="B45" s="16"/>
      <c r="C45" s="16"/>
      <c r="D45" s="16"/>
      <c r="E45" s="16"/>
    </row>
    <row r="46" spans="1:7">
      <c r="A46" s="16"/>
      <c r="B46" s="16"/>
      <c r="C46" s="16"/>
      <c r="D46" s="16"/>
      <c r="E46" s="16"/>
    </row>
    <row r="47" spans="1:7">
      <c r="A47" s="16"/>
      <c r="B47" s="16"/>
      <c r="C47" s="16"/>
      <c r="D47" s="16"/>
      <c r="E47" s="16"/>
    </row>
    <row r="48" spans="1:7">
      <c r="A48" s="16"/>
      <c r="B48" s="16"/>
      <c r="C48" s="16"/>
      <c r="D48" s="16"/>
      <c r="E48" s="16"/>
    </row>
    <row r="49" spans="1:5">
      <c r="A49" s="16"/>
      <c r="B49" s="16"/>
      <c r="C49" s="16"/>
      <c r="D49" s="16"/>
      <c r="E49" s="16"/>
    </row>
    <row r="50" spans="1:5">
      <c r="A50" s="16"/>
      <c r="B50" s="16"/>
      <c r="C50" s="16"/>
      <c r="D50" s="16"/>
      <c r="E50" s="16"/>
    </row>
    <row r="51" spans="1:5">
      <c r="A51" s="16"/>
      <c r="B51" s="16"/>
      <c r="C51" s="16"/>
      <c r="D51" s="16"/>
      <c r="E51" s="16"/>
    </row>
    <row r="52" spans="1:5">
      <c r="A52" s="16"/>
      <c r="B52" s="16"/>
      <c r="C52" s="16"/>
      <c r="D52" s="16"/>
      <c r="E52" s="16"/>
    </row>
    <row r="53" spans="1:5">
      <c r="A53" s="16"/>
      <c r="B53" s="16"/>
      <c r="C53" s="16"/>
      <c r="D53" s="16"/>
      <c r="E53" s="16"/>
    </row>
    <row r="54" spans="1:5">
      <c r="A54" s="16"/>
      <c r="B54" s="16"/>
      <c r="C54" s="16"/>
      <c r="D54" s="16"/>
      <c r="E54" s="16"/>
    </row>
    <row r="55" spans="1:5">
      <c r="A55" s="16"/>
      <c r="B55" s="16"/>
      <c r="C55" s="16"/>
      <c r="D55" s="16"/>
      <c r="E55" s="16"/>
    </row>
    <row r="56" spans="1:5">
      <c r="A56" s="16"/>
      <c r="B56" s="16"/>
      <c r="C56" s="16"/>
      <c r="D56" s="16"/>
      <c r="E56" s="16"/>
    </row>
    <row r="57" spans="1:5">
      <c r="A57" s="16"/>
      <c r="B57" s="16"/>
      <c r="C57" s="16"/>
      <c r="D57" s="16"/>
      <c r="E57" s="16"/>
    </row>
    <row r="58" spans="1:5">
      <c r="A58" s="16"/>
      <c r="B58" s="16"/>
      <c r="C58" s="16"/>
      <c r="D58" s="16"/>
      <c r="E58" s="16"/>
    </row>
    <row r="59" spans="1:5">
      <c r="A59" s="16"/>
      <c r="B59" s="16"/>
      <c r="C59" s="16"/>
      <c r="D59" s="16"/>
      <c r="E59" s="16"/>
    </row>
    <row r="60" spans="1:5">
      <c r="A60" s="16"/>
      <c r="B60" s="16"/>
      <c r="C60" s="16"/>
      <c r="D60" s="16"/>
      <c r="E60" s="16"/>
    </row>
    <row r="61" spans="1:5">
      <c r="A61" s="16"/>
      <c r="B61" s="16"/>
      <c r="C61" s="16"/>
      <c r="D61" s="16"/>
      <c r="E61" s="16"/>
    </row>
    <row r="62" spans="1:5">
      <c r="A62" s="16"/>
      <c r="B62" s="16"/>
      <c r="C62" s="16"/>
      <c r="D62" s="16"/>
      <c r="E62" s="16"/>
    </row>
    <row r="63" spans="1:5">
      <c r="A63" s="16"/>
      <c r="B63" s="16"/>
      <c r="C63" s="16"/>
      <c r="D63" s="16"/>
      <c r="E63" s="16"/>
    </row>
    <row r="64" spans="1:5">
      <c r="A64" s="16"/>
      <c r="B64" s="16"/>
      <c r="C64" s="16"/>
      <c r="D64" s="16"/>
      <c r="E64" s="16"/>
    </row>
    <row r="65" spans="1:5">
      <c r="A65" s="16"/>
      <c r="B65" s="16"/>
      <c r="C65" s="16"/>
      <c r="D65" s="16"/>
      <c r="E65" s="16"/>
    </row>
    <row r="66" spans="1:5">
      <c r="A66" s="16"/>
      <c r="B66" s="16"/>
      <c r="C66" s="16"/>
      <c r="D66" s="16"/>
      <c r="E66" s="16"/>
    </row>
    <row r="67" spans="1:5">
      <c r="A67" s="16"/>
      <c r="B67" s="16"/>
      <c r="C67" s="16"/>
      <c r="D67" s="16"/>
      <c r="E67" s="16"/>
    </row>
    <row r="68" spans="1:5">
      <c r="A68" s="16"/>
      <c r="B68" s="16"/>
      <c r="C68" s="16"/>
      <c r="D68" s="16"/>
      <c r="E68" s="16"/>
    </row>
    <row r="69" spans="1:5">
      <c r="A69" s="16"/>
      <c r="B69" s="16"/>
      <c r="C69" s="16"/>
      <c r="D69" s="16"/>
      <c r="E69" s="16"/>
    </row>
    <row r="70" spans="1:5">
      <c r="A70" s="16"/>
      <c r="B70" s="16"/>
      <c r="C70" s="16"/>
      <c r="D70" s="16"/>
      <c r="E70" s="16"/>
    </row>
    <row r="71" spans="1:5">
      <c r="A71" s="16"/>
      <c r="B71" s="16"/>
      <c r="C71" s="16"/>
      <c r="D71" s="16"/>
      <c r="E71" s="16"/>
    </row>
    <row r="72" spans="1:5">
      <c r="A72" s="16"/>
      <c r="B72" s="16"/>
      <c r="C72" s="16"/>
      <c r="D72" s="16"/>
      <c r="E72" s="16"/>
    </row>
    <row r="73" spans="1:5">
      <c r="A73" s="16"/>
      <c r="B73" s="16"/>
      <c r="C73" s="16"/>
      <c r="D73" s="16"/>
      <c r="E73" s="16"/>
    </row>
    <row r="74" spans="1:5">
      <c r="A74" s="16"/>
      <c r="B74" s="16"/>
      <c r="C74" s="16"/>
      <c r="D74" s="16"/>
      <c r="E74" s="16"/>
    </row>
    <row r="75" spans="1:5">
      <c r="A75" s="16"/>
      <c r="B75" s="16"/>
      <c r="C75" s="16"/>
      <c r="D75" s="16"/>
      <c r="E75" s="16"/>
    </row>
    <row r="76" spans="1:5">
      <c r="A76" s="16"/>
      <c r="B76" s="16"/>
      <c r="C76" s="16"/>
      <c r="D76" s="16"/>
      <c r="E76" s="16"/>
    </row>
    <row r="77" spans="1:5">
      <c r="A77" s="16"/>
      <c r="B77" s="16"/>
      <c r="C77" s="16"/>
      <c r="D77" s="16"/>
      <c r="E77" s="16"/>
    </row>
    <row r="78" spans="1:5">
      <c r="A78" s="16"/>
      <c r="B78" s="16"/>
      <c r="C78" s="16"/>
      <c r="D78" s="16"/>
      <c r="E78" s="16"/>
    </row>
    <row r="79" spans="1:5">
      <c r="A79" s="16"/>
      <c r="B79" s="16"/>
      <c r="C79" s="16"/>
      <c r="D79" s="16"/>
      <c r="E79" s="16"/>
    </row>
    <row r="80" spans="1:5">
      <c r="A80" s="16"/>
      <c r="B80" s="16"/>
      <c r="C80" s="16"/>
      <c r="D80" s="16"/>
      <c r="E80" s="16"/>
    </row>
    <row r="81" spans="1:5">
      <c r="A81" s="16"/>
      <c r="B81" s="16"/>
      <c r="C81" s="16"/>
      <c r="D81" s="16"/>
      <c r="E81" s="16"/>
    </row>
    <row r="82" spans="1:5">
      <c r="A82" s="16"/>
      <c r="B82" s="16"/>
      <c r="C82" s="16"/>
      <c r="D82" s="16"/>
      <c r="E82" s="16"/>
    </row>
    <row r="83" spans="1:5">
      <c r="A83" s="16"/>
      <c r="B83" s="16"/>
      <c r="C83" s="16"/>
      <c r="D83" s="16"/>
      <c r="E83" s="16"/>
    </row>
    <row r="84" spans="1:5">
      <c r="A84" s="16"/>
      <c r="B84" s="16"/>
      <c r="C84" s="16"/>
      <c r="D84" s="16"/>
      <c r="E84" s="16"/>
    </row>
    <row r="85" spans="1:5">
      <c r="A85" s="16"/>
      <c r="B85" s="16"/>
      <c r="C85" s="16"/>
      <c r="D85" s="16"/>
      <c r="E85" s="16"/>
    </row>
    <row r="86" spans="1:5">
      <c r="A86" s="16"/>
      <c r="B86" s="16"/>
      <c r="C86" s="16"/>
      <c r="D86" s="16"/>
      <c r="E86" s="16"/>
    </row>
    <row r="87" spans="1:5">
      <c r="A87" s="16"/>
      <c r="B87" s="16"/>
      <c r="C87" s="16"/>
      <c r="D87" s="16"/>
      <c r="E87" s="16"/>
    </row>
    <row r="88" spans="1:5">
      <c r="A88" s="16"/>
      <c r="B88" s="16"/>
      <c r="C88" s="16"/>
      <c r="D88" s="16"/>
      <c r="E88" s="16"/>
    </row>
    <row r="89" spans="1:5">
      <c r="A89" s="16"/>
      <c r="B89" s="16"/>
      <c r="C89" s="16"/>
      <c r="D89" s="16"/>
      <c r="E89" s="16"/>
    </row>
    <row r="90" spans="1:5">
      <c r="A90" s="16"/>
      <c r="B90" s="16"/>
      <c r="C90" s="16"/>
      <c r="D90" s="16"/>
      <c r="E90" s="16"/>
    </row>
    <row r="91" spans="1:5">
      <c r="A91" s="16"/>
      <c r="B91" s="16"/>
      <c r="C91" s="16"/>
      <c r="D91" s="16"/>
      <c r="E91" s="16"/>
    </row>
    <row r="92" spans="1:5">
      <c r="A92" s="16"/>
      <c r="B92" s="16"/>
      <c r="C92" s="16"/>
      <c r="D92" s="16"/>
      <c r="E92" s="16"/>
    </row>
    <row r="93" spans="1:5">
      <c r="A93" s="16"/>
      <c r="B93" s="16"/>
      <c r="C93" s="16"/>
      <c r="D93" s="16"/>
      <c r="E93" s="16"/>
    </row>
    <row r="94" spans="1:5">
      <c r="A94" s="16"/>
      <c r="B94" s="16"/>
      <c r="C94" s="16"/>
      <c r="D94" s="16"/>
      <c r="E94" s="16"/>
    </row>
    <row r="95" spans="1:5">
      <c r="A95" s="16"/>
      <c r="B95" s="16"/>
      <c r="C95" s="16"/>
      <c r="D95" s="16"/>
      <c r="E95" s="16"/>
    </row>
    <row r="96" spans="1:5">
      <c r="A96" s="16"/>
      <c r="B96" s="16"/>
      <c r="C96" s="16"/>
      <c r="D96" s="16"/>
      <c r="E96" s="16"/>
    </row>
    <row r="97" spans="1:5">
      <c r="A97" s="16"/>
      <c r="B97" s="16"/>
      <c r="C97" s="16"/>
      <c r="D97" s="16"/>
      <c r="E97" s="16"/>
    </row>
    <row r="98" spans="1:5">
      <c r="A98" s="16"/>
      <c r="B98" s="16"/>
      <c r="C98" s="16"/>
      <c r="D98" s="16"/>
      <c r="E98" s="16"/>
    </row>
    <row r="99" spans="1:5">
      <c r="A99" s="16"/>
      <c r="B99" s="16"/>
      <c r="C99" s="16"/>
      <c r="D99" s="16"/>
      <c r="E99" s="16"/>
    </row>
    <row r="100" spans="1:5">
      <c r="A100" s="16"/>
      <c r="B100" s="16"/>
      <c r="C100" s="16"/>
      <c r="D100" s="16"/>
      <c r="E100" s="16"/>
    </row>
    <row r="101" spans="1:5">
      <c r="A101" s="16"/>
      <c r="B101" s="16"/>
      <c r="C101" s="16"/>
      <c r="D101" s="16"/>
      <c r="E101" s="16"/>
    </row>
    <row r="102" spans="1:5">
      <c r="A102" s="16"/>
      <c r="B102" s="16"/>
      <c r="C102" s="16"/>
      <c r="D102" s="16"/>
      <c r="E102" s="16"/>
    </row>
    <row r="103" spans="1:5">
      <c r="A103" s="16"/>
      <c r="B103" s="16"/>
      <c r="C103" s="16"/>
      <c r="D103" s="16"/>
      <c r="E103" s="16"/>
    </row>
    <row r="104" spans="1:5">
      <c r="A104" s="16"/>
      <c r="B104" s="16"/>
      <c r="C104" s="16"/>
      <c r="D104" s="16"/>
      <c r="E104" s="16"/>
    </row>
    <row r="105" spans="1:5">
      <c r="A105" s="16"/>
      <c r="B105" s="16"/>
      <c r="C105" s="16"/>
      <c r="D105" s="16"/>
      <c r="E105" s="16"/>
    </row>
    <row r="106" spans="1:5">
      <c r="A106" s="16"/>
      <c r="B106" s="16"/>
      <c r="C106" s="16"/>
      <c r="D106" s="16"/>
      <c r="E106" s="16"/>
    </row>
    <row r="107" spans="1:5">
      <c r="A107" s="16"/>
      <c r="B107" s="16"/>
      <c r="C107" s="16"/>
      <c r="D107" s="16"/>
      <c r="E107" s="16"/>
    </row>
    <row r="108" spans="1:5">
      <c r="A108" s="16"/>
      <c r="B108" s="16"/>
      <c r="C108" s="16"/>
      <c r="D108" s="16"/>
      <c r="E108" s="16"/>
    </row>
    <row r="109" spans="1:5">
      <c r="A109" s="16"/>
      <c r="B109" s="16"/>
      <c r="C109" s="16"/>
      <c r="D109" s="16"/>
      <c r="E109" s="16"/>
    </row>
    <row r="110" spans="1:5">
      <c r="A110" s="16"/>
      <c r="B110" s="16"/>
      <c r="C110" s="16"/>
      <c r="D110" s="16"/>
      <c r="E110" s="16"/>
    </row>
    <row r="111" spans="1:5">
      <c r="A111" s="16"/>
      <c r="B111" s="16"/>
      <c r="C111" s="16"/>
      <c r="D111" s="16"/>
      <c r="E111" s="16"/>
    </row>
    <row r="112" spans="1:5">
      <c r="A112" s="16"/>
      <c r="B112" s="16"/>
      <c r="C112" s="16"/>
      <c r="D112" s="16"/>
      <c r="E112" s="16"/>
    </row>
    <row r="113" spans="1:5">
      <c r="A113" s="16"/>
      <c r="B113" s="16"/>
      <c r="C113" s="16"/>
      <c r="D113" s="16"/>
      <c r="E113" s="16"/>
    </row>
    <row r="114" spans="1:5">
      <c r="A114" s="16"/>
      <c r="B114" s="16"/>
      <c r="C114" s="16"/>
      <c r="D114" s="16"/>
      <c r="E114" s="16"/>
    </row>
    <row r="115" spans="1:5">
      <c r="A115" s="16"/>
      <c r="B115" s="16"/>
      <c r="C115" s="16"/>
      <c r="D115" s="16"/>
      <c r="E115" s="16"/>
    </row>
    <row r="116" spans="1:5">
      <c r="A116" s="16"/>
      <c r="B116" s="16"/>
      <c r="C116" s="16"/>
      <c r="D116" s="16"/>
      <c r="E116" s="16"/>
    </row>
    <row r="117" spans="1:5">
      <c r="A117" s="16"/>
      <c r="B117" s="16"/>
      <c r="C117" s="16"/>
      <c r="D117" s="16"/>
      <c r="E117" s="16"/>
    </row>
    <row r="118" spans="1:5">
      <c r="A118" s="16"/>
      <c r="B118" s="16"/>
      <c r="C118" s="16"/>
      <c r="D118" s="16"/>
      <c r="E118" s="16"/>
    </row>
    <row r="119" spans="1:5">
      <c r="A119" s="16"/>
      <c r="B119" s="16"/>
      <c r="C119" s="16"/>
      <c r="D119" s="16"/>
      <c r="E119" s="16"/>
    </row>
    <row r="120" spans="1:5">
      <c r="A120" s="16"/>
      <c r="B120" s="16"/>
      <c r="C120" s="16"/>
      <c r="D120" s="16"/>
      <c r="E120" s="16"/>
    </row>
    <row r="121" spans="1:5">
      <c r="A121" s="16"/>
      <c r="B121" s="16"/>
      <c r="C121" s="16"/>
      <c r="D121" s="16"/>
      <c r="E121" s="16"/>
    </row>
    <row r="122" spans="1:5">
      <c r="A122" s="16"/>
      <c r="B122" s="16"/>
      <c r="C122" s="16"/>
      <c r="D122" s="16"/>
      <c r="E122" s="16"/>
    </row>
    <row r="123" spans="1:5">
      <c r="A123" s="16"/>
      <c r="B123" s="16"/>
      <c r="C123" s="16"/>
      <c r="D123" s="16"/>
      <c r="E123" s="16"/>
    </row>
    <row r="124" spans="1:5">
      <c r="A124" s="16"/>
      <c r="B124" s="16"/>
      <c r="C124" s="16"/>
      <c r="D124" s="16"/>
      <c r="E124" s="16"/>
    </row>
    <row r="125" spans="1:5">
      <c r="A125" s="16"/>
      <c r="B125" s="16"/>
      <c r="C125" s="16"/>
      <c r="D125" s="16"/>
      <c r="E125" s="16"/>
    </row>
    <row r="126" spans="1:5">
      <c r="A126" s="16"/>
      <c r="B126" s="16"/>
      <c r="C126" s="16"/>
      <c r="D126" s="16"/>
      <c r="E126" s="16"/>
    </row>
    <row r="127" spans="1:5">
      <c r="A127" s="16"/>
      <c r="B127" s="16"/>
      <c r="C127" s="16"/>
      <c r="D127" s="16"/>
      <c r="E127" s="16"/>
    </row>
    <row r="128" spans="1:5">
      <c r="A128" s="16"/>
      <c r="B128" s="16"/>
      <c r="C128" s="16"/>
      <c r="D128" s="16"/>
      <c r="E128" s="16"/>
    </row>
    <row r="129" spans="1:5">
      <c r="A129" s="16"/>
      <c r="B129" s="16"/>
      <c r="C129" s="16"/>
      <c r="D129" s="16"/>
      <c r="E129" s="16"/>
    </row>
    <row r="130" spans="1:5">
      <c r="A130" s="16"/>
      <c r="B130" s="16"/>
      <c r="C130" s="16"/>
      <c r="D130" s="16"/>
      <c r="E130" s="16"/>
    </row>
    <row r="131" spans="1:5">
      <c r="A131" s="16"/>
      <c r="B131" s="16"/>
      <c r="C131" s="16"/>
      <c r="D131" s="16"/>
      <c r="E131" s="16"/>
    </row>
    <row r="132" spans="1:5">
      <c r="A132" s="16"/>
      <c r="B132" s="16"/>
      <c r="C132" s="16"/>
      <c r="D132" s="16"/>
      <c r="E132" s="16"/>
    </row>
    <row r="133" spans="1:5">
      <c r="A133" s="16"/>
      <c r="B133" s="16"/>
      <c r="C133" s="16"/>
      <c r="D133" s="16"/>
      <c r="E133" s="16"/>
    </row>
    <row r="134" spans="1:5">
      <c r="A134" s="16"/>
      <c r="B134" s="16"/>
      <c r="C134" s="16"/>
      <c r="D134" s="16"/>
      <c r="E134" s="16"/>
    </row>
    <row r="135" spans="1:5">
      <c r="A135" s="16"/>
      <c r="B135" s="16"/>
      <c r="C135" s="16"/>
      <c r="D135" s="16"/>
      <c r="E135" s="16"/>
    </row>
    <row r="136" spans="1:5">
      <c r="A136" s="16"/>
      <c r="B136" s="16"/>
      <c r="C136" s="16"/>
      <c r="D136" s="16"/>
      <c r="E136" s="16"/>
    </row>
    <row r="137" spans="1:5">
      <c r="A137" s="16"/>
      <c r="B137" s="16"/>
      <c r="C137" s="16"/>
      <c r="D137" s="16"/>
      <c r="E137" s="16"/>
    </row>
    <row r="138" spans="1:5">
      <c r="A138" s="16"/>
      <c r="B138" s="16"/>
      <c r="C138" s="16"/>
      <c r="D138" s="16"/>
      <c r="E138" s="16"/>
    </row>
    <row r="139" spans="1:5">
      <c r="A139" s="16"/>
      <c r="B139" s="16"/>
      <c r="C139" s="16"/>
      <c r="D139" s="16"/>
      <c r="E139" s="16"/>
    </row>
    <row r="140" spans="1:5">
      <c r="A140" s="16"/>
      <c r="B140" s="16"/>
      <c r="C140" s="16"/>
      <c r="D140" s="16"/>
      <c r="E140" s="16"/>
    </row>
    <row r="141" spans="1:5">
      <c r="A141" s="16"/>
      <c r="B141" s="16"/>
      <c r="C141" s="16"/>
      <c r="D141" s="16"/>
      <c r="E141" s="16"/>
    </row>
    <row r="142" spans="1:5">
      <c r="A142" s="16"/>
      <c r="B142" s="16"/>
      <c r="C142" s="16"/>
      <c r="D142" s="16"/>
      <c r="E142" s="16"/>
    </row>
    <row r="143" spans="1:5">
      <c r="A143" s="16"/>
      <c r="B143" s="16"/>
      <c r="C143" s="16"/>
      <c r="D143" s="16"/>
      <c r="E143" s="16"/>
    </row>
    <row r="144" spans="1:5">
      <c r="A144" s="16"/>
      <c r="B144" s="16"/>
      <c r="C144" s="16"/>
      <c r="D144" s="16"/>
      <c r="E144" s="16"/>
    </row>
    <row r="145" spans="1:5">
      <c r="A145" s="16"/>
      <c r="B145" s="16"/>
      <c r="C145" s="16"/>
      <c r="D145" s="16"/>
      <c r="E145" s="16"/>
    </row>
    <row r="146" spans="1:5">
      <c r="A146" s="16"/>
      <c r="B146" s="16"/>
      <c r="C146" s="16"/>
      <c r="D146" s="16"/>
      <c r="E146" s="16"/>
    </row>
    <row r="147" spans="1:5">
      <c r="A147" s="16"/>
      <c r="B147" s="16"/>
      <c r="C147" s="16"/>
      <c r="D147" s="16"/>
      <c r="E147" s="16"/>
    </row>
    <row r="148" spans="1:5">
      <c r="A148" s="16"/>
      <c r="B148" s="16"/>
      <c r="C148" s="16"/>
      <c r="D148" s="16"/>
      <c r="E148" s="16"/>
    </row>
    <row r="149" spans="1:5">
      <c r="A149" s="16"/>
      <c r="B149" s="16"/>
      <c r="C149" s="16"/>
      <c r="D149" s="16"/>
      <c r="E149" s="16"/>
    </row>
    <row r="150" spans="1:5">
      <c r="A150" s="16"/>
      <c r="B150" s="16"/>
      <c r="C150" s="16"/>
      <c r="D150" s="16"/>
      <c r="E150" s="16"/>
    </row>
    <row r="151" spans="1:5">
      <c r="A151" s="16"/>
      <c r="B151" s="16"/>
      <c r="C151" s="16"/>
      <c r="D151" s="16"/>
      <c r="E151" s="16"/>
    </row>
    <row r="152" spans="1:5">
      <c r="A152" s="16"/>
      <c r="B152" s="16"/>
      <c r="C152" s="16"/>
      <c r="D152" s="16"/>
      <c r="E152" s="16"/>
    </row>
    <row r="153" spans="1:5">
      <c r="A153" s="16"/>
      <c r="B153" s="16"/>
      <c r="C153" s="16"/>
      <c r="D153" s="16"/>
      <c r="E153" s="16"/>
    </row>
    <row r="154" spans="1:5">
      <c r="A154" s="16"/>
      <c r="B154" s="16"/>
      <c r="C154" s="16"/>
      <c r="D154" s="16"/>
      <c r="E154" s="16"/>
    </row>
    <row r="155" spans="1:5">
      <c r="A155" s="16"/>
      <c r="B155" s="16"/>
      <c r="C155" s="16"/>
      <c r="D155" s="16"/>
      <c r="E155" s="16"/>
    </row>
    <row r="156" spans="1:5">
      <c r="A156" s="16"/>
      <c r="B156" s="16"/>
      <c r="C156" s="16"/>
      <c r="D156" s="16"/>
      <c r="E156" s="16"/>
    </row>
    <row r="157" spans="1:5">
      <c r="A157" s="16"/>
      <c r="B157" s="16"/>
      <c r="C157" s="16"/>
      <c r="D157" s="16"/>
      <c r="E157" s="16"/>
    </row>
    <row r="158" spans="1:5">
      <c r="A158" s="16"/>
      <c r="B158" s="16"/>
      <c r="C158" s="16"/>
      <c r="D158" s="16"/>
      <c r="E158" s="16"/>
    </row>
    <row r="159" spans="1:5">
      <c r="A159" s="16"/>
      <c r="B159" s="16"/>
      <c r="C159" s="16"/>
      <c r="D159" s="16"/>
      <c r="E159" s="16"/>
    </row>
    <row r="160" spans="1:5">
      <c r="A160" s="16"/>
      <c r="B160" s="16"/>
      <c r="C160" s="16"/>
      <c r="D160" s="16"/>
      <c r="E160" s="16"/>
    </row>
    <row r="161" spans="1:5">
      <c r="A161" s="16"/>
      <c r="B161" s="16"/>
      <c r="C161" s="16"/>
      <c r="D161" s="16"/>
      <c r="E161" s="16"/>
    </row>
    <row r="162" spans="1:5">
      <c r="A162" s="16"/>
      <c r="B162" s="16"/>
      <c r="C162" s="16"/>
      <c r="D162" s="16"/>
      <c r="E162" s="16"/>
    </row>
    <row r="163" spans="1:5">
      <c r="A163" s="16"/>
      <c r="B163" s="16"/>
      <c r="C163" s="16"/>
      <c r="D163" s="16"/>
      <c r="E163" s="16"/>
    </row>
    <row r="164" spans="1:5">
      <c r="A164" s="16"/>
      <c r="B164" s="16"/>
      <c r="C164" s="16"/>
      <c r="D164" s="16"/>
      <c r="E164" s="16"/>
    </row>
    <row r="165" spans="1:5">
      <c r="A165" s="16"/>
      <c r="B165" s="16"/>
      <c r="C165" s="16"/>
      <c r="D165" s="16"/>
      <c r="E165" s="16"/>
    </row>
    <row r="166" spans="1:5">
      <c r="A166" s="16"/>
      <c r="B166" s="16"/>
      <c r="C166" s="16"/>
      <c r="D166" s="16"/>
      <c r="E166" s="16"/>
    </row>
    <row r="167" spans="1:5">
      <c r="A167" s="16"/>
      <c r="B167" s="16"/>
      <c r="C167" s="16"/>
      <c r="D167" s="16"/>
      <c r="E167" s="16"/>
    </row>
  </sheetData>
  <phoneticPr fontId="5" type="noConversion"/>
  <hyperlinks>
    <hyperlink ref="A9" location="Contents!A1" display="Return to Contents" xr:uid="{00000000-0004-0000-0200-000000000000}"/>
  </hyperlinks>
  <pageMargins left="0.45" right="0.48" top="1" bottom="1" header="0.5" footer="0.5"/>
  <pageSetup paperSize="9" scale="6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9"/>
  <sheetViews>
    <sheetView zoomScaleNormal="100" workbookViewId="0">
      <selection activeCell="E8" sqref="E8"/>
    </sheetView>
  </sheetViews>
  <sheetFormatPr defaultColWidth="9.1796875" defaultRowHeight="12.5"/>
  <cols>
    <col min="1" max="1" width="9.1796875" style="13" customWidth="1"/>
    <col min="2" max="16384" width="9.1796875" style="13"/>
  </cols>
  <sheetData>
    <row r="1" spans="1:19" ht="18">
      <c r="A1" s="98" t="s">
        <v>153</v>
      </c>
    </row>
    <row r="2" spans="1:19" ht="15.5">
      <c r="A2" s="237" t="s">
        <v>187</v>
      </c>
    </row>
    <row r="3" spans="1:19" ht="15.5">
      <c r="A3" s="99"/>
    </row>
    <row r="5" spans="1:19">
      <c r="Q5" s="106"/>
      <c r="R5" s="106"/>
      <c r="S5" s="107"/>
    </row>
    <row r="6" spans="1:19">
      <c r="Q6" s="106"/>
      <c r="R6" s="106"/>
      <c r="S6" s="107"/>
    </row>
    <row r="7" spans="1:19">
      <c r="Q7" s="106"/>
      <c r="R7" s="106"/>
      <c r="S7" s="107"/>
    </row>
    <row r="8" spans="1:19">
      <c r="Q8" s="106"/>
      <c r="R8" s="106"/>
      <c r="S8" s="107"/>
    </row>
    <row r="9" spans="1:19">
      <c r="Q9" s="106"/>
      <c r="R9" s="106"/>
      <c r="S9" s="107"/>
    </row>
    <row r="10" spans="1:19">
      <c r="Q10" s="106"/>
      <c r="R10" s="106"/>
      <c r="S10" s="107"/>
    </row>
    <row r="11" spans="1:19">
      <c r="Q11" s="106"/>
      <c r="R11" s="106"/>
      <c r="S11" s="107"/>
    </row>
    <row r="12" spans="1:19">
      <c r="Q12" s="106"/>
      <c r="R12" s="106"/>
      <c r="S12" s="107"/>
    </row>
    <row r="13" spans="1:19">
      <c r="Q13" s="106"/>
      <c r="R13" s="106"/>
      <c r="S13" s="107"/>
    </row>
    <row r="14" spans="1:19">
      <c r="Q14" s="106"/>
      <c r="R14" s="106"/>
      <c r="S14" s="107"/>
    </row>
    <row r="15" spans="1:19">
      <c r="Q15" s="106"/>
      <c r="R15" s="106"/>
      <c r="S15" s="107"/>
    </row>
    <row r="16" spans="1:19">
      <c r="Q16" s="106"/>
      <c r="R16" s="106"/>
      <c r="S16" s="107"/>
    </row>
    <row r="17" spans="17:19">
      <c r="Q17" s="106"/>
      <c r="R17" s="106"/>
      <c r="S17" s="107"/>
    </row>
    <row r="18" spans="17:19">
      <c r="Q18" s="106"/>
      <c r="R18" s="106"/>
      <c r="S18" s="107"/>
    </row>
    <row r="19" spans="17:19">
      <c r="Q19" s="106"/>
      <c r="R19" s="106"/>
      <c r="S19" s="107"/>
    </row>
    <row r="20" spans="17:19">
      <c r="Q20" s="106"/>
      <c r="R20" s="106"/>
      <c r="S20" s="107"/>
    </row>
    <row r="21" spans="17:19">
      <c r="Q21" s="106"/>
      <c r="R21" s="106"/>
      <c r="S21" s="107"/>
    </row>
    <row r="22" spans="17:19">
      <c r="Q22" s="106"/>
      <c r="R22" s="106"/>
      <c r="S22" s="107"/>
    </row>
    <row r="23" spans="17:19">
      <c r="Q23" s="106"/>
      <c r="R23" s="106"/>
      <c r="S23" s="107"/>
    </row>
    <row r="24" spans="17:19">
      <c r="Q24" s="106"/>
      <c r="R24" s="106"/>
      <c r="S24" s="107"/>
    </row>
    <row r="25" spans="17:19">
      <c r="Q25" s="106"/>
      <c r="R25" s="106"/>
      <c r="S25" s="107"/>
    </row>
    <row r="26" spans="17:19">
      <c r="Q26" s="106"/>
      <c r="R26" s="106"/>
      <c r="S26" s="107"/>
    </row>
    <row r="27" spans="17:19">
      <c r="Q27" s="106"/>
      <c r="R27" s="106"/>
      <c r="S27" s="107"/>
    </row>
    <row r="28" spans="17:19">
      <c r="Q28" s="106"/>
      <c r="R28" s="106"/>
      <c r="S28" s="107"/>
    </row>
    <row r="29" spans="17:19">
      <c r="Q29" s="112"/>
      <c r="R29" s="112"/>
      <c r="S29" s="107"/>
    </row>
  </sheetData>
  <hyperlinks>
    <hyperlink ref="A2" r:id="rId1" display="https://www.gov.scot/collections/local-government-finance-statistics/" xr:uid="{37AAFA12-4040-436D-8B0D-DC31F94FA02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0"/>
  <sheetViews>
    <sheetView showGridLines="0" zoomScaleNormal="100" zoomScaleSheetLayoutView="100" workbookViewId="0"/>
  </sheetViews>
  <sheetFormatPr defaultColWidth="9.1796875" defaultRowHeight="12.5"/>
  <cols>
    <col min="1" max="1" width="35.1796875" style="1" customWidth="1"/>
    <col min="2" max="8" width="9.7265625" style="1" customWidth="1"/>
    <col min="9" max="9" width="9.7265625" style="26" customWidth="1"/>
    <col min="10" max="14" width="9.1796875" style="70"/>
    <col min="15" max="15" width="13.54296875" style="1" customWidth="1"/>
    <col min="16" max="16" width="12.26953125" style="1" customWidth="1"/>
    <col min="17" max="16384" width="9.1796875" style="1"/>
  </cols>
  <sheetData>
    <row r="1" spans="1:15" ht="30" customHeight="1">
      <c r="A1" s="98" t="s">
        <v>140</v>
      </c>
    </row>
    <row r="2" spans="1:15" s="70" customFormat="1" ht="20" customHeight="1">
      <c r="A2" s="142" t="s">
        <v>146</v>
      </c>
    </row>
    <row r="3" spans="1:15" s="17" customFormat="1" ht="15.5">
      <c r="A3" s="221" t="s">
        <v>192</v>
      </c>
      <c r="B3" s="40"/>
      <c r="C3" s="40"/>
      <c r="D3" s="40"/>
      <c r="E3" s="40"/>
      <c r="F3" s="40"/>
      <c r="G3" s="41"/>
      <c r="H3" s="69"/>
      <c r="I3" s="40"/>
      <c r="J3" s="40"/>
      <c r="K3" s="72"/>
      <c r="L3" s="40"/>
      <c r="M3" s="40"/>
    </row>
    <row r="4" spans="1:15" s="17" customFormat="1" ht="15.5">
      <c r="A4" s="221" t="s">
        <v>128</v>
      </c>
      <c r="B4" s="40"/>
      <c r="C4" s="40"/>
      <c r="D4" s="40"/>
      <c r="E4" s="40"/>
      <c r="F4" s="40"/>
      <c r="G4" s="41"/>
      <c r="H4" s="69"/>
      <c r="I4" s="40"/>
      <c r="J4" s="40"/>
      <c r="K4" s="72"/>
      <c r="L4" s="40"/>
      <c r="M4" s="40"/>
    </row>
    <row r="5" spans="1:15" s="180" customFormat="1" ht="15.5">
      <c r="A5" s="165" t="s">
        <v>88</v>
      </c>
    </row>
    <row r="6" spans="1:15" s="17" customFormat="1" ht="14.15" customHeight="1">
      <c r="A6" s="221" t="s">
        <v>91</v>
      </c>
      <c r="B6" s="40"/>
      <c r="C6" s="40"/>
      <c r="D6" s="40"/>
      <c r="E6" s="40"/>
      <c r="F6" s="40"/>
      <c r="G6" s="41"/>
      <c r="H6" s="69"/>
      <c r="I6" s="40"/>
      <c r="J6" s="40"/>
      <c r="K6" s="72"/>
      <c r="L6" s="40"/>
      <c r="M6" s="40"/>
    </row>
    <row r="7" spans="1:15" s="17" customFormat="1" ht="14.15" customHeight="1">
      <c r="A7" s="222" t="s">
        <v>193</v>
      </c>
      <c r="B7" s="40"/>
      <c r="C7" s="40"/>
      <c r="D7" s="40"/>
      <c r="E7" s="40"/>
      <c r="F7" s="40"/>
      <c r="G7" s="41"/>
      <c r="H7" s="69"/>
      <c r="I7" s="40"/>
      <c r="J7" s="40"/>
      <c r="K7" s="72"/>
      <c r="L7" s="40"/>
      <c r="M7" s="40"/>
    </row>
    <row r="8" spans="1:15" s="17" customFormat="1" ht="15.5">
      <c r="A8" s="212" t="s">
        <v>175</v>
      </c>
      <c r="B8" s="40"/>
      <c r="C8" s="40"/>
      <c r="D8" s="40"/>
      <c r="E8" s="40"/>
      <c r="F8" s="40"/>
      <c r="G8" s="41"/>
      <c r="H8" s="69"/>
      <c r="I8" s="40"/>
      <c r="J8" s="40"/>
      <c r="K8" s="72"/>
      <c r="L8" s="40"/>
      <c r="M8" s="40"/>
    </row>
    <row r="9" spans="1:15" s="17" customFormat="1" ht="15.5">
      <c r="A9" s="212" t="s">
        <v>216</v>
      </c>
      <c r="B9" s="40"/>
      <c r="C9" s="40"/>
      <c r="D9" s="40"/>
      <c r="E9" s="40"/>
      <c r="F9" s="40"/>
      <c r="G9" s="41"/>
      <c r="H9" s="69"/>
      <c r="I9" s="40"/>
      <c r="J9" s="40"/>
      <c r="K9" s="72"/>
      <c r="L9" s="40"/>
      <c r="M9" s="40"/>
    </row>
    <row r="10" spans="1:15" s="17" customFormat="1" ht="15.5">
      <c r="A10" s="212" t="s">
        <v>176</v>
      </c>
      <c r="B10" s="40"/>
      <c r="C10" s="40"/>
      <c r="D10" s="40"/>
      <c r="E10" s="40"/>
      <c r="F10" s="40"/>
      <c r="G10" s="41"/>
      <c r="H10" s="69"/>
      <c r="I10" s="40"/>
      <c r="J10" s="40"/>
      <c r="K10" s="72"/>
      <c r="L10" s="40"/>
      <c r="M10" s="40"/>
    </row>
    <row r="11" spans="1:15" s="17" customFormat="1" ht="15.5">
      <c r="A11" s="240" t="s">
        <v>219</v>
      </c>
      <c r="B11" s="40"/>
      <c r="C11" s="40"/>
      <c r="D11" s="40"/>
      <c r="E11" s="40"/>
      <c r="F11" s="40"/>
      <c r="G11" s="41"/>
      <c r="H11" s="69"/>
      <c r="I11" s="40"/>
      <c r="J11" s="40"/>
      <c r="K11" s="72"/>
      <c r="L11" s="40"/>
      <c r="M11" s="40"/>
    </row>
    <row r="12" spans="1:15" s="70" customFormat="1" ht="15.5">
      <c r="A12" s="223" t="s">
        <v>194</v>
      </c>
      <c r="B12" s="71"/>
      <c r="C12" s="71"/>
      <c r="D12" s="71"/>
      <c r="E12" s="71"/>
      <c r="F12" s="71"/>
      <c r="G12" s="181"/>
      <c r="H12" s="71"/>
      <c r="I12" s="40"/>
      <c r="J12" s="40"/>
      <c r="K12" s="72"/>
      <c r="L12" s="40"/>
      <c r="M12" s="40"/>
    </row>
    <row r="13" spans="1:15" ht="15.5">
      <c r="A13" s="99" t="s">
        <v>82</v>
      </c>
    </row>
    <row r="14" spans="1:15" ht="10" customHeight="1">
      <c r="A14" s="7"/>
      <c r="B14" s="238"/>
      <c r="C14" s="238"/>
      <c r="D14" s="238"/>
      <c r="E14" s="238"/>
      <c r="F14" s="238"/>
      <c r="G14" s="238"/>
    </row>
    <row r="15" spans="1:15" ht="39.75" customHeight="1">
      <c r="A15" s="28"/>
      <c r="B15" s="28" t="s">
        <v>25</v>
      </c>
      <c r="C15" s="28" t="s">
        <v>26</v>
      </c>
      <c r="D15" s="28" t="s">
        <v>57</v>
      </c>
      <c r="E15" s="28" t="s">
        <v>59</v>
      </c>
      <c r="F15" s="28" t="s">
        <v>66</v>
      </c>
      <c r="G15" s="28" t="s">
        <v>80</v>
      </c>
      <c r="H15" s="28" t="s">
        <v>79</v>
      </c>
      <c r="I15" s="28" t="s">
        <v>87</v>
      </c>
      <c r="J15" s="28" t="s">
        <v>122</v>
      </c>
      <c r="K15" s="28" t="s">
        <v>138</v>
      </c>
      <c r="L15" s="28" t="s">
        <v>160</v>
      </c>
      <c r="M15" s="28" t="s">
        <v>169</v>
      </c>
      <c r="N15" s="1"/>
    </row>
    <row r="16" spans="1:15" s="7" customFormat="1" ht="18" customHeight="1">
      <c r="A16" s="37" t="s">
        <v>5</v>
      </c>
      <c r="B16" s="144">
        <v>95.412565244817756</v>
      </c>
      <c r="C16" s="144">
        <v>95.74044102895725</v>
      </c>
      <c r="D16" s="144">
        <v>95.840614909317623</v>
      </c>
      <c r="E16" s="144">
        <v>96.002257589478873</v>
      </c>
      <c r="F16" s="144">
        <v>96.014674008238956</v>
      </c>
      <c r="G16" s="144">
        <v>95.772784008016188</v>
      </c>
      <c r="H16" s="144">
        <v>94.782627217444031</v>
      </c>
      <c r="I16" s="144">
        <v>95.742688580641712</v>
      </c>
      <c r="J16" s="144">
        <v>96.166078303075935</v>
      </c>
      <c r="K16" s="144">
        <v>95.492702078136233</v>
      </c>
      <c r="L16" s="233">
        <v>95.453201514366143</v>
      </c>
      <c r="M16" s="144">
        <v>95.211684272221291</v>
      </c>
      <c r="O16" s="108" t="s">
        <v>35</v>
      </c>
    </row>
    <row r="17" spans="1:21" ht="15" customHeight="1">
      <c r="A17" s="224" t="s">
        <v>6</v>
      </c>
      <c r="B17" s="145">
        <v>95.231386046863477</v>
      </c>
      <c r="C17" s="145">
        <v>95.302833718809353</v>
      </c>
      <c r="D17" s="145">
        <v>95.152085883793205</v>
      </c>
      <c r="E17" s="145">
        <v>94.9604708051193</v>
      </c>
      <c r="F17" s="145">
        <v>94.588526549428025</v>
      </c>
      <c r="G17" s="145">
        <v>93.577636871017006</v>
      </c>
      <c r="H17" s="145">
        <v>91.860035698898258</v>
      </c>
      <c r="I17" s="145">
        <v>92.793100050779501</v>
      </c>
      <c r="J17" s="145">
        <v>93.804130579613584</v>
      </c>
      <c r="K17" s="145">
        <v>92.505174851927507</v>
      </c>
      <c r="L17" s="234">
        <v>92.937544654291528</v>
      </c>
      <c r="M17" s="145">
        <v>91.023435111300287</v>
      </c>
      <c r="N17" s="1"/>
      <c r="O17" s="109">
        <v>92.577865128852039</v>
      </c>
    </row>
    <row r="18" spans="1:21" ht="15" customHeight="1">
      <c r="A18" s="225" t="s">
        <v>7</v>
      </c>
      <c r="B18" s="146">
        <v>96.374128274003709</v>
      </c>
      <c r="C18" s="146">
        <v>96.080738293114379</v>
      </c>
      <c r="D18" s="146">
        <v>96.071698144507749</v>
      </c>
      <c r="E18" s="146">
        <v>96.079180621427014</v>
      </c>
      <c r="F18" s="146">
        <v>96.40888183871202</v>
      </c>
      <c r="G18" s="146">
        <v>96.336491808498124</v>
      </c>
      <c r="H18" s="146">
        <v>95.470773380180489</v>
      </c>
      <c r="I18" s="146">
        <v>96.547795745124077</v>
      </c>
      <c r="J18" s="146">
        <v>96.923597660730749</v>
      </c>
      <c r="K18" s="146">
        <v>96.238079893062164</v>
      </c>
      <c r="L18" s="232">
        <v>96.195483708716182</v>
      </c>
      <c r="M18" s="146">
        <v>96.199793754462036</v>
      </c>
      <c r="N18" s="1"/>
      <c r="O18" s="109">
        <v>93.106334115573318</v>
      </c>
    </row>
    <row r="19" spans="1:21" ht="15" customHeight="1">
      <c r="A19" s="224" t="s">
        <v>195</v>
      </c>
      <c r="B19" s="145">
        <v>97.592306612382416</v>
      </c>
      <c r="C19" s="145">
        <v>97.80706816555481</v>
      </c>
      <c r="D19" s="145">
        <v>97.891573175488105</v>
      </c>
      <c r="E19" s="145">
        <v>97.830655260979398</v>
      </c>
      <c r="F19" s="145">
        <v>97.566299469604246</v>
      </c>
      <c r="G19" s="145">
        <v>97.390214773772925</v>
      </c>
      <c r="H19" s="145">
        <v>96.891014690809712</v>
      </c>
      <c r="I19" s="145">
        <v>97.186337377778614</v>
      </c>
      <c r="J19" s="145">
        <v>97.521212012033658</v>
      </c>
      <c r="K19" s="145">
        <v>96.875</v>
      </c>
      <c r="L19" s="234">
        <v>96.778534981722757</v>
      </c>
      <c r="M19" s="145">
        <v>96.765185636505691</v>
      </c>
      <c r="N19" s="1"/>
      <c r="O19" s="109">
        <v>92.657773324147712</v>
      </c>
    </row>
    <row r="20" spans="1:21" ht="15" customHeight="1">
      <c r="A20" s="225" t="s">
        <v>60</v>
      </c>
      <c r="B20" s="146">
        <v>95.218572942097751</v>
      </c>
      <c r="C20" s="146">
        <v>95.967686411309757</v>
      </c>
      <c r="D20" s="146">
        <v>95.792616720955479</v>
      </c>
      <c r="E20" s="146">
        <v>95.80084353461578</v>
      </c>
      <c r="F20" s="146">
        <v>96.113334528005097</v>
      </c>
      <c r="G20" s="146">
        <v>96.403407695649719</v>
      </c>
      <c r="H20" s="146">
        <v>96.147269618365044</v>
      </c>
      <c r="I20" s="146">
        <v>96.406673320975329</v>
      </c>
      <c r="J20" s="146">
        <v>96.825396825396822</v>
      </c>
      <c r="K20" s="146">
        <v>96.342685370741492</v>
      </c>
      <c r="L20" s="232">
        <v>95.539232450596998</v>
      </c>
      <c r="M20" s="146">
        <v>95.909010756480342</v>
      </c>
      <c r="N20" s="1"/>
      <c r="O20" s="109">
        <v>93.290221599802294</v>
      </c>
    </row>
    <row r="21" spans="1:21" ht="15" customHeight="1">
      <c r="A21" s="224" t="s">
        <v>196</v>
      </c>
      <c r="B21" s="145">
        <v>95.16447902937513</v>
      </c>
      <c r="C21" s="145">
        <v>96.363306190761108</v>
      </c>
      <c r="D21" s="145">
        <v>96.603683225216599</v>
      </c>
      <c r="E21" s="145">
        <v>96.8923224821106</v>
      </c>
      <c r="F21" s="145">
        <v>97.140758383510104</v>
      </c>
      <c r="G21" s="145">
        <v>96.96953595465817</v>
      </c>
      <c r="H21" s="145">
        <v>95.671371819795453</v>
      </c>
      <c r="I21" s="145">
        <v>96.670516931206393</v>
      </c>
      <c r="J21" s="145">
        <v>96.889398446627169</v>
      </c>
      <c r="K21" s="145">
        <v>96.070583414738437</v>
      </c>
      <c r="L21" s="234">
        <v>96.163923165042263</v>
      </c>
      <c r="M21" s="145">
        <v>96.090554931800639</v>
      </c>
      <c r="N21" s="1"/>
      <c r="O21" s="109">
        <v>93.583958885539118</v>
      </c>
    </row>
    <row r="22" spans="1:21" ht="15" customHeight="1">
      <c r="A22" s="167" t="s">
        <v>197</v>
      </c>
      <c r="B22" s="147">
        <v>95.058609411268208</v>
      </c>
      <c r="C22" s="147">
        <v>95.77940641405479</v>
      </c>
      <c r="D22" s="147">
        <v>95.852629412370078</v>
      </c>
      <c r="E22" s="147">
        <v>95.872763046940875</v>
      </c>
      <c r="F22" s="147">
        <v>95.956824825725207</v>
      </c>
      <c r="G22" s="147">
        <v>95.71959502755351</v>
      </c>
      <c r="H22" s="146">
        <v>94.707648677954793</v>
      </c>
      <c r="I22" s="146">
        <v>95.967014031344874</v>
      </c>
      <c r="J22" s="146">
        <v>96.73270078208742</v>
      </c>
      <c r="K22" s="146">
        <v>95.75919782870929</v>
      </c>
      <c r="L22" s="232">
        <v>96.246528038435557</v>
      </c>
      <c r="M22" s="146">
        <v>96.077654516640251</v>
      </c>
      <c r="N22" s="1"/>
      <c r="O22" s="109">
        <v>93.406308569605613</v>
      </c>
    </row>
    <row r="23" spans="1:21" ht="15" customHeight="1">
      <c r="A23" s="224" t="s">
        <v>148</v>
      </c>
      <c r="B23" s="145">
        <v>95.960549037759705</v>
      </c>
      <c r="C23" s="145">
        <v>96.063807384528985</v>
      </c>
      <c r="D23" s="145">
        <v>95.908783725242159</v>
      </c>
      <c r="E23" s="145">
        <v>96.148496330759272</v>
      </c>
      <c r="F23" s="145">
        <v>96.062687583155409</v>
      </c>
      <c r="G23" s="145">
        <v>95.917139797250712</v>
      </c>
      <c r="H23" s="145">
        <v>95.358054217758735</v>
      </c>
      <c r="I23" s="145">
        <v>96.087489608659325</v>
      </c>
      <c r="J23" s="145">
        <v>97.007662354668938</v>
      </c>
      <c r="K23" s="145">
        <v>96.721773315747015</v>
      </c>
      <c r="L23" s="234">
        <v>95.900377894513539</v>
      </c>
      <c r="M23" s="145">
        <v>95.837084962543273</v>
      </c>
      <c r="N23" s="1"/>
      <c r="O23" s="109">
        <v>93.9</v>
      </c>
    </row>
    <row r="24" spans="1:21" ht="15" customHeight="1">
      <c r="A24" s="167" t="s">
        <v>198</v>
      </c>
      <c r="B24" s="147">
        <v>93.290221599802294</v>
      </c>
      <c r="C24" s="147">
        <v>93.583958885539118</v>
      </c>
      <c r="D24" s="147">
        <v>93.406308569605613</v>
      </c>
      <c r="E24" s="147">
        <v>93.912797281993207</v>
      </c>
      <c r="F24" s="147">
        <v>94.061068423646219</v>
      </c>
      <c r="G24" s="147">
        <v>94.219765128439875</v>
      </c>
      <c r="H24" s="146">
        <v>93.676162829946662</v>
      </c>
      <c r="I24" s="146">
        <v>95.006987258528568</v>
      </c>
      <c r="J24" s="146">
        <v>95.36442961632234</v>
      </c>
      <c r="K24" s="146">
        <v>94.560777075074895</v>
      </c>
      <c r="L24" s="232">
        <v>94.19023439806341</v>
      </c>
      <c r="M24" s="146">
        <v>94.187010093600136</v>
      </c>
      <c r="N24" s="1"/>
      <c r="O24" s="109">
        <v>94.1</v>
      </c>
    </row>
    <row r="25" spans="1:21" ht="15" customHeight="1">
      <c r="A25" s="224" t="s">
        <v>199</v>
      </c>
      <c r="B25" s="145">
        <v>93.996414173247445</v>
      </c>
      <c r="C25" s="145">
        <v>93.947644792306406</v>
      </c>
      <c r="D25" s="145">
        <v>94.112622076512835</v>
      </c>
      <c r="E25" s="145">
        <v>94.198074487355328</v>
      </c>
      <c r="F25" s="145">
        <v>94.050957917519312</v>
      </c>
      <c r="G25" s="145">
        <v>94.003898487911755</v>
      </c>
      <c r="H25" s="145">
        <v>93.203722092869569</v>
      </c>
      <c r="I25" s="145">
        <v>95.311884263622687</v>
      </c>
      <c r="J25" s="145">
        <v>95.946709292334077</v>
      </c>
      <c r="K25" s="145">
        <v>95.381262352907044</v>
      </c>
      <c r="L25" s="234">
        <v>95.596065772582307</v>
      </c>
      <c r="M25" s="145">
        <v>94.727578882905405</v>
      </c>
      <c r="N25" s="1"/>
      <c r="O25" s="109">
        <v>93.6</v>
      </c>
    </row>
    <row r="26" spans="1:21" ht="15" customHeight="1">
      <c r="A26" s="167" t="s">
        <v>10</v>
      </c>
      <c r="B26" s="147">
        <v>96.581196581196579</v>
      </c>
      <c r="C26" s="147">
        <v>96.706849208358491</v>
      </c>
      <c r="D26" s="147">
        <v>96.837011004205792</v>
      </c>
      <c r="E26" s="147">
        <v>97.112531579036613</v>
      </c>
      <c r="F26" s="147">
        <v>96.789813486370164</v>
      </c>
      <c r="G26" s="147">
        <v>97.017404940456785</v>
      </c>
      <c r="H26" s="146">
        <v>96.693113772455092</v>
      </c>
      <c r="I26" s="146">
        <v>97.450156776903512</v>
      </c>
      <c r="J26" s="146">
        <v>97.733155990331937</v>
      </c>
      <c r="K26" s="146">
        <v>97.638233219382499</v>
      </c>
      <c r="L26" s="232">
        <v>96.953441159467062</v>
      </c>
      <c r="M26" s="146">
        <v>96.695127599187742</v>
      </c>
      <c r="N26" s="1"/>
      <c r="O26" s="109">
        <v>91.860035698898258</v>
      </c>
    </row>
    <row r="27" spans="1:21" ht="15" customHeight="1">
      <c r="A27" s="224" t="s">
        <v>200</v>
      </c>
      <c r="B27" s="145">
        <v>96.480951941702799</v>
      </c>
      <c r="C27" s="145">
        <v>97.676270598084656</v>
      </c>
      <c r="D27" s="145">
        <v>97.192253568317369</v>
      </c>
      <c r="E27" s="145">
        <v>97.027388776794453</v>
      </c>
      <c r="F27" s="145">
        <v>96.874881408675193</v>
      </c>
      <c r="G27" s="145">
        <v>96.754070628039756</v>
      </c>
      <c r="H27" s="145">
        <v>95.46768890137308</v>
      </c>
      <c r="I27" s="145">
        <v>97.662304459677557</v>
      </c>
      <c r="J27" s="145">
        <v>97.557305283638357</v>
      </c>
      <c r="K27" s="145">
        <v>96.798691759749431</v>
      </c>
      <c r="L27" s="234">
        <v>96.793193717277475</v>
      </c>
      <c r="M27" s="145">
        <v>96.439602737122215</v>
      </c>
      <c r="N27" s="1"/>
      <c r="O27" s="26">
        <v>92.8</v>
      </c>
    </row>
    <row r="28" spans="1:21" ht="15" customHeight="1">
      <c r="A28" s="167" t="s">
        <v>201</v>
      </c>
      <c r="B28" s="147">
        <v>97.975314502729645</v>
      </c>
      <c r="C28" s="147">
        <v>97.642749812171303</v>
      </c>
      <c r="D28" s="147">
        <v>97.757692040962567</v>
      </c>
      <c r="E28" s="147">
        <v>97.761315201948449</v>
      </c>
      <c r="F28" s="147">
        <v>97.638087065064752</v>
      </c>
      <c r="G28" s="147">
        <v>97.475211336244868</v>
      </c>
      <c r="H28" s="146">
        <v>96.421266074954204</v>
      </c>
      <c r="I28" s="146">
        <v>96.761027222085971</v>
      </c>
      <c r="J28" s="146">
        <v>97.55001837068707</v>
      </c>
      <c r="K28" s="146">
        <v>97.546155280661409</v>
      </c>
      <c r="L28" s="232">
        <v>97.769075407409687</v>
      </c>
      <c r="M28" s="146">
        <v>97.738172943213101</v>
      </c>
      <c r="N28" s="1"/>
      <c r="O28" s="26">
        <v>92.7</v>
      </c>
    </row>
    <row r="29" spans="1:21" ht="15" customHeight="1">
      <c r="A29" s="224" t="s">
        <v>152</v>
      </c>
      <c r="B29" s="145">
        <v>95.587291693402022</v>
      </c>
      <c r="C29" s="145">
        <v>96.008486461217586</v>
      </c>
      <c r="D29" s="145">
        <v>96.388820183032394</v>
      </c>
      <c r="E29" s="145">
        <v>96.620236438908819</v>
      </c>
      <c r="F29" s="145">
        <v>96.584340514976347</v>
      </c>
      <c r="G29" s="145">
        <v>96.387903261724844</v>
      </c>
      <c r="H29" s="145">
        <v>95.86112924745224</v>
      </c>
      <c r="I29" s="145">
        <v>96.460699426515234</v>
      </c>
      <c r="J29" s="145">
        <v>96.877605357286939</v>
      </c>
      <c r="K29" s="145">
        <v>96.640869008943469</v>
      </c>
      <c r="L29" s="234">
        <v>96.476541513088023</v>
      </c>
      <c r="M29" s="145">
        <v>96.247699213157816</v>
      </c>
      <c r="N29" s="1"/>
      <c r="O29" s="26"/>
    </row>
    <row r="30" spans="1:21" ht="15" customHeight="1">
      <c r="A30" s="167" t="s">
        <v>202</v>
      </c>
      <c r="B30" s="147">
        <v>95.382165605095537</v>
      </c>
      <c r="C30" s="147">
        <v>95.691338718859669</v>
      </c>
      <c r="D30" s="147">
        <v>95.754565730124909</v>
      </c>
      <c r="E30" s="147">
        <v>95.771108464327313</v>
      </c>
      <c r="F30" s="147">
        <v>95.701662517167634</v>
      </c>
      <c r="G30" s="147">
        <v>95.330272200714262</v>
      </c>
      <c r="H30" s="146">
        <v>94.385133820786564</v>
      </c>
      <c r="I30" s="146">
        <v>95.308128394838434</v>
      </c>
      <c r="J30" s="146">
        <v>95.824618736383442</v>
      </c>
      <c r="K30" s="146">
        <v>95.193486886175094</v>
      </c>
      <c r="L30" s="232">
        <v>95.251909241280842</v>
      </c>
      <c r="M30" s="146">
        <v>94.976688362645987</v>
      </c>
      <c r="N30" s="1"/>
    </row>
    <row r="31" spans="1:21" ht="15" customHeight="1">
      <c r="A31" s="224" t="s">
        <v>203</v>
      </c>
      <c r="B31" s="145">
        <v>94.610446019646048</v>
      </c>
      <c r="C31" s="145">
        <v>94.748916901358953</v>
      </c>
      <c r="D31" s="145">
        <v>94.915229336232471</v>
      </c>
      <c r="E31" s="145">
        <v>94.978013192084759</v>
      </c>
      <c r="F31" s="145">
        <v>95.028860776994321</v>
      </c>
      <c r="G31" s="145">
        <v>94.363743689448626</v>
      </c>
      <c r="H31" s="145">
        <v>92.126382106921085</v>
      </c>
      <c r="I31" s="145">
        <v>93.924987611496533</v>
      </c>
      <c r="J31" s="145">
        <v>94.481493831277092</v>
      </c>
      <c r="K31" s="145">
        <v>93.794093862413206</v>
      </c>
      <c r="L31" s="234">
        <v>93.372989448681594</v>
      </c>
      <c r="M31" s="145">
        <v>92.978267794012368</v>
      </c>
      <c r="N31" s="1"/>
      <c r="R31" s="70"/>
      <c r="S31" s="70"/>
      <c r="T31" s="70"/>
      <c r="U31" s="23"/>
    </row>
    <row r="32" spans="1:21" ht="15" customHeight="1">
      <c r="A32" s="167" t="s">
        <v>11</v>
      </c>
      <c r="B32" s="147">
        <v>95.169138315401767</v>
      </c>
      <c r="C32" s="147">
        <v>95.629998951352277</v>
      </c>
      <c r="D32" s="147">
        <v>96.056639963894838</v>
      </c>
      <c r="E32" s="147">
        <v>96.096212473518321</v>
      </c>
      <c r="F32" s="147">
        <v>96.121876803826183</v>
      </c>
      <c r="G32" s="147">
        <v>96.214042489314465</v>
      </c>
      <c r="H32" s="146">
        <v>95.721524731508083</v>
      </c>
      <c r="I32" s="146">
        <v>96.482763235173849</v>
      </c>
      <c r="J32" s="146">
        <v>96.712047995559118</v>
      </c>
      <c r="K32" s="146">
        <v>95.890659673189433</v>
      </c>
      <c r="L32" s="232">
        <v>95.64867557281157</v>
      </c>
      <c r="M32" s="146">
        <v>95.706584065355926</v>
      </c>
      <c r="N32" s="10"/>
      <c r="O32" s="10"/>
      <c r="P32" s="10"/>
      <c r="Q32" s="10"/>
      <c r="R32" s="10"/>
      <c r="S32" s="10"/>
      <c r="T32" s="10"/>
      <c r="U32" s="113"/>
    </row>
    <row r="33" spans="1:22" ht="15" customHeight="1">
      <c r="A33" s="224" t="s">
        <v>12</v>
      </c>
      <c r="B33" s="145">
        <v>94.805523423944464</v>
      </c>
      <c r="C33" s="145">
        <v>95.119263446020398</v>
      </c>
      <c r="D33" s="145">
        <v>95.313262248240292</v>
      </c>
      <c r="E33" s="145">
        <v>95.523733226517123</v>
      </c>
      <c r="F33" s="145">
        <v>95.673107994571197</v>
      </c>
      <c r="G33" s="145">
        <v>95.350470142874585</v>
      </c>
      <c r="H33" s="145">
        <v>94.393300469204732</v>
      </c>
      <c r="I33" s="145">
        <v>95.624614842855877</v>
      </c>
      <c r="J33" s="145">
        <v>95.8997329658024</v>
      </c>
      <c r="K33" s="145">
        <v>94.697321355432379</v>
      </c>
      <c r="L33" s="234">
        <v>94.785933136303242</v>
      </c>
      <c r="M33" s="145">
        <v>94.602470857826049</v>
      </c>
      <c r="N33" s="10"/>
      <c r="O33" s="10"/>
      <c r="P33" s="10"/>
      <c r="Q33" s="10"/>
      <c r="R33" s="10"/>
      <c r="S33" s="10"/>
      <c r="T33" s="10"/>
      <c r="U33" s="113"/>
    </row>
    <row r="34" spans="1:22" ht="15" customHeight="1">
      <c r="A34" s="167" t="s">
        <v>149</v>
      </c>
      <c r="B34" s="147">
        <v>93.815688829711888</v>
      </c>
      <c r="C34" s="147">
        <v>94.402399757822607</v>
      </c>
      <c r="D34" s="147">
        <v>94.545697487974351</v>
      </c>
      <c r="E34" s="147">
        <v>95.076266308518797</v>
      </c>
      <c r="F34" s="147">
        <v>95.146621912775274</v>
      </c>
      <c r="G34" s="147">
        <v>95.143998318267819</v>
      </c>
      <c r="H34" s="146">
        <v>94.166336633663363</v>
      </c>
      <c r="I34" s="146">
        <v>94.181999005469919</v>
      </c>
      <c r="J34" s="146">
        <v>94.515406060385203</v>
      </c>
      <c r="K34" s="146">
        <v>93.761137823207022</v>
      </c>
      <c r="L34" s="232">
        <v>94.440675722629436</v>
      </c>
      <c r="M34" s="146">
        <v>92.269352348746608</v>
      </c>
      <c r="N34" s="10"/>
      <c r="O34" s="10"/>
      <c r="P34" s="10"/>
      <c r="Q34" s="10"/>
      <c r="R34" s="10"/>
      <c r="S34" s="10"/>
      <c r="T34" s="10"/>
      <c r="U34" s="113"/>
    </row>
    <row r="35" spans="1:22" ht="15" customHeight="1">
      <c r="A35" s="224" t="s">
        <v>204</v>
      </c>
      <c r="B35" s="145">
        <v>94.406662040249827</v>
      </c>
      <c r="C35" s="145">
        <v>95.597793434922721</v>
      </c>
      <c r="D35" s="145">
        <v>95.887592387037387</v>
      </c>
      <c r="E35" s="145">
        <v>96.673051718923276</v>
      </c>
      <c r="F35" s="145">
        <v>96.943662310783822</v>
      </c>
      <c r="G35" s="145">
        <v>96.96435433195451</v>
      </c>
      <c r="H35" s="145">
        <v>95.826697085790542</v>
      </c>
      <c r="I35" s="145">
        <v>96.720685559137962</v>
      </c>
      <c r="J35" s="145">
        <v>96.92604632263307</v>
      </c>
      <c r="K35" s="145">
        <v>96.182856269930681</v>
      </c>
      <c r="L35" s="234">
        <v>96.162846848185438</v>
      </c>
      <c r="M35" s="145">
        <v>96.355207685976779</v>
      </c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5" customHeight="1">
      <c r="A36" s="167" t="s">
        <v>147</v>
      </c>
      <c r="B36" s="147">
        <v>95.621301775147927</v>
      </c>
      <c r="C36" s="147">
        <v>95.877378435517969</v>
      </c>
      <c r="D36" s="147">
        <v>96.138147566718985</v>
      </c>
      <c r="E36" s="147">
        <v>95.748401108829597</v>
      </c>
      <c r="F36" s="147">
        <v>96.468252445473055</v>
      </c>
      <c r="G36" s="147">
        <v>96.184285340606905</v>
      </c>
      <c r="H36" s="146">
        <v>95.373936013594957</v>
      </c>
      <c r="I36" s="146">
        <v>96.145307361956284</v>
      </c>
      <c r="J36" s="146">
        <v>96.418111294306712</v>
      </c>
      <c r="K36" s="146">
        <v>95.647726909336455</v>
      </c>
      <c r="L36" s="232">
        <v>89.521240728253531</v>
      </c>
      <c r="M36" s="146">
        <v>93.645813737623399</v>
      </c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5" customHeight="1">
      <c r="A37" s="224" t="s">
        <v>205</v>
      </c>
      <c r="B37" s="145">
        <v>94.631648496861573</v>
      </c>
      <c r="C37" s="145">
        <v>94.661391953343255</v>
      </c>
      <c r="D37" s="145">
        <v>94.679889984140047</v>
      </c>
      <c r="E37" s="145">
        <v>94.82937878281534</v>
      </c>
      <c r="F37" s="145">
        <v>94.255113717636959</v>
      </c>
      <c r="G37" s="145">
        <v>93.997778824796399</v>
      </c>
      <c r="H37" s="145">
        <v>92.091493738964218</v>
      </c>
      <c r="I37" s="145">
        <v>93.343317825505068</v>
      </c>
      <c r="J37" s="145">
        <v>94.74017646058995</v>
      </c>
      <c r="K37" s="145">
        <v>93.575791308423533</v>
      </c>
      <c r="L37" s="234">
        <v>94.0333260569017</v>
      </c>
      <c r="M37" s="145">
        <v>94.021232759865086</v>
      </c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5" customHeight="1">
      <c r="A38" s="225" t="s">
        <v>206</v>
      </c>
      <c r="B38" s="146">
        <v>93.895002051859549</v>
      </c>
      <c r="C38" s="146">
        <v>93.801424680102215</v>
      </c>
      <c r="D38" s="146">
        <v>93.97509657646745</v>
      </c>
      <c r="E38" s="146">
        <v>94.174808232237979</v>
      </c>
      <c r="F38" s="146">
        <v>94.08130679395758</v>
      </c>
      <c r="G38" s="146">
        <v>94.075388168356795</v>
      </c>
      <c r="H38" s="146">
        <v>93.318833476289669</v>
      </c>
      <c r="I38" s="146">
        <v>94.611610731699997</v>
      </c>
      <c r="J38" s="146">
        <v>94.885732823877163</v>
      </c>
      <c r="K38" s="146">
        <v>94.050235478806911</v>
      </c>
      <c r="L38" s="232">
        <v>94.516817396606029</v>
      </c>
      <c r="M38" s="146">
        <v>94.457105499514256</v>
      </c>
      <c r="N38" s="1"/>
    </row>
    <row r="39" spans="1:22" ht="15" customHeight="1">
      <c r="A39" s="224" t="s">
        <v>217</v>
      </c>
      <c r="B39" s="145">
        <v>97.816649642492337</v>
      </c>
      <c r="C39" s="145">
        <v>97.97433316557624</v>
      </c>
      <c r="D39" s="145">
        <v>97.956150130063165</v>
      </c>
      <c r="E39" s="145">
        <v>97.918593894542099</v>
      </c>
      <c r="F39" s="145">
        <v>97.973646329310142</v>
      </c>
      <c r="G39" s="145">
        <v>97.738405419489311</v>
      </c>
      <c r="H39" s="145">
        <v>96.275862068965509</v>
      </c>
      <c r="I39" s="145">
        <v>93.772397094431</v>
      </c>
      <c r="J39" s="145">
        <v>95.52785923753666</v>
      </c>
      <c r="K39" s="145">
        <v>96.536471373727267</v>
      </c>
      <c r="L39" s="234">
        <v>95.998101866497947</v>
      </c>
      <c r="M39" s="145">
        <v>91.49310075501171</v>
      </c>
      <c r="N39" s="1"/>
    </row>
    <row r="40" spans="1:22" ht="15" customHeight="1">
      <c r="A40" s="225" t="s">
        <v>150</v>
      </c>
      <c r="B40" s="146">
        <v>97.037947637236385</v>
      </c>
      <c r="C40" s="146">
        <v>98.485940879596257</v>
      </c>
      <c r="D40" s="146">
        <v>97.894137734775185</v>
      </c>
      <c r="E40" s="146">
        <v>97.847380585647088</v>
      </c>
      <c r="F40" s="146">
        <v>97.858097969762625</v>
      </c>
      <c r="G40" s="146">
        <v>97.099731700448316</v>
      </c>
      <c r="H40" s="146">
        <v>96.590882064036151</v>
      </c>
      <c r="I40" s="146">
        <v>97.697433962787045</v>
      </c>
      <c r="J40" s="146">
        <v>98.378262694217611</v>
      </c>
      <c r="K40" s="146">
        <v>97.527745112129764</v>
      </c>
      <c r="L40" s="232">
        <v>97.339512429017688</v>
      </c>
      <c r="M40" s="146">
        <v>97.48224261947253</v>
      </c>
      <c r="N40" s="1"/>
    </row>
    <row r="41" spans="1:22" ht="15" customHeight="1">
      <c r="A41" s="224" t="s">
        <v>207</v>
      </c>
      <c r="B41" s="145">
        <v>95.997697388353629</v>
      </c>
      <c r="C41" s="145">
        <v>95.997562570596273</v>
      </c>
      <c r="D41" s="145">
        <v>95.955588496025342</v>
      </c>
      <c r="E41" s="145">
        <v>96.052237383228473</v>
      </c>
      <c r="F41" s="145">
        <v>96.019965334341165</v>
      </c>
      <c r="G41" s="145">
        <v>96.017245169642635</v>
      </c>
      <c r="H41" s="145">
        <v>95.034931594723531</v>
      </c>
      <c r="I41" s="145">
        <v>95.480456026058633</v>
      </c>
      <c r="J41" s="145">
        <v>95.309244022427976</v>
      </c>
      <c r="K41" s="145">
        <v>94.281712685074027</v>
      </c>
      <c r="L41" s="234">
        <v>94.48552215735117</v>
      </c>
      <c r="M41" s="145">
        <v>94.658650324286668</v>
      </c>
      <c r="N41" s="1"/>
    </row>
    <row r="42" spans="1:22" ht="15" customHeight="1">
      <c r="A42" s="225" t="s">
        <v>208</v>
      </c>
      <c r="B42" s="146">
        <v>96.487989090527634</v>
      </c>
      <c r="C42" s="146">
        <v>96.494636371315138</v>
      </c>
      <c r="D42" s="146">
        <v>96.634575824899201</v>
      </c>
      <c r="E42" s="146">
        <v>96.6135495294008</v>
      </c>
      <c r="F42" s="146">
        <v>96.840308963535122</v>
      </c>
      <c r="G42" s="146">
        <v>96.619362761820298</v>
      </c>
      <c r="H42" s="146">
        <v>95.96530488900504</v>
      </c>
      <c r="I42" s="146">
        <v>96.501762802453442</v>
      </c>
      <c r="J42" s="146">
        <v>96.566868736855128</v>
      </c>
      <c r="K42" s="146">
        <v>96.165049254233821</v>
      </c>
      <c r="L42" s="232">
        <v>96.125849469703425</v>
      </c>
      <c r="M42" s="146">
        <v>96.342868983022314</v>
      </c>
      <c r="N42" s="1"/>
    </row>
    <row r="43" spans="1:22" ht="15" customHeight="1">
      <c r="A43" s="224" t="s">
        <v>209</v>
      </c>
      <c r="B43" s="145">
        <v>97.169025811823488</v>
      </c>
      <c r="C43" s="145">
        <v>97.303318091218202</v>
      </c>
      <c r="D43" s="145">
        <v>97.249737792798044</v>
      </c>
      <c r="E43" s="145">
        <v>97.353974527887573</v>
      </c>
      <c r="F43" s="145">
        <v>97.303565015430664</v>
      </c>
      <c r="G43" s="145">
        <v>97.076908215716969</v>
      </c>
      <c r="H43" s="145">
        <v>97.006429735340973</v>
      </c>
      <c r="I43" s="145">
        <v>97.229422582348462</v>
      </c>
      <c r="J43" s="145">
        <v>97.862824188868032</v>
      </c>
      <c r="K43" s="145">
        <v>97.676528136557422</v>
      </c>
      <c r="L43" s="234">
        <v>97.428271518544435</v>
      </c>
      <c r="M43" s="145">
        <v>97.212817888355247</v>
      </c>
      <c r="N43" s="1"/>
    </row>
    <row r="44" spans="1:22" ht="15" customHeight="1">
      <c r="A44" s="225" t="s">
        <v>210</v>
      </c>
      <c r="B44" s="146">
        <v>94.792242589205969</v>
      </c>
      <c r="C44" s="146">
        <v>94.625075991027813</v>
      </c>
      <c r="D44" s="146">
        <v>94.91413200910408</v>
      </c>
      <c r="E44" s="146">
        <v>96.055697534576069</v>
      </c>
      <c r="F44" s="146">
        <v>95.821361873294066</v>
      </c>
      <c r="G44" s="146">
        <v>94.936305197965794</v>
      </c>
      <c r="H44" s="146">
        <v>94.079422382671481</v>
      </c>
      <c r="I44" s="146">
        <v>95.046941271782813</v>
      </c>
      <c r="J44" s="146">
        <v>95.549946458620155</v>
      </c>
      <c r="K44" s="146">
        <v>95.025084824406221</v>
      </c>
      <c r="L44" s="232">
        <v>95.15692012208207</v>
      </c>
      <c r="M44" s="146">
        <v>95.176140427057334</v>
      </c>
      <c r="N44" s="1"/>
    </row>
    <row r="45" spans="1:22" ht="15" customHeight="1">
      <c r="A45" s="224" t="s">
        <v>211</v>
      </c>
      <c r="B45" s="145">
        <v>95.787102621182399</v>
      </c>
      <c r="C45" s="145">
        <v>95.859617027519135</v>
      </c>
      <c r="D45" s="145">
        <v>95.99613595342808</v>
      </c>
      <c r="E45" s="145">
        <v>96.160245846170994</v>
      </c>
      <c r="F45" s="145">
        <v>96.154315840219198</v>
      </c>
      <c r="G45" s="145">
        <v>95.850375469231508</v>
      </c>
      <c r="H45" s="145">
        <v>95.558619753232762</v>
      </c>
      <c r="I45" s="145">
        <v>96.159676390016386</v>
      </c>
      <c r="J45" s="145">
        <v>96.965346730873293</v>
      </c>
      <c r="K45" s="145">
        <v>96.344294428733164</v>
      </c>
      <c r="L45" s="234">
        <v>96.385321404239093</v>
      </c>
      <c r="M45" s="145">
        <v>96.562625347458592</v>
      </c>
      <c r="N45" s="1"/>
    </row>
    <row r="46" spans="1:22" ht="15" customHeight="1">
      <c r="A46" s="225" t="s">
        <v>151</v>
      </c>
      <c r="B46" s="146">
        <v>97.401591948322164</v>
      </c>
      <c r="C46" s="146">
        <v>97.692105953317594</v>
      </c>
      <c r="D46" s="146">
        <v>97.751537863253901</v>
      </c>
      <c r="E46" s="146">
        <v>97.788771778877177</v>
      </c>
      <c r="F46" s="146">
        <v>97.713882665338986</v>
      </c>
      <c r="G46" s="146">
        <v>97.823199381455566</v>
      </c>
      <c r="H46" s="146">
        <v>97.109979749039496</v>
      </c>
      <c r="I46" s="146">
        <v>97.674592353237827</v>
      </c>
      <c r="J46" s="146">
        <v>97.848786010818969</v>
      </c>
      <c r="K46" s="146">
        <v>97.534730319485632</v>
      </c>
      <c r="L46" s="232">
        <v>97.614245658910917</v>
      </c>
      <c r="M46" s="146">
        <v>97.383455038910796</v>
      </c>
      <c r="N46" s="1"/>
    </row>
    <row r="47" spans="1:22" ht="15" customHeight="1">
      <c r="A47" s="224" t="s">
        <v>212</v>
      </c>
      <c r="B47" s="145">
        <v>95.005282873883388</v>
      </c>
      <c r="C47" s="145">
        <v>94.448971915747236</v>
      </c>
      <c r="D47" s="145">
        <v>95.118848135046235</v>
      </c>
      <c r="E47" s="145">
        <v>95.412105121856641</v>
      </c>
      <c r="F47" s="145">
        <v>95.553442263911705</v>
      </c>
      <c r="G47" s="145">
        <v>95.139082446067221</v>
      </c>
      <c r="H47" s="145">
        <v>94.183587140439926</v>
      </c>
      <c r="I47" s="145">
        <v>94.396473954171711</v>
      </c>
      <c r="J47" s="145">
        <v>92.665950275973231</v>
      </c>
      <c r="K47" s="145">
        <v>93.211323053850109</v>
      </c>
      <c r="L47" s="234">
        <v>93.797593306383376</v>
      </c>
      <c r="M47" s="145">
        <v>92.401814859676861</v>
      </c>
      <c r="N47" s="1"/>
    </row>
    <row r="48" spans="1:22" ht="15.75" customHeight="1" thickBot="1">
      <c r="A48" s="226" t="s">
        <v>213</v>
      </c>
      <c r="B48" s="76">
        <v>94.811860472718962</v>
      </c>
      <c r="C48" s="76">
        <v>95.093689149934562</v>
      </c>
      <c r="D48" s="76">
        <v>95.612345563019687</v>
      </c>
      <c r="E48" s="76">
        <v>96.068520078629589</v>
      </c>
      <c r="F48" s="76">
        <v>96.267674408729988</v>
      </c>
      <c r="G48" s="76">
        <v>96.431035397760439</v>
      </c>
      <c r="H48" s="148">
        <v>96.080082445204113</v>
      </c>
      <c r="I48" s="148">
        <v>96.752507255427801</v>
      </c>
      <c r="J48" s="148">
        <v>97.110426728261118</v>
      </c>
      <c r="K48" s="148">
        <v>96.594528201393487</v>
      </c>
      <c r="L48" s="235">
        <v>96.679610196506317</v>
      </c>
      <c r="M48" s="148">
        <v>96.457080055529843</v>
      </c>
      <c r="N48" s="1"/>
    </row>
    <row r="49" spans="1:13">
      <c r="A49" s="35"/>
      <c r="B49" s="38"/>
      <c r="C49" s="38"/>
      <c r="D49" s="38"/>
      <c r="E49" s="38"/>
      <c r="F49" s="38"/>
      <c r="G49" s="38"/>
      <c r="H49" s="27"/>
      <c r="I49" s="42"/>
      <c r="J49" s="40"/>
      <c r="K49" s="72"/>
      <c r="L49" s="40"/>
      <c r="M49" s="71"/>
    </row>
    <row r="50" spans="1:13" ht="16">
      <c r="A50" s="149"/>
    </row>
  </sheetData>
  <mergeCells count="1">
    <mergeCell ref="B14:G14"/>
  </mergeCells>
  <phoneticPr fontId="5" type="noConversion"/>
  <hyperlinks>
    <hyperlink ref="A13" location="Contents!A1" display="Return to Contents" xr:uid="{00000000-0004-0000-0400-000000000000}"/>
  </hyperlinks>
  <pageMargins left="0.75" right="0.75" top="1" bottom="1" header="0.5" footer="0.5"/>
  <pageSetup paperSize="9" scale="6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2" sqref="A2"/>
    </sheetView>
  </sheetViews>
  <sheetFormatPr defaultColWidth="9.1796875" defaultRowHeight="12.5"/>
  <cols>
    <col min="1" max="16384" width="9.1796875" style="13"/>
  </cols>
  <sheetData>
    <row r="1" spans="1:1" ht="18">
      <c r="A1" s="98" t="s">
        <v>154</v>
      </c>
    </row>
    <row r="2" spans="1:1" ht="15.5">
      <c r="A2" s="237" t="s">
        <v>187</v>
      </c>
    </row>
    <row r="3" spans="1:1" ht="15.5">
      <c r="A3" s="99"/>
    </row>
  </sheetData>
  <hyperlinks>
    <hyperlink ref="A2" r:id="rId1" display="https://www.gov.scot/collections/local-government-finance-statistics/" xr:uid="{C4333614-BDF7-4D07-A0AE-223405D98D5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76"/>
  <sheetViews>
    <sheetView showGridLines="0" zoomScaleNormal="100" zoomScaleSheetLayoutView="100" workbookViewId="0">
      <selection activeCell="A8" sqref="A8"/>
    </sheetView>
  </sheetViews>
  <sheetFormatPr defaultColWidth="9.1796875" defaultRowHeight="12.5"/>
  <cols>
    <col min="1" max="1" width="28.81640625" style="1" customWidth="1"/>
    <col min="2" max="9" width="8.54296875" style="1" customWidth="1"/>
    <col min="10" max="10" width="8.54296875" style="65" customWidth="1"/>
    <col min="11" max="12" width="9.1796875" style="65"/>
    <col min="13" max="16384" width="9.1796875" style="1"/>
  </cols>
  <sheetData>
    <row r="1" spans="1:40" ht="30" customHeight="1">
      <c r="A1" s="227" t="s">
        <v>214</v>
      </c>
      <c r="I1" s="26"/>
      <c r="J1" s="70"/>
      <c r="K1" s="70"/>
      <c r="L1" s="70"/>
      <c r="M1" s="70"/>
      <c r="N1" s="70"/>
    </row>
    <row r="2" spans="1:40" ht="30" customHeight="1">
      <c r="A2" s="114" t="s">
        <v>146</v>
      </c>
      <c r="I2" s="26"/>
      <c r="J2" s="70"/>
      <c r="K2" s="70"/>
      <c r="L2" s="70"/>
      <c r="M2" s="70"/>
      <c r="N2" s="70"/>
    </row>
    <row r="3" spans="1:40" s="13" customFormat="1" ht="15.5">
      <c r="A3" s="165" t="s">
        <v>164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40" s="17" customFormat="1" ht="15.5">
      <c r="A4" s="221" t="s">
        <v>128</v>
      </c>
      <c r="B4" s="40"/>
      <c r="C4" s="40"/>
      <c r="D4" s="40"/>
      <c r="E4" s="40"/>
      <c r="F4" s="40"/>
      <c r="G4" s="41"/>
      <c r="H4" s="35"/>
      <c r="I4" s="42"/>
      <c r="J4" s="40"/>
      <c r="K4" s="72"/>
      <c r="L4" s="40"/>
      <c r="M4" s="40"/>
    </row>
    <row r="5" spans="1:40" s="13" customFormat="1" ht="15.5">
      <c r="A5" s="165" t="s">
        <v>88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40" s="13" customFormat="1" ht="15.5">
      <c r="A6" s="212" t="s">
        <v>175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40" s="13" customFormat="1" ht="15.5">
      <c r="A7" s="212" t="s">
        <v>216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40" s="13" customFormat="1" ht="15.5">
      <c r="A8" s="212" t="s">
        <v>176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</row>
    <row r="9" spans="1:40" s="13" customFormat="1" ht="15.5">
      <c r="A9" s="240" t="s">
        <v>220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40" s="14" customFormat="1" ht="15.5">
      <c r="A10" s="102" t="s">
        <v>159</v>
      </c>
      <c r="B10" s="30"/>
      <c r="C10" s="30"/>
      <c r="D10" s="60"/>
      <c r="E10" s="60"/>
      <c r="F10" s="60"/>
      <c r="G10" s="60"/>
      <c r="H10" s="62"/>
      <c r="I10" s="61"/>
      <c r="J10" s="66"/>
      <c r="K10" s="66"/>
      <c r="L10" s="66"/>
      <c r="M10" s="66"/>
      <c r="N10" s="66"/>
    </row>
    <row r="11" spans="1:40" ht="15.5">
      <c r="A11" s="99" t="s">
        <v>82</v>
      </c>
    </row>
    <row r="12" spans="1:40" ht="13">
      <c r="A12" s="6"/>
      <c r="B12" s="138"/>
      <c r="C12" s="138"/>
      <c r="D12" s="138"/>
      <c r="E12" s="138"/>
      <c r="F12" s="138"/>
      <c r="G12" s="138"/>
      <c r="H12" s="138"/>
      <c r="I12" s="139"/>
      <c r="J12" s="139"/>
    </row>
    <row r="13" spans="1:40" ht="16" customHeight="1">
      <c r="A13" s="28"/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154"/>
      <c r="M13" s="154"/>
    </row>
    <row r="14" spans="1:40" ht="16" customHeight="1">
      <c r="A14" s="28"/>
      <c r="B14" s="28" t="s">
        <v>25</v>
      </c>
      <c r="C14" s="28" t="s">
        <v>26</v>
      </c>
      <c r="D14" s="28" t="s">
        <v>54</v>
      </c>
      <c r="E14" s="28" t="s">
        <v>55</v>
      </c>
      <c r="F14" s="28" t="s">
        <v>58</v>
      </c>
      <c r="G14" s="28" t="s">
        <v>61</v>
      </c>
      <c r="H14" s="28" t="s">
        <v>79</v>
      </c>
      <c r="I14" s="28" t="s">
        <v>87</v>
      </c>
      <c r="J14" s="28" t="s">
        <v>122</v>
      </c>
      <c r="K14" s="28" t="s">
        <v>138</v>
      </c>
      <c r="L14" s="28" t="s">
        <v>160</v>
      </c>
      <c r="M14" s="28" t="s">
        <v>169</v>
      </c>
    </row>
    <row r="15" spans="1:40" s="7" customFormat="1" ht="18" customHeight="1">
      <c r="A15" s="37" t="s">
        <v>5</v>
      </c>
      <c r="B15" s="158">
        <v>97.759335165630475</v>
      </c>
      <c r="C15" s="158">
        <v>97.719250741756028</v>
      </c>
      <c r="D15" s="158">
        <v>97.60446485158748</v>
      </c>
      <c r="E15" s="158">
        <v>97.654115788369708</v>
      </c>
      <c r="F15" s="158">
        <v>97.514069619625218</v>
      </c>
      <c r="G15" s="158">
        <v>97.280607154160464</v>
      </c>
      <c r="H15" s="158">
        <v>96.919925962572975</v>
      </c>
      <c r="I15" s="158">
        <v>97.029046039060347</v>
      </c>
      <c r="J15" s="158">
        <v>97.190935932829859</v>
      </c>
      <c r="K15" s="158">
        <v>96.387709018464449</v>
      </c>
      <c r="L15" s="158">
        <v>95.999487569553352</v>
      </c>
      <c r="M15" s="158">
        <v>95.211684272221291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ht="15" customHeight="1">
      <c r="A16" s="157" t="s">
        <v>6</v>
      </c>
      <c r="B16" s="199">
        <v>97.887738626650204</v>
      </c>
      <c r="C16" s="199">
        <v>97.698859344311828</v>
      </c>
      <c r="D16" s="199">
        <v>97.591966293196293</v>
      </c>
      <c r="E16" s="199">
        <v>97.717342844404826</v>
      </c>
      <c r="F16" s="199">
        <v>97.325034080094653</v>
      </c>
      <c r="G16" s="199">
        <v>96.843209229155747</v>
      </c>
      <c r="H16" s="199">
        <v>96.057914399541147</v>
      </c>
      <c r="I16" s="199">
        <v>96.272725181533076</v>
      </c>
      <c r="J16" s="199">
        <v>96.336229147922538</v>
      </c>
      <c r="K16" s="199">
        <v>95.601292760403339</v>
      </c>
      <c r="L16" s="199">
        <v>94.752001298139334</v>
      </c>
      <c r="M16" s="199">
        <v>91.023435111300287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ht="15" customHeight="1">
      <c r="A17" s="35" t="s">
        <v>7</v>
      </c>
      <c r="B17" s="184">
        <v>98.877979173390855</v>
      </c>
      <c r="C17" s="184">
        <v>98.778508441677957</v>
      </c>
      <c r="D17" s="184">
        <v>98.612438998029646</v>
      </c>
      <c r="E17" s="184">
        <v>98.57296290454623</v>
      </c>
      <c r="F17" s="184">
        <v>98.493921510556987</v>
      </c>
      <c r="G17" s="184">
        <v>98.440859469281889</v>
      </c>
      <c r="H17" s="184">
        <v>98.149421487603306</v>
      </c>
      <c r="I17" s="184">
        <v>98.116026172101783</v>
      </c>
      <c r="J17" s="184">
        <v>98.171290197111702</v>
      </c>
      <c r="K17" s="184">
        <v>97.512072097915464</v>
      </c>
      <c r="L17" s="184">
        <v>97.1017215867722</v>
      </c>
      <c r="M17" s="184">
        <v>96.199793754462036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ht="15" customHeight="1">
      <c r="A18" s="157" t="s">
        <v>93</v>
      </c>
      <c r="B18" s="199">
        <v>98.809035830678098</v>
      </c>
      <c r="C18" s="199">
        <v>99.115376384500166</v>
      </c>
      <c r="D18" s="199">
        <v>99.045013106600919</v>
      </c>
      <c r="E18" s="199">
        <v>98.623047578234917</v>
      </c>
      <c r="F18" s="199">
        <v>98.609209613137352</v>
      </c>
      <c r="G18" s="199">
        <v>98.351653122240691</v>
      </c>
      <c r="H18" s="199">
        <v>98.143521972459425</v>
      </c>
      <c r="I18" s="199">
        <v>97.975025975942231</v>
      </c>
      <c r="J18" s="199">
        <v>98.069845054530163</v>
      </c>
      <c r="K18" s="199">
        <v>97.43361078905366</v>
      </c>
      <c r="L18" s="199">
        <v>97.198531439101004</v>
      </c>
      <c r="M18" s="199">
        <v>96.765185636505691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15" customHeight="1">
      <c r="A19" s="35" t="s">
        <v>8</v>
      </c>
      <c r="B19" s="184">
        <v>98.175157094163751</v>
      </c>
      <c r="C19" s="184">
        <v>98.117058850511441</v>
      </c>
      <c r="D19" s="184">
        <v>97.887993480622953</v>
      </c>
      <c r="E19" s="184">
        <v>97.976425980877025</v>
      </c>
      <c r="F19" s="184">
        <v>98.080108567665192</v>
      </c>
      <c r="G19" s="184">
        <v>98.070989115002376</v>
      </c>
      <c r="H19" s="184">
        <v>98.055196754416286</v>
      </c>
      <c r="I19" s="184">
        <v>98.014768835616437</v>
      </c>
      <c r="J19" s="184">
        <v>97.93766951537792</v>
      </c>
      <c r="K19" s="184">
        <v>97.394508996105444</v>
      </c>
      <c r="L19" s="184">
        <v>97.022611933575561</v>
      </c>
      <c r="M19" s="184">
        <v>95.909010756480342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15" customHeight="1">
      <c r="A20" s="67" t="s">
        <v>94</v>
      </c>
      <c r="B20" s="199">
        <v>97.864948499652655</v>
      </c>
      <c r="C20" s="199">
        <v>97.724828634353187</v>
      </c>
      <c r="D20" s="199">
        <v>97.541158660211053</v>
      </c>
      <c r="E20" s="199">
        <v>97.722100270637753</v>
      </c>
      <c r="F20" s="199">
        <v>97.674229906221854</v>
      </c>
      <c r="G20" s="199">
        <v>97.506334875811589</v>
      </c>
      <c r="H20" s="199">
        <v>96.938264801133869</v>
      </c>
      <c r="I20" s="199">
        <v>97.349477023324098</v>
      </c>
      <c r="J20" s="199">
        <v>97.513924373988914</v>
      </c>
      <c r="K20" s="199">
        <v>96.65622297002615</v>
      </c>
      <c r="L20" s="199">
        <v>96.323010956072579</v>
      </c>
      <c r="M20" s="199">
        <v>96.090554931800639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ht="15" customHeight="1">
      <c r="A21" s="31" t="s">
        <v>95</v>
      </c>
      <c r="B21" s="184">
        <v>98.804342125963601</v>
      </c>
      <c r="C21" s="184">
        <v>98.750258211113405</v>
      </c>
      <c r="D21" s="184">
        <v>98.459333572196357</v>
      </c>
      <c r="E21" s="184">
        <v>98.242160033750523</v>
      </c>
      <c r="F21" s="184">
        <v>98.058383638165608</v>
      </c>
      <c r="G21" s="184">
        <v>97.768144555560326</v>
      </c>
      <c r="H21" s="184">
        <v>97.485039963175296</v>
      </c>
      <c r="I21" s="184">
        <v>97.550835597266811</v>
      </c>
      <c r="J21" s="184">
        <v>97.423709857804766</v>
      </c>
      <c r="K21" s="184">
        <v>95.984436385614984</v>
      </c>
      <c r="L21" s="184">
        <v>97.028326696220603</v>
      </c>
      <c r="M21" s="184">
        <v>96.077654516640251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ht="15" customHeight="1">
      <c r="A22" s="157" t="s">
        <v>9</v>
      </c>
      <c r="B22" s="199">
        <v>98.488160763383419</v>
      </c>
      <c r="C22" s="199">
        <v>98.277239842818886</v>
      </c>
      <c r="D22" s="199">
        <v>98.229975604200035</v>
      </c>
      <c r="E22" s="199">
        <v>98.350769620118371</v>
      </c>
      <c r="F22" s="199">
        <v>98.164848399486274</v>
      </c>
      <c r="G22" s="199">
        <v>98.085533016724042</v>
      </c>
      <c r="H22" s="199">
        <v>97.857552055774761</v>
      </c>
      <c r="I22" s="199">
        <v>97.839049110776145</v>
      </c>
      <c r="J22" s="199">
        <v>98.09178062898863</v>
      </c>
      <c r="K22" s="199">
        <v>97.453738900562982</v>
      </c>
      <c r="L22" s="199">
        <v>96.989382097885496</v>
      </c>
      <c r="M22" s="199">
        <v>95.837084962543273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ht="15" customHeight="1">
      <c r="A23" s="31" t="s">
        <v>96</v>
      </c>
      <c r="B23" s="184">
        <v>97.203417815570049</v>
      </c>
      <c r="C23" s="184">
        <v>97.063717532467535</v>
      </c>
      <c r="D23" s="184">
        <v>97.063941278825567</v>
      </c>
      <c r="E23" s="184">
        <v>97.086072639775679</v>
      </c>
      <c r="F23" s="184">
        <v>96.984252112856808</v>
      </c>
      <c r="G23" s="184">
        <v>96.867482665911979</v>
      </c>
      <c r="H23" s="184">
        <v>96.521473537746246</v>
      </c>
      <c r="I23" s="184">
        <v>96.850038434544302</v>
      </c>
      <c r="J23" s="184">
        <v>97.013070840729384</v>
      </c>
      <c r="K23" s="184">
        <v>96.145548465511993</v>
      </c>
      <c r="L23" s="184">
        <v>95.438018491310856</v>
      </c>
      <c r="M23" s="184">
        <v>94.187010093600136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ht="15" customHeight="1">
      <c r="A24" s="157" t="s">
        <v>97</v>
      </c>
      <c r="B24" s="199">
        <v>98.849552135418804</v>
      </c>
      <c r="C24" s="199">
        <v>98.517234582670682</v>
      </c>
      <c r="D24" s="199">
        <v>98.173050668821986</v>
      </c>
      <c r="E24" s="199">
        <v>98.631799159693671</v>
      </c>
      <c r="F24" s="199">
        <v>97.449116146118143</v>
      </c>
      <c r="G24" s="199">
        <v>96.917052636000335</v>
      </c>
      <c r="H24" s="199">
        <v>96.35878799456944</v>
      </c>
      <c r="I24" s="199">
        <v>96.517984348360542</v>
      </c>
      <c r="J24" s="199">
        <v>96.791007834018558</v>
      </c>
      <c r="K24" s="199">
        <v>95.818260266773365</v>
      </c>
      <c r="L24" s="199">
        <v>95.31000410634573</v>
      </c>
      <c r="M24" s="199">
        <v>94.727578882905405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ht="15" customHeight="1">
      <c r="A25" s="31" t="s">
        <v>10</v>
      </c>
      <c r="B25" s="184">
        <v>98.759674538598929</v>
      </c>
      <c r="C25" s="184">
        <v>98.802944794860281</v>
      </c>
      <c r="D25" s="184">
        <v>98.67703980434824</v>
      </c>
      <c r="E25" s="184">
        <v>98.571817192600648</v>
      </c>
      <c r="F25" s="184">
        <v>98.478154148257246</v>
      </c>
      <c r="G25" s="184">
        <v>98.424191463851386</v>
      </c>
      <c r="H25" s="184">
        <v>98.298880921664505</v>
      </c>
      <c r="I25" s="184">
        <v>98.362210793104978</v>
      </c>
      <c r="J25" s="184">
        <v>98.432215534537121</v>
      </c>
      <c r="K25" s="184">
        <v>97.980086121412171</v>
      </c>
      <c r="L25" s="184">
        <v>97.625205420404654</v>
      </c>
      <c r="M25" s="184">
        <v>96.695127599187742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ht="15" customHeight="1">
      <c r="A26" s="157" t="s">
        <v>98</v>
      </c>
      <c r="B26" s="199">
        <v>98.315975041172791</v>
      </c>
      <c r="C26" s="199">
        <v>99.738033412229697</v>
      </c>
      <c r="D26" s="199">
        <v>99.336437456418565</v>
      </c>
      <c r="E26" s="199">
        <v>99.046277665995973</v>
      </c>
      <c r="F26" s="199">
        <v>98.741982284667074</v>
      </c>
      <c r="G26" s="199">
        <v>98.372340425531917</v>
      </c>
      <c r="H26" s="199">
        <v>97.896466994288758</v>
      </c>
      <c r="I26" s="199">
        <v>97.905826427699623</v>
      </c>
      <c r="J26" s="199">
        <v>98.132552178689124</v>
      </c>
      <c r="K26" s="199">
        <v>97.42852379761608</v>
      </c>
      <c r="L26" s="199">
        <v>97.097861864111962</v>
      </c>
      <c r="M26" s="199">
        <v>96.439602737122215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s="65" customFormat="1" ht="15" customHeight="1">
      <c r="A27" s="31" t="s">
        <v>99</v>
      </c>
      <c r="B27" s="184">
        <v>99.411736572767708</v>
      </c>
      <c r="C27" s="184">
        <v>99.200151003940263</v>
      </c>
      <c r="D27" s="184">
        <v>99.087256427526299</v>
      </c>
      <c r="E27" s="184">
        <v>99.071239028373142</v>
      </c>
      <c r="F27" s="184">
        <v>99.003921568627447</v>
      </c>
      <c r="G27" s="184">
        <v>98.699879409104611</v>
      </c>
      <c r="H27" s="184">
        <v>98.873244482659786</v>
      </c>
      <c r="I27" s="184">
        <v>97.989923190754695</v>
      </c>
      <c r="J27" s="184">
        <v>98.265585385919834</v>
      </c>
      <c r="K27" s="184">
        <v>97.898385535396443</v>
      </c>
      <c r="L27" s="184">
        <v>97.70930969947257</v>
      </c>
      <c r="M27" s="184">
        <v>97.738172943213101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s="65" customFormat="1" ht="15" customHeight="1">
      <c r="A28" s="157" t="s">
        <v>100</v>
      </c>
      <c r="B28" s="199">
        <v>98.218111894515161</v>
      </c>
      <c r="C28" s="199">
        <v>98.365514144589127</v>
      </c>
      <c r="D28" s="199">
        <v>98.346801227989701</v>
      </c>
      <c r="E28" s="199">
        <v>98.321671557088962</v>
      </c>
      <c r="F28" s="199">
        <v>98.203203590497566</v>
      </c>
      <c r="G28" s="199">
        <v>98.003570365962517</v>
      </c>
      <c r="H28" s="199">
        <v>97.885832089286978</v>
      </c>
      <c r="I28" s="199">
        <v>97.887849152184629</v>
      </c>
      <c r="J28" s="199">
        <v>97.977349546856274</v>
      </c>
      <c r="K28" s="199">
        <v>97.473536170373066</v>
      </c>
      <c r="L28" s="199">
        <v>97.219929466496595</v>
      </c>
      <c r="M28" s="199">
        <v>96.247699213157816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s="65" customFormat="1" ht="15" customHeight="1">
      <c r="A29" s="31" t="s">
        <v>101</v>
      </c>
      <c r="B29" s="184">
        <v>97.944276169591717</v>
      </c>
      <c r="C29" s="184">
        <v>97.850878462473588</v>
      </c>
      <c r="D29" s="184">
        <v>97.682337119803137</v>
      </c>
      <c r="E29" s="184">
        <v>97.596612242482422</v>
      </c>
      <c r="F29" s="184">
        <v>97.478309050383444</v>
      </c>
      <c r="G29" s="184">
        <v>97.04154148719249</v>
      </c>
      <c r="H29" s="184">
        <v>96.716060883115688</v>
      </c>
      <c r="I29" s="184">
        <v>96.76682630852352</v>
      </c>
      <c r="J29" s="184">
        <v>96.93083013685137</v>
      </c>
      <c r="K29" s="184">
        <v>96.283850256304049</v>
      </c>
      <c r="L29" s="184">
        <v>95.913882013721206</v>
      </c>
      <c r="M29" s="184">
        <v>94.976688362645987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s="65" customFormat="1" ht="15" customHeight="1">
      <c r="A30" s="157" t="s">
        <v>102</v>
      </c>
      <c r="B30" s="199">
        <v>95.61029763220246</v>
      </c>
      <c r="C30" s="199">
        <v>95.569331158238171</v>
      </c>
      <c r="D30" s="199">
        <v>95.514812360405472</v>
      </c>
      <c r="E30" s="199">
        <v>95.798369202954788</v>
      </c>
      <c r="F30" s="199">
        <v>95.761061408313552</v>
      </c>
      <c r="G30" s="199">
        <v>95.462588368209879</v>
      </c>
      <c r="H30" s="199">
        <v>94.736233086876894</v>
      </c>
      <c r="I30" s="199">
        <v>95.21685689201054</v>
      </c>
      <c r="J30" s="199">
        <v>95.492005379557682</v>
      </c>
      <c r="K30" s="199">
        <v>94.134438144058421</v>
      </c>
      <c r="L30" s="199">
        <v>93.826801927957462</v>
      </c>
      <c r="M30" s="199">
        <v>92.978267794012368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s="65" customFormat="1" ht="15" customHeight="1">
      <c r="A31" s="31" t="s">
        <v>11</v>
      </c>
      <c r="B31" s="184">
        <v>98.179618754024162</v>
      </c>
      <c r="C31" s="184">
        <v>98.10274484264562</v>
      </c>
      <c r="D31" s="184">
        <v>98.101606550874109</v>
      </c>
      <c r="E31" s="184">
        <v>98.09176820825256</v>
      </c>
      <c r="F31" s="184">
        <v>97.973096253047814</v>
      </c>
      <c r="G31" s="184">
        <v>97.87905276541639</v>
      </c>
      <c r="H31" s="184">
        <v>97.638907880942611</v>
      </c>
      <c r="I31" s="184">
        <v>97.886771593549014</v>
      </c>
      <c r="J31" s="184">
        <v>97.854061954158198</v>
      </c>
      <c r="K31" s="184">
        <v>97.006452308874785</v>
      </c>
      <c r="L31" s="184">
        <v>96.561323386977804</v>
      </c>
      <c r="M31" s="184">
        <v>95.706584065355926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s="65" customFormat="1" ht="15" customHeight="1">
      <c r="A32" s="157" t="s">
        <v>12</v>
      </c>
      <c r="B32" s="199">
        <v>97.708340911571057</v>
      </c>
      <c r="C32" s="199">
        <v>97.782149883741738</v>
      </c>
      <c r="D32" s="199">
        <v>97.588925880497641</v>
      </c>
      <c r="E32" s="199">
        <v>97.826452111398538</v>
      </c>
      <c r="F32" s="199">
        <v>97.651727053925725</v>
      </c>
      <c r="G32" s="199">
        <v>97.27510379824696</v>
      </c>
      <c r="H32" s="199">
        <v>96.928552202649769</v>
      </c>
      <c r="I32" s="199">
        <v>96.891008655714543</v>
      </c>
      <c r="J32" s="199">
        <v>96.904274637534954</v>
      </c>
      <c r="K32" s="199">
        <v>95.593785897926807</v>
      </c>
      <c r="L32" s="199">
        <v>95.093673635623134</v>
      </c>
      <c r="M32" s="199">
        <v>94.602470857826049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 s="65" customFormat="1" ht="15" customHeight="1">
      <c r="A33" s="68" t="s">
        <v>103</v>
      </c>
      <c r="B33" s="184">
        <v>96.979837223151748</v>
      </c>
      <c r="C33" s="184">
        <v>97.227203752241692</v>
      </c>
      <c r="D33" s="184">
        <v>97.182608695652178</v>
      </c>
      <c r="E33" s="184">
        <v>97.291771893113975</v>
      </c>
      <c r="F33" s="184">
        <v>97.181720992652913</v>
      </c>
      <c r="G33" s="184">
        <v>97.08989688112861</v>
      </c>
      <c r="H33" s="184">
        <v>96.5624751767416</v>
      </c>
      <c r="I33" s="184">
        <v>96.422117122313225</v>
      </c>
      <c r="J33" s="184">
        <v>96.380049071666605</v>
      </c>
      <c r="K33" s="184">
        <v>95.665445665445674</v>
      </c>
      <c r="L33" s="184">
        <v>95.187698024318635</v>
      </c>
      <c r="M33" s="184">
        <v>92.269352348746608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 s="65" customFormat="1" ht="15" customHeight="1">
      <c r="A34" s="157" t="s">
        <v>104</v>
      </c>
      <c r="B34" s="199">
        <v>98.130841121495322</v>
      </c>
      <c r="C34" s="199">
        <v>98.662545812592299</v>
      </c>
      <c r="D34" s="199">
        <v>98.214866182685014</v>
      </c>
      <c r="E34" s="199">
        <v>98.507650810456525</v>
      </c>
      <c r="F34" s="199">
        <v>98.491893324339301</v>
      </c>
      <c r="G34" s="199">
        <v>98.265516382492137</v>
      </c>
      <c r="H34" s="199">
        <v>97.818690783807057</v>
      </c>
      <c r="I34" s="199">
        <v>97.815714134238149</v>
      </c>
      <c r="J34" s="199">
        <v>97.852891588291456</v>
      </c>
      <c r="K34" s="199">
        <v>97.122178512775463</v>
      </c>
      <c r="L34" s="199">
        <v>96.75242592110645</v>
      </c>
      <c r="M34" s="199">
        <v>96.355207685976779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s="65" customFormat="1" ht="15" customHeight="1">
      <c r="A35" s="31" t="s">
        <v>105</v>
      </c>
      <c r="B35" s="184">
        <v>98.731737454846723</v>
      </c>
      <c r="C35" s="184">
        <v>98.682166078839913</v>
      </c>
      <c r="D35" s="184">
        <v>98.531322029355579</v>
      </c>
      <c r="E35" s="184">
        <v>98.468744404748364</v>
      </c>
      <c r="F35" s="184">
        <v>98.563477512287861</v>
      </c>
      <c r="G35" s="184">
        <v>98.358788578814099</v>
      </c>
      <c r="H35" s="184">
        <v>98.028085885493851</v>
      </c>
      <c r="I35" s="184">
        <v>97.89225332982646</v>
      </c>
      <c r="J35" s="184">
        <v>97.524160288836711</v>
      </c>
      <c r="K35" s="184">
        <v>95.647726909336455</v>
      </c>
      <c r="L35" s="184">
        <v>94.195532398622277</v>
      </c>
      <c r="M35" s="184">
        <v>93.645813737623399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s="65" customFormat="1" ht="15" customHeight="1">
      <c r="A36" s="157" t="s">
        <v>106</v>
      </c>
      <c r="B36" s="199">
        <v>97.780499958475204</v>
      </c>
      <c r="C36" s="199">
        <v>97.527044746762826</v>
      </c>
      <c r="D36" s="199">
        <v>97.170249268341919</v>
      </c>
      <c r="E36" s="199">
        <v>96.996420314713987</v>
      </c>
      <c r="F36" s="199">
        <v>96.479100833093938</v>
      </c>
      <c r="G36" s="199">
        <v>96.091160925205216</v>
      </c>
      <c r="H36" s="199">
        <v>95.245448634590375</v>
      </c>
      <c r="I36" s="199">
        <v>95.129086403964507</v>
      </c>
      <c r="J36" s="199">
        <v>95.751699784719747</v>
      </c>
      <c r="K36" s="199">
        <v>94.777202680312598</v>
      </c>
      <c r="L36" s="199">
        <v>94.702642850898926</v>
      </c>
      <c r="M36" s="199">
        <v>94.021232759865086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 s="65" customFormat="1" ht="15" customHeight="1">
      <c r="A37" s="35" t="s">
        <v>107</v>
      </c>
      <c r="B37" s="184">
        <v>96.22417523503168</v>
      </c>
      <c r="C37" s="184">
        <v>96.03094864740514</v>
      </c>
      <c r="D37" s="184">
        <v>95.976609264204811</v>
      </c>
      <c r="E37" s="184">
        <v>96.097243821221795</v>
      </c>
      <c r="F37" s="184">
        <v>95.832214089047071</v>
      </c>
      <c r="G37" s="184">
        <v>95.929327146916691</v>
      </c>
      <c r="H37" s="184">
        <v>95.726528543564072</v>
      </c>
      <c r="I37" s="184">
        <v>95.949605823997587</v>
      </c>
      <c r="J37" s="184">
        <v>96.227112867553757</v>
      </c>
      <c r="K37" s="184">
        <v>95.366631243358128</v>
      </c>
      <c r="L37" s="184">
        <v>95.398910518522541</v>
      </c>
      <c r="M37" s="184">
        <v>94.457105499514256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 s="65" customFormat="1" ht="15" customHeight="1">
      <c r="A38" s="67" t="s">
        <v>218</v>
      </c>
      <c r="B38" s="199">
        <v>99.436186570989236</v>
      </c>
      <c r="C38" s="199">
        <v>99.368288060644346</v>
      </c>
      <c r="D38" s="199">
        <v>99.278876041278124</v>
      </c>
      <c r="E38" s="199">
        <v>99.210128934835637</v>
      </c>
      <c r="F38" s="199">
        <v>99.053978853644963</v>
      </c>
      <c r="G38" s="199">
        <v>98.192395595262823</v>
      </c>
      <c r="H38" s="199">
        <v>96.716679657053788</v>
      </c>
      <c r="I38" s="199">
        <v>96.632124352331601</v>
      </c>
      <c r="J38" s="199">
        <v>97.092381302907611</v>
      </c>
      <c r="K38" s="199">
        <v>96.261375748134796</v>
      </c>
      <c r="L38" s="199">
        <v>92.72768463978251</v>
      </c>
      <c r="M38" s="199">
        <v>91.49310075501171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s="65" customFormat="1" ht="15" customHeight="1">
      <c r="A39" s="35" t="s">
        <v>108</v>
      </c>
      <c r="B39" s="184">
        <v>98.630561530226828</v>
      </c>
      <c r="C39" s="184">
        <v>98.537767796184056</v>
      </c>
      <c r="D39" s="184">
        <v>98.470647290369399</v>
      </c>
      <c r="E39" s="184">
        <v>98.35747605429431</v>
      </c>
      <c r="F39" s="184">
        <v>98.23467966511987</v>
      </c>
      <c r="G39" s="184">
        <v>97.886178052623336</v>
      </c>
      <c r="H39" s="184">
        <v>97.563010820168344</v>
      </c>
      <c r="I39" s="184">
        <v>97.764632417078417</v>
      </c>
      <c r="J39" s="184">
        <v>98.092153233048933</v>
      </c>
      <c r="K39" s="184">
        <v>97.407355320971035</v>
      </c>
      <c r="L39" s="184">
        <v>97.126928254109401</v>
      </c>
      <c r="M39" s="184">
        <v>97.48224261947253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 s="65" customFormat="1" ht="15" customHeight="1">
      <c r="A40" s="157" t="s">
        <v>109</v>
      </c>
      <c r="B40" s="199">
        <v>96.913450887644828</v>
      </c>
      <c r="C40" s="199">
        <v>96.749643020123372</v>
      </c>
      <c r="D40" s="199">
        <v>96.668727445257574</v>
      </c>
      <c r="E40" s="199">
        <v>96.617907262584922</v>
      </c>
      <c r="F40" s="199">
        <v>96.594699418228842</v>
      </c>
      <c r="G40" s="199">
        <v>96.377374050986006</v>
      </c>
      <c r="H40" s="199">
        <v>96.009082378563733</v>
      </c>
      <c r="I40" s="199">
        <v>95.928626982427261</v>
      </c>
      <c r="J40" s="199">
        <v>95.739391341620234</v>
      </c>
      <c r="K40" s="199">
        <v>94.858568221501628</v>
      </c>
      <c r="L40" s="199">
        <v>94.742893079288962</v>
      </c>
      <c r="M40" s="199">
        <v>94.658650324286668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40" s="65" customFormat="1" ht="15" customHeight="1">
      <c r="A41" s="69" t="s">
        <v>110</v>
      </c>
      <c r="B41" s="184">
        <v>97.998244449677799</v>
      </c>
      <c r="C41" s="184">
        <v>97.915168943206325</v>
      </c>
      <c r="D41" s="184">
        <v>97.966346650149688</v>
      </c>
      <c r="E41" s="184">
        <v>97.808526551982041</v>
      </c>
      <c r="F41" s="184">
        <v>98.18165435213551</v>
      </c>
      <c r="G41" s="184">
        <v>97.971550351769125</v>
      </c>
      <c r="H41" s="184">
        <v>97.768267086448901</v>
      </c>
      <c r="I41" s="184">
        <v>97.772681020141164</v>
      </c>
      <c r="J41" s="184">
        <v>97.658344568940137</v>
      </c>
      <c r="K41" s="184">
        <v>97.214358011471163</v>
      </c>
      <c r="L41" s="184">
        <v>97.008009153318071</v>
      </c>
      <c r="M41" s="184">
        <v>96.342868983022314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1:40" s="65" customFormat="1" ht="15" customHeight="1">
      <c r="A42" s="157" t="s">
        <v>13</v>
      </c>
      <c r="B42" s="199">
        <v>99.51044776119403</v>
      </c>
      <c r="C42" s="199">
        <v>99.411279877546207</v>
      </c>
      <c r="D42" s="199">
        <v>99.391243268555371</v>
      </c>
      <c r="E42" s="199">
        <v>99.227714033539272</v>
      </c>
      <c r="F42" s="199">
        <v>99.177438307873089</v>
      </c>
      <c r="G42" s="199">
        <v>99.061081304168383</v>
      </c>
      <c r="H42" s="199">
        <v>99.00570978539082</v>
      </c>
      <c r="I42" s="199">
        <v>98.932660586066362</v>
      </c>
      <c r="J42" s="199">
        <v>99.062801932367151</v>
      </c>
      <c r="K42" s="199">
        <v>98.799596811142678</v>
      </c>
      <c r="L42" s="199">
        <v>98.567914250571079</v>
      </c>
      <c r="M42" s="199">
        <v>97.212817888355247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ht="15" customHeight="1">
      <c r="A43" s="69" t="s">
        <v>111</v>
      </c>
      <c r="B43" s="184">
        <v>98.114993391808923</v>
      </c>
      <c r="C43" s="184">
        <v>97.858416447219994</v>
      </c>
      <c r="D43" s="184">
        <v>98.002029423812829</v>
      </c>
      <c r="E43" s="184">
        <v>97.941664308699643</v>
      </c>
      <c r="F43" s="184">
        <v>97.640173684660539</v>
      </c>
      <c r="G43" s="184">
        <v>97.235567295679033</v>
      </c>
      <c r="H43" s="184">
        <v>96.317279839568101</v>
      </c>
      <c r="I43" s="184">
        <v>96.306672766089378</v>
      </c>
      <c r="J43" s="184">
        <v>96.676842716291873</v>
      </c>
      <c r="K43" s="184">
        <v>96.016324849212694</v>
      </c>
      <c r="L43" s="184">
        <v>95.793157965554386</v>
      </c>
      <c r="M43" s="184">
        <v>95.176140427057334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1:40" ht="15" customHeight="1">
      <c r="A44" s="157" t="s">
        <v>112</v>
      </c>
      <c r="B44" s="199">
        <v>98.228367531810278</v>
      </c>
      <c r="C44" s="199">
        <v>98.190652293348336</v>
      </c>
      <c r="D44" s="199">
        <v>98.111247478695446</v>
      </c>
      <c r="E44" s="199">
        <v>98.253327289439213</v>
      </c>
      <c r="F44" s="199">
        <v>98.134987030786135</v>
      </c>
      <c r="G44" s="199">
        <v>97.854504597795426</v>
      </c>
      <c r="H44" s="199">
        <v>97.559209468275682</v>
      </c>
      <c r="I44" s="199">
        <v>97.513115589080499</v>
      </c>
      <c r="J44" s="199">
        <v>97.909209245119797</v>
      </c>
      <c r="K44" s="199">
        <v>97.319207523696903</v>
      </c>
      <c r="L44" s="199">
        <v>97.058802607238277</v>
      </c>
      <c r="M44" s="199">
        <v>96.562625347458592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1:40" ht="15" customHeight="1">
      <c r="A45" s="69" t="s">
        <v>113</v>
      </c>
      <c r="B45" s="184">
        <v>98.984488608822105</v>
      </c>
      <c r="C45" s="184">
        <v>99.073454962269551</v>
      </c>
      <c r="D45" s="184">
        <v>99.059635195161135</v>
      </c>
      <c r="E45" s="184">
        <v>99.048872018289273</v>
      </c>
      <c r="F45" s="184">
        <v>98.974689599234651</v>
      </c>
      <c r="G45" s="184">
        <v>98.96034191432264</v>
      </c>
      <c r="H45" s="184">
        <v>98.751257282751027</v>
      </c>
      <c r="I45" s="184">
        <v>98.75872914833468</v>
      </c>
      <c r="J45" s="184">
        <v>98.82918745609453</v>
      </c>
      <c r="K45" s="184">
        <v>98.385051718385057</v>
      </c>
      <c r="L45" s="184">
        <v>98.190208733638798</v>
      </c>
      <c r="M45" s="184">
        <v>97.383455038910796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1:40" ht="15" customHeight="1">
      <c r="A46" s="157" t="s">
        <v>114</v>
      </c>
      <c r="B46" s="199">
        <v>94.543863061661156</v>
      </c>
      <c r="C46" s="199">
        <v>94.730671736375157</v>
      </c>
      <c r="D46" s="199">
        <v>94.331540770385189</v>
      </c>
      <c r="E46" s="199">
        <v>93.400144456482479</v>
      </c>
      <c r="F46" s="199">
        <v>92.843276446556359</v>
      </c>
      <c r="G46" s="199">
        <v>91.981210279082617</v>
      </c>
      <c r="H46" s="199">
        <v>94.464679764974875</v>
      </c>
      <c r="I46" s="199">
        <v>94.543186778921111</v>
      </c>
      <c r="J46" s="199">
        <v>94.832253097916507</v>
      </c>
      <c r="K46" s="199">
        <v>93.206425589130276</v>
      </c>
      <c r="L46" s="199">
        <v>90.032709849811113</v>
      </c>
      <c r="M46" s="199">
        <v>92.401814859676861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1:40" ht="15" customHeight="1" thickBot="1">
      <c r="A47" s="74" t="s">
        <v>115</v>
      </c>
      <c r="B47" s="198">
        <v>97.338956177773412</v>
      </c>
      <c r="C47" s="198">
        <v>97.441180698643919</v>
      </c>
      <c r="D47" s="198">
        <v>97.581883717285692</v>
      </c>
      <c r="E47" s="198">
        <v>97.7228954931998</v>
      </c>
      <c r="F47" s="198">
        <v>97.731944149124672</v>
      </c>
      <c r="G47" s="198">
        <v>97.618099259141246</v>
      </c>
      <c r="H47" s="198">
        <v>97.432315070044936</v>
      </c>
      <c r="I47" s="198">
        <v>97.421972687375884</v>
      </c>
      <c r="J47" s="198">
        <v>97.653640419518354</v>
      </c>
      <c r="K47" s="198">
        <v>96.897520193333477</v>
      </c>
      <c r="L47" s="198">
        <v>96.36013068394837</v>
      </c>
      <c r="M47" s="198">
        <v>96.457080055529843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>
      <c r="J48" s="1"/>
      <c r="K48" s="1"/>
      <c r="L48" s="1"/>
    </row>
    <row r="49" spans="1:12">
      <c r="J49" s="1"/>
      <c r="K49" s="1"/>
      <c r="L49" s="1"/>
    </row>
    <row r="50" spans="1:12">
      <c r="A50" s="43"/>
      <c r="B50" s="27"/>
      <c r="C50" s="27"/>
      <c r="D50" s="27"/>
      <c r="E50" s="27"/>
      <c r="F50" s="27"/>
      <c r="G50" s="27"/>
      <c r="H50" s="27"/>
      <c r="I50" s="27"/>
    </row>
    <row r="51" spans="1:12">
      <c r="A51" s="4"/>
    </row>
    <row r="52" spans="1:12">
      <c r="A52" s="11"/>
    </row>
    <row r="53" spans="1:12">
      <c r="A53" s="4"/>
      <c r="C53" s="75"/>
    </row>
    <row r="54" spans="1:12">
      <c r="A54" s="4"/>
    </row>
    <row r="55" spans="1:12">
      <c r="A55" s="4"/>
    </row>
    <row r="56" spans="1:12">
      <c r="A56" s="4"/>
    </row>
    <row r="57" spans="1:12">
      <c r="A57" s="4"/>
    </row>
    <row r="58" spans="1:12">
      <c r="A58" s="4"/>
    </row>
    <row r="59" spans="1:12">
      <c r="A59" s="4"/>
    </row>
    <row r="60" spans="1:12">
      <c r="A60" s="4"/>
    </row>
    <row r="61" spans="1:12">
      <c r="A61" s="4"/>
    </row>
    <row r="62" spans="1:12">
      <c r="A62" s="4"/>
    </row>
    <row r="63" spans="1:12">
      <c r="A63" s="4"/>
    </row>
    <row r="64" spans="1:12">
      <c r="A64" s="4"/>
    </row>
    <row r="65" spans="1:8">
      <c r="A65" s="4"/>
    </row>
    <row r="66" spans="1:8">
      <c r="A66" s="4"/>
    </row>
    <row r="67" spans="1:8">
      <c r="B67" s="10"/>
      <c r="C67" s="10"/>
      <c r="D67" s="10"/>
      <c r="E67" s="10"/>
      <c r="F67" s="10"/>
      <c r="G67" s="10"/>
      <c r="H67" s="10"/>
    </row>
    <row r="68" spans="1:8">
      <c r="B68" s="10"/>
      <c r="C68" s="10"/>
      <c r="D68" s="10"/>
      <c r="E68" s="10"/>
      <c r="F68" s="10"/>
      <c r="G68" s="10"/>
      <c r="H68" s="10"/>
    </row>
    <row r="69" spans="1:8">
      <c r="B69" s="10"/>
      <c r="C69" s="10"/>
      <c r="D69" s="10"/>
      <c r="E69" s="10"/>
      <c r="F69" s="10"/>
      <c r="G69" s="10"/>
      <c r="H69" s="10"/>
    </row>
    <row r="70" spans="1:8">
      <c r="B70" s="10"/>
      <c r="C70" s="10"/>
      <c r="D70" s="10"/>
      <c r="E70" s="10"/>
      <c r="F70" s="10"/>
      <c r="G70" s="10"/>
      <c r="H70" s="10"/>
    </row>
    <row r="71" spans="1:8">
      <c r="B71" s="10"/>
      <c r="C71" s="10"/>
      <c r="D71" s="10"/>
      <c r="E71" s="10"/>
      <c r="F71" s="10"/>
      <c r="G71" s="10"/>
      <c r="H71" s="10"/>
    </row>
    <row r="72" spans="1:8">
      <c r="B72" s="10"/>
      <c r="C72" s="10"/>
      <c r="D72" s="10"/>
      <c r="E72" s="10"/>
      <c r="F72" s="10"/>
      <c r="G72" s="10"/>
      <c r="H72" s="10"/>
    </row>
    <row r="73" spans="1:8">
      <c r="B73" s="10"/>
      <c r="C73" s="10"/>
      <c r="D73" s="10"/>
      <c r="E73" s="10"/>
      <c r="F73" s="10"/>
      <c r="G73" s="10"/>
      <c r="H73" s="10"/>
    </row>
    <row r="74" spans="1:8">
      <c r="B74" s="10"/>
      <c r="C74" s="10"/>
      <c r="D74" s="10"/>
      <c r="E74" s="10"/>
      <c r="F74" s="10"/>
      <c r="G74" s="10"/>
      <c r="H74" s="10"/>
    </row>
    <row r="75" spans="1:8">
      <c r="B75" s="10"/>
      <c r="C75" s="10"/>
      <c r="D75" s="10"/>
      <c r="E75" s="10"/>
      <c r="F75" s="10"/>
      <c r="G75" s="10"/>
      <c r="H75" s="10"/>
    </row>
    <row r="76" spans="1:8">
      <c r="B76" s="10"/>
      <c r="C76" s="10"/>
      <c r="D76" s="10"/>
      <c r="E76" s="10"/>
      <c r="F76" s="10"/>
      <c r="G76" s="10"/>
      <c r="H76" s="10"/>
    </row>
  </sheetData>
  <mergeCells count="1">
    <mergeCell ref="B13:K13"/>
  </mergeCells>
  <phoneticPr fontId="39" type="noConversion"/>
  <hyperlinks>
    <hyperlink ref="A11" location="Contents!A1" display="Return to Contents" xr:uid="{00000000-0004-0000-0600-000000000000}"/>
  </hyperlinks>
  <pageMargins left="0.42" right="0.44" top="1" bottom="1" header="0.5" footer="0.5"/>
  <pageSetup paperSize="9" scale="7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5"/>
  <sheetViews>
    <sheetView showGridLines="0" topLeftCell="A8" zoomScaleNormal="100" zoomScaleSheetLayoutView="100" workbookViewId="0">
      <selection activeCell="O9" sqref="O9"/>
    </sheetView>
  </sheetViews>
  <sheetFormatPr defaultColWidth="9.1796875" defaultRowHeight="12.5"/>
  <cols>
    <col min="1" max="1" width="20.54296875" style="1" customWidth="1"/>
    <col min="2" max="10" width="8.54296875" style="1" customWidth="1"/>
    <col min="11" max="16384" width="9.1796875" style="1"/>
  </cols>
  <sheetData>
    <row r="1" spans="1:14" ht="30" customHeight="1">
      <c r="A1" s="227" t="s">
        <v>183</v>
      </c>
      <c r="I1" s="26"/>
      <c r="J1" s="70"/>
      <c r="K1" s="70"/>
      <c r="L1" s="70"/>
      <c r="M1" s="70"/>
      <c r="N1" s="70"/>
    </row>
    <row r="2" spans="1:14" ht="30" customHeight="1">
      <c r="A2" s="114" t="s">
        <v>146</v>
      </c>
      <c r="I2" s="26"/>
      <c r="J2" s="70"/>
      <c r="K2" s="70"/>
      <c r="L2" s="70"/>
      <c r="M2" s="70"/>
      <c r="N2" s="70"/>
    </row>
    <row r="3" spans="1:14" s="13" customFormat="1" ht="15.5">
      <c r="A3" s="101" t="s">
        <v>92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7" customFormat="1" ht="15.5">
      <c r="A4" s="103" t="s">
        <v>129</v>
      </c>
      <c r="B4" s="40"/>
      <c r="C4" s="40"/>
      <c r="D4" s="40"/>
      <c r="E4" s="40"/>
      <c r="F4" s="40"/>
      <c r="G4" s="41"/>
      <c r="H4" s="35"/>
      <c r="I4" s="42"/>
      <c r="J4" s="40"/>
      <c r="K4" s="72"/>
      <c r="L4" s="40"/>
      <c r="M4" s="40"/>
    </row>
    <row r="5" spans="1:14" s="13" customFormat="1" ht="15.5">
      <c r="A5" s="101" t="s">
        <v>88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15.5">
      <c r="A6" s="104" t="s">
        <v>161</v>
      </c>
      <c r="B6" s="27"/>
      <c r="C6" s="27"/>
      <c r="D6" s="27"/>
      <c r="E6" s="27"/>
      <c r="F6" s="27"/>
      <c r="G6" s="36"/>
      <c r="H6" s="27"/>
      <c r="I6" s="42"/>
      <c r="J6" s="40"/>
      <c r="K6" s="72"/>
      <c r="L6" s="40"/>
      <c r="M6" s="40"/>
      <c r="N6" s="70"/>
    </row>
    <row r="7" spans="1:14" ht="15.5">
      <c r="A7" s="99" t="s">
        <v>82</v>
      </c>
    </row>
    <row r="8" spans="1:14" ht="14.25" customHeight="1">
      <c r="A8" s="6"/>
      <c r="B8" s="2"/>
      <c r="C8" s="2"/>
      <c r="D8" s="2"/>
      <c r="E8" s="2"/>
      <c r="F8" s="2"/>
      <c r="G8" s="2"/>
      <c r="H8" s="2"/>
    </row>
    <row r="9" spans="1:14" ht="20.149999999999999" customHeight="1">
      <c r="A9" s="28"/>
      <c r="B9" s="239"/>
      <c r="C9" s="239"/>
      <c r="D9" s="239"/>
      <c r="E9" s="239"/>
      <c r="F9" s="239"/>
      <c r="G9" s="239"/>
      <c r="H9" s="239"/>
      <c r="I9" s="239"/>
      <c r="J9" s="239"/>
      <c r="K9" s="239"/>
      <c r="L9" s="155"/>
      <c r="M9" s="155"/>
    </row>
    <row r="10" spans="1:14" ht="20.149999999999999" customHeight="1">
      <c r="A10" s="28"/>
      <c r="B10" s="28" t="s">
        <v>25</v>
      </c>
      <c r="C10" s="28" t="s">
        <v>26</v>
      </c>
      <c r="D10" s="28" t="s">
        <v>54</v>
      </c>
      <c r="E10" s="28" t="s">
        <v>55</v>
      </c>
      <c r="F10" s="28" t="s">
        <v>58</v>
      </c>
      <c r="G10" s="28" t="s">
        <v>61</v>
      </c>
      <c r="H10" s="28" t="s">
        <v>79</v>
      </c>
      <c r="I10" s="28" t="s">
        <v>87</v>
      </c>
      <c r="J10" s="28" t="s">
        <v>122</v>
      </c>
      <c r="K10" s="28" t="s">
        <v>138</v>
      </c>
      <c r="L10" s="28" t="s">
        <v>160</v>
      </c>
      <c r="M10" s="28" t="s">
        <v>169</v>
      </c>
    </row>
    <row r="11" spans="1:14" s="7" customFormat="1" ht="25">
      <c r="A11" s="182" t="s">
        <v>30</v>
      </c>
      <c r="B11" s="146">
        <v>95.412565244817756</v>
      </c>
      <c r="C11" s="146">
        <v>95.74044102895725</v>
      </c>
      <c r="D11" s="146">
        <v>95.840614909317623</v>
      </c>
      <c r="E11" s="146">
        <v>96.002257589478873</v>
      </c>
      <c r="F11" s="146">
        <v>96.014674008238956</v>
      </c>
      <c r="G11" s="146">
        <v>95.772784008016188</v>
      </c>
      <c r="H11" s="146">
        <v>94.782627217444031</v>
      </c>
      <c r="I11" s="146">
        <v>95.742688580641712</v>
      </c>
      <c r="J11" s="146">
        <v>96.166078303075935</v>
      </c>
      <c r="K11" s="146">
        <v>95.492702078136233</v>
      </c>
      <c r="L11" s="236">
        <v>95.453201514366143</v>
      </c>
      <c r="M11" s="146">
        <v>95.211684272221291</v>
      </c>
    </row>
    <row r="12" spans="1:14" s="7" customFormat="1" ht="25">
      <c r="A12" s="140" t="s">
        <v>24</v>
      </c>
      <c r="B12" s="145">
        <v>2.3467699208127186</v>
      </c>
      <c r="C12" s="145">
        <v>1.9788097127987783</v>
      </c>
      <c r="D12" s="145">
        <v>1.7638499422698573</v>
      </c>
      <c r="E12" s="145">
        <v>1.6518581988908352</v>
      </c>
      <c r="F12" s="145">
        <v>1.4993956113862623</v>
      </c>
      <c r="G12" s="145">
        <v>1.5078231461442755</v>
      </c>
      <c r="H12" s="145">
        <v>2.1372987451289447</v>
      </c>
      <c r="I12" s="145">
        <v>1.2863574584186352</v>
      </c>
      <c r="J12" s="145">
        <v>1.0248576297539245</v>
      </c>
      <c r="K12" s="145">
        <v>0.89500694032821571</v>
      </c>
      <c r="L12" s="145">
        <v>0.54628605518720974</v>
      </c>
      <c r="M12" s="145">
        <v>0</v>
      </c>
    </row>
    <row r="13" spans="1:14" s="23" customFormat="1" ht="25.5" thickBot="1">
      <c r="A13" s="150" t="s">
        <v>215</v>
      </c>
      <c r="B13" s="198">
        <v>97.759335165630475</v>
      </c>
      <c r="C13" s="198">
        <v>97.719250741756028</v>
      </c>
      <c r="D13" s="198">
        <v>97.60446485158748</v>
      </c>
      <c r="E13" s="198">
        <v>97.654115788369708</v>
      </c>
      <c r="F13" s="198">
        <v>97.514069619625218</v>
      </c>
      <c r="G13" s="198">
        <v>97.280607154160464</v>
      </c>
      <c r="H13" s="198">
        <v>96.919925962572975</v>
      </c>
      <c r="I13" s="198">
        <v>97.029046039060347</v>
      </c>
      <c r="J13" s="198">
        <v>97.190935932829859</v>
      </c>
      <c r="K13" s="198">
        <v>96.387709018464449</v>
      </c>
      <c r="L13" s="198">
        <v>95.999487569553352</v>
      </c>
      <c r="M13" s="198">
        <v>95.211684272221291</v>
      </c>
    </row>
    <row r="14" spans="1:14"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4" ht="13"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</row>
  </sheetData>
  <mergeCells count="1">
    <mergeCell ref="B9:K9"/>
  </mergeCells>
  <phoneticPr fontId="39" type="noConversion"/>
  <hyperlinks>
    <hyperlink ref="A7" location="Contents!A1" display="Return to Contents" xr:uid="{00000000-0004-0000-0700-000000000000}"/>
  </hyperlinks>
  <pageMargins left="0.75" right="0.75" top="1" bottom="1" header="0.5" footer="0.5"/>
  <pageSetup paperSize="9" scale="8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36"/>
  <sheetViews>
    <sheetView showGridLines="0" topLeftCell="A6" zoomScaleNormal="100" zoomScaleSheetLayoutView="100" workbookViewId="0">
      <selection activeCell="M20" sqref="M20"/>
    </sheetView>
  </sheetViews>
  <sheetFormatPr defaultColWidth="9.1796875" defaultRowHeight="12.5"/>
  <cols>
    <col min="1" max="1" width="13.54296875" style="1" customWidth="1"/>
    <col min="2" max="2" width="11.7265625" style="1" customWidth="1"/>
    <col min="3" max="11" width="7.54296875" style="1" bestFit="1" customWidth="1"/>
    <col min="12" max="16384" width="9.1796875" style="1"/>
  </cols>
  <sheetData>
    <row r="1" spans="1:18" ht="30" customHeight="1">
      <c r="A1" s="98" t="s">
        <v>180</v>
      </c>
      <c r="I1" s="26"/>
      <c r="J1" s="70"/>
      <c r="K1" s="70"/>
      <c r="L1" s="70"/>
      <c r="M1" s="70"/>
      <c r="N1" s="70"/>
    </row>
    <row r="2" spans="1:18" ht="30" customHeight="1">
      <c r="A2" s="114" t="s">
        <v>146</v>
      </c>
      <c r="I2" s="26"/>
      <c r="J2" s="70"/>
      <c r="K2" s="70"/>
      <c r="L2" s="70"/>
      <c r="M2" s="70"/>
      <c r="N2" s="70"/>
    </row>
    <row r="3" spans="1:18" s="13" customFormat="1" ht="15.5">
      <c r="A3" s="101" t="s">
        <v>92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8" s="17" customFormat="1" ht="15.5">
      <c r="A4" s="103" t="s">
        <v>130</v>
      </c>
      <c r="B4" s="39"/>
      <c r="C4" s="40"/>
      <c r="D4" s="40"/>
      <c r="E4" s="40"/>
      <c r="F4" s="40"/>
      <c r="G4" s="41"/>
      <c r="H4" s="35"/>
      <c r="I4" s="42"/>
      <c r="J4" s="40"/>
      <c r="K4" s="72"/>
      <c r="L4" s="40"/>
      <c r="M4" s="40"/>
    </row>
    <row r="5" spans="1:18" s="13" customFormat="1" ht="15.5">
      <c r="A5" s="101" t="s">
        <v>88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8" ht="15.5">
      <c r="A6" s="104" t="s">
        <v>116</v>
      </c>
      <c r="B6" s="35"/>
      <c r="C6" s="27"/>
      <c r="D6" s="27"/>
      <c r="E6" s="27"/>
      <c r="F6" s="27"/>
      <c r="G6" s="36"/>
      <c r="H6" s="27"/>
      <c r="I6" s="42"/>
      <c r="J6" s="40"/>
      <c r="K6" s="72"/>
      <c r="L6" s="40"/>
      <c r="M6" s="40"/>
      <c r="N6" s="70"/>
    </row>
    <row r="7" spans="1:18" ht="15.5">
      <c r="A7" s="99" t="s">
        <v>82</v>
      </c>
      <c r="B7" s="99"/>
    </row>
    <row r="8" spans="1:18" ht="13">
      <c r="A8" s="6"/>
      <c r="B8" s="6"/>
      <c r="J8" s="25"/>
      <c r="K8" s="25"/>
      <c r="L8" s="25"/>
      <c r="M8" s="25"/>
      <c r="N8" s="25"/>
      <c r="O8" s="25"/>
      <c r="P8" s="25"/>
      <c r="Q8" s="25"/>
      <c r="R8" s="25"/>
    </row>
    <row r="9" spans="1:18" ht="35.25" customHeight="1">
      <c r="A9" s="28"/>
      <c r="B9" s="28"/>
      <c r="C9" s="28" t="s">
        <v>25</v>
      </c>
      <c r="D9" s="28" t="s">
        <v>26</v>
      </c>
      <c r="E9" s="28" t="s">
        <v>54</v>
      </c>
      <c r="F9" s="28" t="s">
        <v>55</v>
      </c>
      <c r="G9" s="28" t="s">
        <v>58</v>
      </c>
      <c r="H9" s="28" t="s">
        <v>61</v>
      </c>
      <c r="I9" s="28" t="s">
        <v>79</v>
      </c>
      <c r="J9" s="28" t="s">
        <v>87</v>
      </c>
      <c r="K9" s="28" t="s">
        <v>122</v>
      </c>
      <c r="L9" s="28" t="s">
        <v>138</v>
      </c>
      <c r="M9" s="28" t="s">
        <v>160</v>
      </c>
      <c r="N9" s="28" t="s">
        <v>169</v>
      </c>
      <c r="O9" s="25"/>
      <c r="P9" s="25"/>
      <c r="Q9" s="25"/>
    </row>
    <row r="10" spans="1:18" ht="16" customHeight="1">
      <c r="A10" s="35" t="s">
        <v>31</v>
      </c>
      <c r="B10" s="201" t="s">
        <v>25</v>
      </c>
      <c r="C10" s="75">
        <v>95.412565244817742</v>
      </c>
      <c r="D10" s="75"/>
      <c r="E10" s="75"/>
      <c r="F10" s="75"/>
      <c r="G10" s="75"/>
      <c r="H10" s="75"/>
      <c r="I10" s="75"/>
      <c r="J10" s="75"/>
      <c r="K10" s="75"/>
      <c r="L10" s="75"/>
      <c r="M10" s="70"/>
      <c r="N10" s="70"/>
      <c r="O10" s="25"/>
      <c r="P10" s="25"/>
      <c r="Q10" s="25"/>
    </row>
    <row r="11" spans="1:18" ht="16" customHeight="1">
      <c r="A11" s="35" t="s">
        <v>32</v>
      </c>
      <c r="B11" s="202" t="s">
        <v>26</v>
      </c>
      <c r="C11" s="203">
        <v>96.263515795526274</v>
      </c>
      <c r="D11" s="203">
        <v>95.740441028957264</v>
      </c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5"/>
      <c r="P11" s="25"/>
      <c r="Q11" s="25"/>
    </row>
    <row r="12" spans="1:18" ht="16" customHeight="1">
      <c r="A12" s="35" t="s">
        <v>33</v>
      </c>
      <c r="B12" s="201" t="s">
        <v>54</v>
      </c>
      <c r="C12" s="75">
        <v>96.656003937007867</v>
      </c>
      <c r="D12" s="75">
        <v>96.394351418868879</v>
      </c>
      <c r="E12" s="75">
        <v>95.840614909317623</v>
      </c>
      <c r="F12" s="75"/>
      <c r="G12" s="75"/>
      <c r="H12" s="75"/>
      <c r="I12" s="75"/>
      <c r="J12" s="75"/>
      <c r="K12" s="75"/>
      <c r="L12" s="75"/>
      <c r="M12" s="70"/>
      <c r="N12" s="70"/>
      <c r="O12" s="25"/>
      <c r="P12" s="25"/>
      <c r="Q12" s="25"/>
    </row>
    <row r="13" spans="1:18" ht="16" customHeight="1">
      <c r="A13" s="35" t="s">
        <v>34</v>
      </c>
      <c r="B13" s="202" t="s">
        <v>55</v>
      </c>
      <c r="C13" s="203">
        <v>96.9</v>
      </c>
      <c r="D13" s="203">
        <v>96.7</v>
      </c>
      <c r="E13" s="203">
        <v>96.4</v>
      </c>
      <c r="F13" s="203">
        <v>96</v>
      </c>
      <c r="G13" s="203"/>
      <c r="H13" s="203"/>
      <c r="I13" s="203"/>
      <c r="J13" s="203"/>
      <c r="K13" s="203"/>
      <c r="L13" s="203"/>
      <c r="M13" s="203"/>
      <c r="N13" s="203"/>
      <c r="O13" s="25"/>
      <c r="P13" s="25"/>
      <c r="Q13" s="25"/>
    </row>
    <row r="14" spans="1:18" s="15" customFormat="1" ht="16" customHeight="1">
      <c r="A14" s="31"/>
      <c r="B14" s="204" t="s">
        <v>58</v>
      </c>
      <c r="C14" s="205">
        <v>97.129997496943005</v>
      </c>
      <c r="D14" s="205">
        <v>96.98632373499035</v>
      </c>
      <c r="E14" s="205">
        <v>96.737639261307649</v>
      </c>
      <c r="F14" s="205">
        <v>96.581735758628454</v>
      </c>
      <c r="G14" s="205">
        <v>96.014674008238956</v>
      </c>
      <c r="H14" s="205"/>
      <c r="I14" s="205"/>
      <c r="J14" s="205"/>
      <c r="K14" s="205"/>
      <c r="L14" s="205"/>
      <c r="M14" s="73"/>
      <c r="N14" s="73"/>
      <c r="O14" s="24"/>
      <c r="P14" s="24"/>
      <c r="Q14" s="24"/>
    </row>
    <row r="15" spans="1:18" s="15" customFormat="1" ht="16" customHeight="1">
      <c r="A15" s="31"/>
      <c r="B15" s="202" t="s">
        <v>61</v>
      </c>
      <c r="C15" s="203">
        <v>97.278289475399831</v>
      </c>
      <c r="D15" s="203">
        <v>97.16199772919137</v>
      </c>
      <c r="E15" s="203">
        <v>96.971977354283183</v>
      </c>
      <c r="F15" s="203">
        <v>96.892586399343415</v>
      </c>
      <c r="G15" s="203">
        <v>96.523075618684601</v>
      </c>
      <c r="H15" s="203">
        <v>95.772784008016188</v>
      </c>
      <c r="I15" s="203"/>
      <c r="J15" s="203"/>
      <c r="K15" s="203"/>
      <c r="L15" s="203"/>
      <c r="M15" s="203"/>
      <c r="N15" s="203"/>
      <c r="O15" s="24"/>
      <c r="P15" s="24"/>
      <c r="Q15" s="24"/>
    </row>
    <row r="16" spans="1:18" ht="16" customHeight="1">
      <c r="A16" s="31"/>
      <c r="B16" s="204" t="s">
        <v>79</v>
      </c>
      <c r="C16" s="205">
        <v>97.404583910232887</v>
      </c>
      <c r="D16" s="205">
        <v>97.295715937094826</v>
      </c>
      <c r="E16" s="205">
        <v>97.121560112196363</v>
      </c>
      <c r="F16" s="205">
        <v>97.09814225470727</v>
      </c>
      <c r="G16" s="205">
        <v>96.837768582003847</v>
      </c>
      <c r="H16" s="205">
        <v>96.261242139700983</v>
      </c>
      <c r="I16" s="205">
        <v>94.782627217444031</v>
      </c>
      <c r="J16" s="205"/>
      <c r="K16" s="205"/>
      <c r="L16" s="205"/>
      <c r="M16" s="70"/>
      <c r="N16" s="70"/>
      <c r="O16" s="25"/>
      <c r="P16" s="25"/>
      <c r="Q16" s="25"/>
    </row>
    <row r="17" spans="1:17" ht="16" customHeight="1">
      <c r="A17" s="31"/>
      <c r="B17" s="202" t="s">
        <v>87</v>
      </c>
      <c r="C17" s="203">
        <v>97.51262068473126</v>
      </c>
      <c r="D17" s="203">
        <v>97.424308142451309</v>
      </c>
      <c r="E17" s="203">
        <v>97.290344664685023</v>
      </c>
      <c r="F17" s="203">
        <v>97.276742999932182</v>
      </c>
      <c r="G17" s="203">
        <v>97.071011457655857</v>
      </c>
      <c r="H17" s="203">
        <v>96.668798266404238</v>
      </c>
      <c r="I17" s="203">
        <v>95.773872287629686</v>
      </c>
      <c r="J17" s="203">
        <v>95.742688580641712</v>
      </c>
      <c r="K17" s="203"/>
      <c r="L17" s="203"/>
      <c r="M17" s="203"/>
      <c r="N17" s="203"/>
      <c r="O17" s="25"/>
      <c r="P17" s="25"/>
      <c r="Q17" s="25"/>
    </row>
    <row r="18" spans="1:17">
      <c r="A18" s="5"/>
      <c r="B18" s="204" t="s">
        <v>122</v>
      </c>
      <c r="C18" s="206">
        <v>97.574841518595605</v>
      </c>
      <c r="D18" s="206">
        <v>97.489182530659576</v>
      </c>
      <c r="E18" s="206">
        <v>97.614888358791148</v>
      </c>
      <c r="F18" s="206">
        <v>97.368932935025171</v>
      </c>
      <c r="G18" s="206">
        <v>97.196056338489328</v>
      </c>
      <c r="H18" s="206">
        <v>96.857990664258395</v>
      </c>
      <c r="I18" s="206">
        <v>96.202980591567638</v>
      </c>
      <c r="J18" s="206">
        <v>96.315035303409473</v>
      </c>
      <c r="K18" s="206">
        <v>96.166078303075935</v>
      </c>
      <c r="L18" s="206"/>
      <c r="M18" s="70"/>
      <c r="N18" s="70"/>
    </row>
    <row r="19" spans="1:17">
      <c r="A19" s="5"/>
      <c r="B19" s="202" t="s">
        <v>138</v>
      </c>
      <c r="C19" s="203">
        <v>97.643500152356651</v>
      </c>
      <c r="D19" s="203">
        <v>97.569843369991872</v>
      </c>
      <c r="E19" s="203">
        <v>97.4380354392854</v>
      </c>
      <c r="F19" s="203">
        <v>97.467039052754473</v>
      </c>
      <c r="G19" s="203">
        <v>97.315925987879353</v>
      </c>
      <c r="H19" s="203">
        <v>97.064157916183078</v>
      </c>
      <c r="I19" s="203">
        <v>96.49874243906531</v>
      </c>
      <c r="J19" s="203">
        <v>96.635952161352861</v>
      </c>
      <c r="K19" s="203">
        <v>96.714280570901863</v>
      </c>
      <c r="L19" s="203">
        <v>95.492702078136233</v>
      </c>
      <c r="M19" s="203"/>
      <c r="N19" s="203"/>
    </row>
    <row r="20" spans="1:17">
      <c r="A20" s="5"/>
      <c r="B20" s="201" t="s">
        <v>160</v>
      </c>
      <c r="C20" s="184">
        <v>97.713175050733824</v>
      </c>
      <c r="D20" s="184">
        <v>97.651029493754919</v>
      </c>
      <c r="E20" s="184">
        <v>97.521572639107859</v>
      </c>
      <c r="F20" s="184">
        <v>97.552402342277915</v>
      </c>
      <c r="G20" s="184">
        <v>97.417058157296893</v>
      </c>
      <c r="H20" s="184">
        <v>97.184458124386254</v>
      </c>
      <c r="I20" s="184">
        <v>96.790087528394764</v>
      </c>
      <c r="J20" s="184">
        <v>96.897372315389603</v>
      </c>
      <c r="K20" s="184">
        <v>97.047159851512532</v>
      </c>
      <c r="L20" s="184">
        <v>96.113824162764956</v>
      </c>
      <c r="M20" s="236">
        <v>95.453201514366143</v>
      </c>
      <c r="N20" s="184"/>
    </row>
    <row r="21" spans="1:17" ht="13" thickBot="1">
      <c r="A21" s="207"/>
      <c r="B21" s="208" t="s">
        <v>169</v>
      </c>
      <c r="C21" s="200">
        <v>97.759335165630475</v>
      </c>
      <c r="D21" s="200">
        <v>97.719250741756028</v>
      </c>
      <c r="E21" s="200">
        <v>97.60446485158748</v>
      </c>
      <c r="F21" s="200">
        <v>97.654115788369708</v>
      </c>
      <c r="G21" s="200">
        <v>97.514069619625218</v>
      </c>
      <c r="H21" s="200">
        <v>97.280607154160464</v>
      </c>
      <c r="I21" s="200">
        <v>96.919925962572975</v>
      </c>
      <c r="J21" s="200">
        <v>97.029046039060347</v>
      </c>
      <c r="K21" s="200">
        <v>97.190935932829859</v>
      </c>
      <c r="L21" s="200">
        <v>96.387709018464449</v>
      </c>
      <c r="M21" s="200">
        <v>95.999487569553352</v>
      </c>
      <c r="N21" s="200">
        <v>95.211684272221291</v>
      </c>
    </row>
    <row r="22" spans="1:17">
      <c r="A22" s="5"/>
      <c r="B22" s="5"/>
    </row>
    <row r="23" spans="1:17">
      <c r="A23" s="5"/>
      <c r="B23" s="5"/>
    </row>
    <row r="24" spans="1:17">
      <c r="A24" s="5"/>
      <c r="B24" s="5"/>
    </row>
    <row r="25" spans="1:17">
      <c r="A25" s="5"/>
      <c r="B25" s="5"/>
    </row>
    <row r="26" spans="1:17">
      <c r="A26" s="5"/>
      <c r="B26" s="5"/>
    </row>
    <row r="27" spans="1:17">
      <c r="A27" s="5"/>
      <c r="B27" s="5"/>
    </row>
    <row r="28" spans="1:17">
      <c r="A28" s="5"/>
      <c r="B28" s="5"/>
    </row>
    <row r="29" spans="1:17">
      <c r="A29" s="5"/>
      <c r="B29" s="5"/>
    </row>
    <row r="30" spans="1:17">
      <c r="A30" s="5"/>
      <c r="B30" s="5"/>
    </row>
    <row r="31" spans="1:17">
      <c r="A31" s="5"/>
      <c r="B31" s="5"/>
    </row>
    <row r="32" spans="1:17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8">
      <c r="A49" s="5"/>
      <c r="B49" s="5"/>
    </row>
    <row r="50" spans="1:8">
      <c r="A50" s="5"/>
      <c r="B50" s="5"/>
    </row>
    <row r="51" spans="1:8">
      <c r="A51" s="5"/>
      <c r="B51" s="5"/>
    </row>
    <row r="52" spans="1:8">
      <c r="A52" s="5"/>
      <c r="B52" s="5"/>
    </row>
    <row r="53" spans="1:8">
      <c r="A53" s="5"/>
      <c r="B53" s="5"/>
    </row>
    <row r="54" spans="1:8">
      <c r="A54" s="5"/>
      <c r="B54" s="5"/>
    </row>
    <row r="55" spans="1:8">
      <c r="A55" s="5"/>
      <c r="B55" s="5"/>
    </row>
    <row r="56" spans="1:8">
      <c r="A56" s="5"/>
      <c r="B56" s="5"/>
    </row>
    <row r="57" spans="1:8">
      <c r="A57" s="5"/>
      <c r="B57" s="5"/>
    </row>
    <row r="58" spans="1:8">
      <c r="A58" s="5"/>
      <c r="B58" s="5"/>
    </row>
    <row r="59" spans="1:8">
      <c r="A59" s="5"/>
      <c r="B59" s="5"/>
    </row>
    <row r="60" spans="1:8" ht="15.5">
      <c r="C60" s="12"/>
      <c r="D60" s="12"/>
      <c r="E60" s="12"/>
      <c r="F60" s="12"/>
      <c r="G60" s="12"/>
      <c r="H60" s="12"/>
    </row>
    <row r="61" spans="1:8" ht="15.5">
      <c r="C61" s="3"/>
      <c r="D61" s="3"/>
      <c r="E61" s="3"/>
      <c r="F61" s="3"/>
      <c r="G61" s="3"/>
      <c r="H61" s="3"/>
    </row>
    <row r="62" spans="1:8" ht="15.5">
      <c r="C62" s="3"/>
      <c r="D62" s="3"/>
      <c r="E62" s="3"/>
      <c r="F62" s="3"/>
      <c r="G62" s="3"/>
      <c r="H62" s="3"/>
    </row>
    <row r="63" spans="1:8" ht="15.5">
      <c r="C63" s="3"/>
      <c r="D63" s="3"/>
      <c r="E63" s="3"/>
      <c r="F63" s="3"/>
      <c r="G63" s="3"/>
      <c r="H63" s="3"/>
    </row>
    <row r="64" spans="1:8" ht="15.5">
      <c r="C64" s="3"/>
      <c r="D64" s="3"/>
      <c r="E64" s="3"/>
      <c r="F64" s="3"/>
      <c r="G64" s="3"/>
      <c r="H64" s="3"/>
    </row>
    <row r="65" spans="3:8" ht="15.5">
      <c r="C65" s="3"/>
      <c r="D65" s="3"/>
      <c r="E65" s="3"/>
      <c r="F65" s="3"/>
      <c r="G65" s="3"/>
      <c r="H65" s="3"/>
    </row>
    <row r="66" spans="3:8" ht="15.5">
      <c r="C66" s="3"/>
      <c r="D66" s="3"/>
      <c r="E66" s="3"/>
      <c r="F66" s="3"/>
      <c r="G66" s="3"/>
      <c r="H66" s="3"/>
    </row>
    <row r="67" spans="3:8" ht="15.5">
      <c r="C67" s="3"/>
      <c r="D67" s="3"/>
      <c r="E67" s="3"/>
      <c r="F67" s="3"/>
      <c r="G67" s="3"/>
      <c r="H67" s="3"/>
    </row>
    <row r="68" spans="3:8" ht="15.5">
      <c r="C68" s="3"/>
      <c r="D68" s="3"/>
      <c r="E68" s="3"/>
      <c r="F68" s="3"/>
      <c r="G68" s="3"/>
      <c r="H68" s="3"/>
    </row>
    <row r="69" spans="3:8" ht="15.5">
      <c r="C69" s="3"/>
      <c r="D69" s="3"/>
      <c r="E69" s="3"/>
      <c r="F69" s="3"/>
      <c r="G69" s="3"/>
      <c r="H69" s="3"/>
    </row>
    <row r="70" spans="3:8" ht="15.5">
      <c r="C70" s="3"/>
      <c r="D70" s="3"/>
      <c r="E70" s="3"/>
      <c r="F70" s="3"/>
      <c r="G70" s="3"/>
      <c r="H70" s="3"/>
    </row>
    <row r="71" spans="3:8" ht="15.5">
      <c r="C71" s="3"/>
      <c r="D71" s="3"/>
      <c r="E71" s="3"/>
      <c r="F71" s="3"/>
      <c r="G71" s="3"/>
      <c r="H71" s="3"/>
    </row>
    <row r="72" spans="3:8" ht="15.5">
      <c r="C72" s="3"/>
      <c r="D72" s="3"/>
      <c r="E72" s="3"/>
      <c r="F72" s="3"/>
      <c r="G72" s="3"/>
      <c r="H72" s="3"/>
    </row>
    <row r="73" spans="3:8" ht="15.5">
      <c r="C73" s="3"/>
      <c r="D73" s="3"/>
      <c r="E73" s="3"/>
      <c r="F73" s="3"/>
      <c r="G73" s="3"/>
      <c r="H73" s="3"/>
    </row>
    <row r="74" spans="3:8" ht="15.5">
      <c r="C74" s="3"/>
      <c r="D74" s="3"/>
      <c r="E74" s="3"/>
      <c r="F74" s="3"/>
      <c r="G74" s="3"/>
      <c r="H74" s="3"/>
    </row>
    <row r="75" spans="3:8" ht="15.5">
      <c r="C75" s="3"/>
      <c r="D75" s="3"/>
      <c r="E75" s="3"/>
      <c r="F75" s="3"/>
      <c r="G75" s="3"/>
      <c r="H75" s="3"/>
    </row>
    <row r="76" spans="3:8" ht="15.5">
      <c r="C76" s="3"/>
      <c r="D76" s="3"/>
      <c r="E76" s="3"/>
      <c r="F76" s="3"/>
      <c r="G76" s="3"/>
      <c r="H76" s="3"/>
    </row>
    <row r="77" spans="3:8" ht="15.5">
      <c r="C77" s="3"/>
      <c r="D77" s="3"/>
      <c r="E77" s="3"/>
      <c r="F77" s="3"/>
      <c r="G77" s="3"/>
      <c r="H77" s="3"/>
    </row>
    <row r="78" spans="3:8" ht="15.5">
      <c r="C78" s="3"/>
      <c r="D78" s="3"/>
      <c r="E78" s="3"/>
      <c r="F78" s="3"/>
      <c r="G78" s="3"/>
      <c r="H78" s="3"/>
    </row>
    <row r="79" spans="3:8" ht="15.5">
      <c r="C79" s="3"/>
      <c r="D79" s="3"/>
      <c r="E79" s="3"/>
      <c r="F79" s="3"/>
      <c r="G79" s="3"/>
      <c r="H79" s="3"/>
    </row>
    <row r="80" spans="3:8" ht="15.5">
      <c r="C80" s="3"/>
      <c r="D80" s="3"/>
      <c r="E80" s="3"/>
      <c r="F80" s="3"/>
      <c r="G80" s="3"/>
      <c r="H80" s="3"/>
    </row>
    <row r="81" spans="3:8" ht="15.5">
      <c r="C81" s="3"/>
      <c r="D81" s="3"/>
      <c r="E81" s="3"/>
      <c r="F81" s="3"/>
      <c r="G81" s="3"/>
      <c r="H81" s="3"/>
    </row>
    <row r="82" spans="3:8" ht="15.5">
      <c r="C82" s="3"/>
      <c r="D82" s="3"/>
      <c r="E82" s="3"/>
      <c r="F82" s="3"/>
      <c r="G82" s="3"/>
      <c r="H82" s="3"/>
    </row>
    <row r="83" spans="3:8" ht="15.5">
      <c r="C83" s="3"/>
      <c r="D83" s="3"/>
      <c r="E83" s="3"/>
      <c r="F83" s="3"/>
      <c r="G83" s="3"/>
      <c r="H83" s="3"/>
    </row>
    <row r="84" spans="3:8" ht="15.5">
      <c r="C84" s="3"/>
      <c r="D84" s="3"/>
      <c r="E84" s="3"/>
      <c r="F84" s="3"/>
      <c r="G84" s="3"/>
      <c r="H84" s="3"/>
    </row>
    <row r="85" spans="3:8" ht="15.5">
      <c r="C85" s="3"/>
      <c r="D85" s="3"/>
      <c r="E85" s="3"/>
      <c r="F85" s="3"/>
      <c r="G85" s="3"/>
      <c r="H85" s="3"/>
    </row>
    <row r="86" spans="3:8" ht="15.5">
      <c r="C86" s="3"/>
      <c r="D86" s="3"/>
      <c r="E86" s="3"/>
      <c r="F86" s="3"/>
      <c r="G86" s="3"/>
      <c r="H86" s="3"/>
    </row>
    <row r="87" spans="3:8" ht="15.5">
      <c r="C87" s="3"/>
      <c r="D87" s="3"/>
      <c r="E87" s="3"/>
      <c r="F87" s="3"/>
      <c r="G87" s="3"/>
      <c r="H87" s="3"/>
    </row>
    <row r="88" spans="3:8" ht="15.5">
      <c r="C88" s="3"/>
      <c r="D88" s="3"/>
      <c r="E88" s="3"/>
      <c r="F88" s="3"/>
      <c r="G88" s="3"/>
      <c r="H88" s="3"/>
    </row>
    <row r="89" spans="3:8" ht="15.5">
      <c r="C89" s="3"/>
      <c r="D89" s="3"/>
      <c r="E89" s="3"/>
      <c r="F89" s="3"/>
      <c r="G89" s="3"/>
      <c r="H89" s="3"/>
    </row>
    <row r="90" spans="3:8" ht="15.5">
      <c r="C90" s="3"/>
      <c r="D90" s="3"/>
      <c r="E90" s="3"/>
      <c r="F90" s="3"/>
      <c r="G90" s="3"/>
      <c r="H90" s="3"/>
    </row>
    <row r="91" spans="3:8" ht="15.5">
      <c r="C91" s="3"/>
      <c r="D91" s="3"/>
      <c r="E91" s="3"/>
      <c r="F91" s="3"/>
      <c r="G91" s="3"/>
      <c r="H91" s="3"/>
    </row>
    <row r="92" spans="3:8" ht="15.5">
      <c r="C92" s="3"/>
      <c r="D92" s="3"/>
      <c r="E92" s="3"/>
      <c r="F92" s="3"/>
      <c r="G92" s="3"/>
      <c r="H92" s="3"/>
    </row>
    <row r="94" spans="3:8">
      <c r="C94" s="10"/>
      <c r="D94" s="10"/>
      <c r="E94" s="10"/>
      <c r="F94" s="10"/>
      <c r="G94" s="10"/>
      <c r="H94" s="10"/>
    </row>
    <row r="95" spans="3:8">
      <c r="C95" s="10"/>
      <c r="D95" s="10"/>
      <c r="E95" s="10"/>
      <c r="F95" s="10"/>
      <c r="G95" s="10"/>
      <c r="H95" s="10"/>
    </row>
    <row r="96" spans="3:8">
      <c r="C96" s="10"/>
      <c r="D96" s="10"/>
      <c r="E96" s="10"/>
      <c r="F96" s="10"/>
      <c r="G96" s="10"/>
      <c r="H96" s="10"/>
    </row>
    <row r="97" spans="3:8">
      <c r="C97" s="10"/>
      <c r="D97" s="10"/>
      <c r="E97" s="10"/>
      <c r="F97" s="10"/>
      <c r="G97" s="10"/>
      <c r="H97" s="10"/>
    </row>
    <row r="98" spans="3:8">
      <c r="C98" s="10"/>
      <c r="D98" s="10"/>
      <c r="E98" s="10"/>
      <c r="F98" s="10"/>
      <c r="G98" s="10"/>
      <c r="H98" s="10"/>
    </row>
    <row r="99" spans="3:8">
      <c r="C99" s="10"/>
      <c r="D99" s="10"/>
      <c r="E99" s="10"/>
      <c r="F99" s="10"/>
      <c r="G99" s="10"/>
      <c r="H99" s="10"/>
    </row>
    <row r="100" spans="3:8">
      <c r="C100" s="10"/>
      <c r="D100" s="10"/>
      <c r="E100" s="10"/>
      <c r="F100" s="10"/>
      <c r="G100" s="10"/>
      <c r="H100" s="10"/>
    </row>
    <row r="101" spans="3:8">
      <c r="C101" s="10"/>
      <c r="D101" s="10"/>
      <c r="E101" s="10"/>
      <c r="F101" s="10"/>
      <c r="G101" s="10"/>
      <c r="H101" s="10"/>
    </row>
    <row r="102" spans="3:8">
      <c r="C102" s="10"/>
      <c r="D102" s="10"/>
      <c r="E102" s="10"/>
      <c r="F102" s="10"/>
      <c r="G102" s="10"/>
      <c r="H102" s="10"/>
    </row>
    <row r="103" spans="3:8">
      <c r="C103" s="10"/>
      <c r="D103" s="10"/>
      <c r="E103" s="10"/>
      <c r="F103" s="10"/>
      <c r="G103" s="10"/>
      <c r="H103" s="10"/>
    </row>
    <row r="104" spans="3:8">
      <c r="C104" s="10"/>
      <c r="D104" s="10"/>
      <c r="E104" s="10"/>
      <c r="F104" s="10"/>
      <c r="G104" s="10"/>
      <c r="H104" s="10"/>
    </row>
    <row r="105" spans="3:8">
      <c r="C105" s="10"/>
      <c r="D105" s="10"/>
      <c r="E105" s="10"/>
      <c r="F105" s="10"/>
      <c r="G105" s="10"/>
      <c r="H105" s="10"/>
    </row>
    <row r="106" spans="3:8">
      <c r="C106" s="10"/>
      <c r="D106" s="10"/>
      <c r="E106" s="10"/>
      <c r="F106" s="10"/>
      <c r="G106" s="10"/>
      <c r="H106" s="10"/>
    </row>
    <row r="107" spans="3:8">
      <c r="C107" s="10"/>
      <c r="D107" s="10"/>
      <c r="E107" s="10"/>
      <c r="F107" s="10"/>
      <c r="G107" s="10"/>
      <c r="H107" s="10"/>
    </row>
    <row r="108" spans="3:8">
      <c r="C108" s="10"/>
      <c r="D108" s="10"/>
      <c r="E108" s="10"/>
      <c r="F108" s="10"/>
      <c r="G108" s="10"/>
      <c r="H108" s="10"/>
    </row>
    <row r="109" spans="3:8">
      <c r="C109" s="10"/>
      <c r="D109" s="10"/>
      <c r="E109" s="10"/>
      <c r="F109" s="10"/>
      <c r="G109" s="10"/>
      <c r="H109" s="10"/>
    </row>
    <row r="110" spans="3:8">
      <c r="C110" s="10"/>
      <c r="D110" s="10"/>
      <c r="E110" s="10"/>
      <c r="F110" s="10"/>
      <c r="G110" s="10"/>
      <c r="H110" s="10"/>
    </row>
    <row r="111" spans="3:8">
      <c r="C111" s="10"/>
      <c r="D111" s="10"/>
      <c r="E111" s="10"/>
      <c r="F111" s="10"/>
      <c r="G111" s="10"/>
      <c r="H111" s="10"/>
    </row>
    <row r="112" spans="3:8">
      <c r="C112" s="10"/>
      <c r="D112" s="10"/>
      <c r="E112" s="10"/>
      <c r="F112" s="10"/>
      <c r="G112" s="10"/>
      <c r="H112" s="10"/>
    </row>
    <row r="113" spans="3:8">
      <c r="C113" s="10"/>
      <c r="D113" s="10"/>
      <c r="E113" s="10"/>
      <c r="F113" s="10"/>
      <c r="G113" s="10"/>
      <c r="H113" s="10"/>
    </row>
    <row r="114" spans="3:8">
      <c r="C114" s="10"/>
      <c r="D114" s="10"/>
      <c r="E114" s="10"/>
      <c r="F114" s="10"/>
      <c r="G114" s="10"/>
      <c r="H114" s="10"/>
    </row>
    <row r="115" spans="3:8">
      <c r="C115" s="10"/>
      <c r="D115" s="10"/>
      <c r="E115" s="10"/>
      <c r="F115" s="10"/>
      <c r="G115" s="10"/>
      <c r="H115" s="10"/>
    </row>
    <row r="116" spans="3:8">
      <c r="C116" s="10"/>
      <c r="D116" s="10"/>
      <c r="E116" s="10"/>
      <c r="F116" s="10"/>
      <c r="G116" s="10"/>
      <c r="H116" s="10"/>
    </row>
    <row r="117" spans="3:8">
      <c r="C117" s="10"/>
      <c r="D117" s="10"/>
      <c r="E117" s="10"/>
      <c r="F117" s="10"/>
      <c r="G117" s="10"/>
      <c r="H117" s="10"/>
    </row>
    <row r="118" spans="3:8">
      <c r="C118" s="10"/>
      <c r="D118" s="10"/>
      <c r="E118" s="10"/>
      <c r="F118" s="10"/>
      <c r="G118" s="10"/>
      <c r="H118" s="10"/>
    </row>
    <row r="119" spans="3:8">
      <c r="C119" s="10"/>
      <c r="D119" s="10"/>
      <c r="E119" s="10"/>
      <c r="F119" s="10"/>
      <c r="G119" s="10"/>
      <c r="H119" s="10"/>
    </row>
    <row r="120" spans="3:8">
      <c r="C120" s="10"/>
      <c r="D120" s="10"/>
      <c r="E120" s="10"/>
      <c r="F120" s="10"/>
      <c r="G120" s="10"/>
      <c r="H120" s="10"/>
    </row>
    <row r="121" spans="3:8">
      <c r="C121" s="10"/>
      <c r="D121" s="10"/>
      <c r="E121" s="10"/>
      <c r="F121" s="10"/>
      <c r="G121" s="10"/>
      <c r="H121" s="10"/>
    </row>
    <row r="122" spans="3:8">
      <c r="C122" s="10"/>
      <c r="D122" s="10"/>
      <c r="E122" s="10"/>
      <c r="F122" s="10"/>
      <c r="G122" s="10"/>
      <c r="H122" s="10"/>
    </row>
    <row r="123" spans="3:8">
      <c r="C123" s="10"/>
      <c r="D123" s="10"/>
      <c r="E123" s="10"/>
      <c r="F123" s="10"/>
      <c r="G123" s="10"/>
      <c r="H123" s="10"/>
    </row>
    <row r="124" spans="3:8">
      <c r="C124" s="10"/>
      <c r="D124" s="10"/>
      <c r="E124" s="10"/>
      <c r="F124" s="10"/>
      <c r="G124" s="10"/>
      <c r="H124" s="10"/>
    </row>
    <row r="125" spans="3:8">
      <c r="C125" s="10"/>
      <c r="D125" s="10"/>
      <c r="E125" s="10"/>
      <c r="F125" s="10"/>
      <c r="G125" s="10"/>
      <c r="H125" s="10"/>
    </row>
    <row r="126" spans="3:8">
      <c r="C126" s="10"/>
      <c r="D126" s="10"/>
      <c r="E126" s="10"/>
      <c r="F126" s="10"/>
      <c r="G126" s="10"/>
      <c r="H126" s="10"/>
    </row>
    <row r="127" spans="3:8">
      <c r="C127" s="10"/>
      <c r="D127" s="10"/>
      <c r="E127" s="10"/>
      <c r="F127" s="10"/>
      <c r="G127" s="10"/>
      <c r="H127" s="10"/>
    </row>
    <row r="128" spans="3:8">
      <c r="C128" s="10"/>
      <c r="D128" s="10"/>
      <c r="E128" s="10"/>
      <c r="F128" s="10"/>
      <c r="G128" s="10"/>
      <c r="H128" s="10"/>
    </row>
    <row r="129" spans="3:8">
      <c r="C129" s="10"/>
      <c r="D129" s="10"/>
      <c r="E129" s="10"/>
      <c r="F129" s="10"/>
      <c r="G129" s="10"/>
      <c r="H129" s="10"/>
    </row>
    <row r="130" spans="3:8">
      <c r="C130" s="10"/>
      <c r="D130" s="10"/>
      <c r="E130" s="10"/>
      <c r="F130" s="10"/>
      <c r="G130" s="10"/>
      <c r="H130" s="10"/>
    </row>
    <row r="131" spans="3:8">
      <c r="C131" s="10"/>
      <c r="D131" s="10"/>
      <c r="E131" s="10"/>
      <c r="F131" s="10"/>
      <c r="G131" s="10"/>
      <c r="H131" s="10"/>
    </row>
    <row r="132" spans="3:8">
      <c r="C132" s="10"/>
      <c r="D132" s="10"/>
      <c r="E132" s="10"/>
      <c r="F132" s="10"/>
      <c r="G132" s="10"/>
      <c r="H132" s="10"/>
    </row>
    <row r="133" spans="3:8">
      <c r="C133" s="10"/>
      <c r="D133" s="10"/>
      <c r="E133" s="10"/>
      <c r="F133" s="10"/>
      <c r="G133" s="10"/>
      <c r="H133" s="10"/>
    </row>
    <row r="134" spans="3:8">
      <c r="C134" s="10"/>
      <c r="D134" s="10"/>
      <c r="E134" s="10"/>
      <c r="F134" s="10"/>
      <c r="G134" s="10"/>
      <c r="H134" s="10"/>
    </row>
    <row r="135" spans="3:8">
      <c r="C135" s="10"/>
      <c r="D135" s="10"/>
      <c r="E135" s="10"/>
      <c r="F135" s="10"/>
      <c r="G135" s="10"/>
      <c r="H135" s="10"/>
    </row>
    <row r="136" spans="3:8">
      <c r="C136" s="10"/>
      <c r="D136" s="10"/>
      <c r="E136" s="10"/>
      <c r="F136" s="10"/>
      <c r="G136" s="10"/>
      <c r="H136" s="10"/>
    </row>
  </sheetData>
  <phoneticPr fontId="5" type="noConversion"/>
  <hyperlinks>
    <hyperlink ref="A7" location="Contents!A1" display="Return to Contents" xr:uid="{00000000-0004-0000-0800-000000000000}"/>
  </hyperlinks>
  <pageMargins left="0.42" right="0.44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>
      <selection activeCell="A2" sqref="A2"/>
    </sheetView>
  </sheetViews>
  <sheetFormatPr defaultColWidth="9.1796875" defaultRowHeight="12.5"/>
  <cols>
    <col min="1" max="16384" width="9.1796875" style="13"/>
  </cols>
  <sheetData>
    <row r="1" spans="1:1" ht="18">
      <c r="A1" s="98" t="s">
        <v>181</v>
      </c>
    </row>
    <row r="2" spans="1:1" ht="15.5">
      <c r="A2" s="237" t="s">
        <v>187</v>
      </c>
    </row>
    <row r="3" spans="1:1" ht="15.5">
      <c r="A3" s="99"/>
    </row>
  </sheetData>
  <hyperlinks>
    <hyperlink ref="A2" r:id="rId1" display="https://www.gov.scot/collections/local-government-finance-statistics/" xr:uid="{FD22418B-347F-4523-A18A-B4917A502A5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2"/>
  <sheetViews>
    <sheetView zoomScaleNormal="100" workbookViewId="0">
      <selection activeCell="G6" sqref="G6"/>
    </sheetView>
  </sheetViews>
  <sheetFormatPr defaultColWidth="9.1796875" defaultRowHeight="14"/>
  <cols>
    <col min="1" max="16384" width="9.1796875" style="79"/>
  </cols>
  <sheetData>
    <row r="1" spans="1:1" ht="18">
      <c r="A1" s="98" t="s">
        <v>155</v>
      </c>
    </row>
    <row r="2" spans="1:1" ht="15.5">
      <c r="A2" s="237" t="s">
        <v>187</v>
      </c>
    </row>
  </sheetData>
  <hyperlinks>
    <hyperlink ref="A2" r:id="rId1" display="https://www.gov.scot/collections/local-government-finance-statistics/" xr:uid="{4FD856AC-5401-4055-A2FA-3A3290F5B255}"/>
  </hyperlinks>
  <pageMargins left="0.7" right="0.7" top="0.75" bottom="0.75" header="0.3" footer="0.3"/>
  <pageSetup paperSize="9" scale="78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6"/>
  <sheetViews>
    <sheetView zoomScaleNormal="100" workbookViewId="0">
      <selection activeCell="E9" sqref="E9"/>
    </sheetView>
  </sheetViews>
  <sheetFormatPr defaultColWidth="9.1796875" defaultRowHeight="14"/>
  <cols>
    <col min="1" max="1" width="31.26953125" style="78" customWidth="1"/>
    <col min="2" max="4" width="12.453125" style="78" customWidth="1"/>
    <col min="5" max="5" width="25.81640625" style="78" customWidth="1"/>
    <col min="6" max="6" width="7.453125" style="78" customWidth="1"/>
    <col min="7" max="7" width="17.26953125" style="82" customWidth="1"/>
    <col min="8" max="8" width="13.81640625" style="80" customWidth="1"/>
    <col min="9" max="11" width="23.453125" style="80" customWidth="1"/>
    <col min="12" max="12" width="26.453125" style="80" customWidth="1"/>
    <col min="13" max="16384" width="9.1796875" style="78"/>
  </cols>
  <sheetData>
    <row r="1" spans="1:17" s="15" customFormat="1" ht="30" customHeight="1">
      <c r="A1" s="227" t="s">
        <v>186</v>
      </c>
      <c r="B1" s="73"/>
      <c r="C1" s="73"/>
      <c r="D1" s="73"/>
      <c r="E1" s="73"/>
      <c r="F1" s="73"/>
      <c r="G1" s="73"/>
      <c r="H1" s="73"/>
      <c r="I1" s="73"/>
      <c r="J1" s="105"/>
      <c r="K1" s="73"/>
      <c r="L1" s="73"/>
      <c r="M1" s="73"/>
      <c r="N1" s="73"/>
      <c r="O1" s="73"/>
    </row>
    <row r="2" spans="1:17" s="15" customFormat="1" ht="15.5">
      <c r="A2" s="142" t="s">
        <v>177</v>
      </c>
      <c r="B2" s="73"/>
      <c r="C2" s="73"/>
      <c r="D2" s="73"/>
      <c r="E2" s="73"/>
      <c r="F2" s="73"/>
      <c r="G2" s="73"/>
      <c r="H2" s="73"/>
      <c r="I2" s="73"/>
      <c r="J2" s="105"/>
      <c r="K2" s="73"/>
      <c r="L2" s="73"/>
      <c r="M2" s="73"/>
      <c r="N2" s="73"/>
      <c r="O2" s="73"/>
    </row>
    <row r="3" spans="1:17" s="15" customFormat="1" ht="15.5">
      <c r="A3" s="142" t="s">
        <v>178</v>
      </c>
      <c r="B3" s="73"/>
      <c r="C3" s="73"/>
      <c r="D3" s="73"/>
      <c r="E3" s="73"/>
      <c r="F3" s="73"/>
      <c r="G3" s="73"/>
      <c r="H3" s="73"/>
      <c r="I3" s="73"/>
      <c r="J3" s="105"/>
      <c r="K3" s="73"/>
      <c r="L3" s="73"/>
      <c r="M3" s="73"/>
      <c r="N3" s="73"/>
      <c r="O3" s="73"/>
    </row>
    <row r="4" spans="1:17" s="15" customFormat="1" ht="30" customHeight="1">
      <c r="A4" s="142" t="s">
        <v>117</v>
      </c>
      <c r="B4" s="73"/>
      <c r="C4" s="73"/>
      <c r="D4" s="73"/>
      <c r="E4" s="73"/>
      <c r="F4" s="73"/>
      <c r="G4" s="73"/>
      <c r="H4" s="73"/>
      <c r="I4" s="73"/>
      <c r="J4" s="105"/>
      <c r="K4" s="73"/>
      <c r="L4" s="73"/>
      <c r="M4" s="73"/>
      <c r="N4" s="73"/>
      <c r="O4" s="73"/>
    </row>
    <row r="5" spans="1:17" ht="16" customHeight="1">
      <c r="A5" s="99" t="s">
        <v>82</v>
      </c>
      <c r="B5" s="77"/>
      <c r="C5" s="77"/>
      <c r="D5" s="77"/>
      <c r="G5" s="78"/>
      <c r="H5" s="78"/>
      <c r="I5" s="78"/>
      <c r="J5" s="78"/>
      <c r="K5" s="78"/>
      <c r="L5" s="78"/>
    </row>
    <row r="6" spans="1:17" ht="14.15" customHeight="1">
      <c r="B6" s="77"/>
      <c r="C6" s="77"/>
      <c r="D6" s="77"/>
      <c r="G6" s="78"/>
      <c r="H6" s="78"/>
      <c r="I6" s="78"/>
      <c r="J6" s="78"/>
      <c r="K6" s="78"/>
      <c r="L6" s="78"/>
    </row>
    <row r="7" spans="1:17" ht="10" customHeight="1">
      <c r="B7" s="77"/>
      <c r="C7" s="77"/>
      <c r="D7" s="77"/>
      <c r="E7" s="82"/>
      <c r="F7" s="83"/>
      <c r="G7" s="83"/>
      <c r="H7" s="83"/>
      <c r="I7" s="83"/>
      <c r="J7" s="83"/>
      <c r="K7" s="83"/>
      <c r="L7" s="83"/>
      <c r="M7" s="82"/>
      <c r="N7" s="82"/>
      <c r="O7" s="82"/>
      <c r="P7" s="82"/>
      <c r="Q7" s="82"/>
    </row>
    <row r="8" spans="1:17" ht="40" customHeight="1">
      <c r="A8" s="141" t="s">
        <v>144</v>
      </c>
      <c r="B8" s="143" t="s">
        <v>160</v>
      </c>
      <c r="C8" s="143" t="s">
        <v>67</v>
      </c>
      <c r="E8" s="84"/>
      <c r="F8" s="84"/>
      <c r="G8" s="84"/>
      <c r="H8" s="85"/>
      <c r="I8" s="86"/>
      <c r="J8" s="87"/>
      <c r="K8" s="78"/>
      <c r="L8" s="78"/>
    </row>
    <row r="9" spans="1:17" ht="18" customHeight="1">
      <c r="A9" s="142" t="s">
        <v>145</v>
      </c>
      <c r="B9" s="228">
        <v>10337.276</v>
      </c>
      <c r="C9" s="229">
        <f>B9/$B$13</f>
        <v>0.62984425464794003</v>
      </c>
      <c r="D9" s="88"/>
      <c r="E9" s="89" t="s">
        <v>83</v>
      </c>
      <c r="F9" s="90"/>
      <c r="G9" s="90"/>
      <c r="H9" s="91"/>
      <c r="I9" s="78"/>
      <c r="J9" s="78"/>
      <c r="K9" s="78"/>
      <c r="L9" s="78"/>
    </row>
    <row r="10" spans="1:17" ht="18" customHeight="1">
      <c r="A10" s="186" t="s">
        <v>84</v>
      </c>
      <c r="B10" s="230">
        <v>3067.607</v>
      </c>
      <c r="C10" s="231">
        <f t="shared" ref="C10:C13" si="0">B10/$B$13</f>
        <v>0.18690752229773136</v>
      </c>
      <c r="E10" s="89" t="s">
        <v>83</v>
      </c>
      <c r="F10" s="90"/>
      <c r="G10" s="90"/>
      <c r="H10" s="91"/>
      <c r="I10" s="78"/>
      <c r="J10" s="78"/>
      <c r="K10" s="78"/>
      <c r="L10" s="78"/>
    </row>
    <row r="11" spans="1:17" ht="18" customHeight="1">
      <c r="A11" s="142" t="s">
        <v>68</v>
      </c>
      <c r="B11" s="228">
        <v>2996.8490000000002</v>
      </c>
      <c r="C11" s="229">
        <f t="shared" si="0"/>
        <v>0.18259627823591287</v>
      </c>
      <c r="E11" s="89" t="s">
        <v>83</v>
      </c>
      <c r="F11" s="90"/>
      <c r="G11" s="90"/>
      <c r="H11" s="91"/>
      <c r="I11" s="78"/>
      <c r="J11" s="78"/>
      <c r="K11" s="78"/>
      <c r="L11" s="78"/>
    </row>
    <row r="12" spans="1:17" ht="18" customHeight="1">
      <c r="A12" s="186" t="s">
        <v>89</v>
      </c>
      <c r="B12" s="230">
        <v>10.700000000000699</v>
      </c>
      <c r="C12" s="231">
        <f t="shared" si="0"/>
        <v>6.5194481841574111E-4</v>
      </c>
      <c r="E12" s="89" t="s">
        <v>83</v>
      </c>
      <c r="F12" s="90"/>
      <c r="G12" s="90"/>
      <c r="H12" s="91"/>
      <c r="I12" s="78"/>
      <c r="J12" s="78"/>
      <c r="K12" s="78"/>
      <c r="L12" s="78"/>
    </row>
    <row r="13" spans="1:17" ht="22" customHeight="1">
      <c r="A13" s="141" t="s">
        <v>85</v>
      </c>
      <c r="B13" s="185">
        <v>16412.432000000001</v>
      </c>
      <c r="C13" s="187">
        <f t="shared" si="0"/>
        <v>1</v>
      </c>
      <c r="E13" s="92" t="s">
        <v>83</v>
      </c>
      <c r="F13" s="92" t="s">
        <v>83</v>
      </c>
      <c r="G13" s="92" t="s">
        <v>83</v>
      </c>
      <c r="H13" s="91"/>
      <c r="I13" s="78"/>
      <c r="J13" s="78"/>
      <c r="K13" s="78"/>
      <c r="L13" s="78"/>
    </row>
    <row r="14" spans="1:17">
      <c r="B14" s="95"/>
      <c r="C14" s="95"/>
      <c r="D14" s="95"/>
      <c r="E14" s="96"/>
    </row>
    <row r="15" spans="1:17">
      <c r="E15" s="93"/>
    </row>
    <row r="16" spans="1:17">
      <c r="E16" s="94"/>
    </row>
  </sheetData>
  <hyperlinks>
    <hyperlink ref="A5" location="Contents!A1" display="Return to Contents" xr:uid="{00000000-0004-0000-0A00-000000000000}"/>
  </hyperlinks>
  <pageMargins left="0.25" right="0.25" top="0.75" bottom="0.75" header="0.3" footer="0.3"/>
  <pageSetup paperSize="9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O16"/>
  <sheetViews>
    <sheetView showGridLines="0" zoomScaleNormal="100" zoomScaleSheetLayoutView="100" workbookViewId="0"/>
  </sheetViews>
  <sheetFormatPr defaultColWidth="9.1796875" defaultRowHeight="12.5"/>
  <cols>
    <col min="1" max="1" width="20.54296875" style="1" customWidth="1"/>
    <col min="2" max="12" width="12.7265625" style="1" customWidth="1"/>
    <col min="13" max="16384" width="9.1796875" style="1"/>
  </cols>
  <sheetData>
    <row r="1" spans="1:41" ht="30" customHeight="1">
      <c r="A1" s="98" t="s">
        <v>75</v>
      </c>
      <c r="L1" s="26"/>
      <c r="M1" s="70"/>
      <c r="N1" s="70"/>
      <c r="O1" s="70"/>
      <c r="P1" s="70"/>
      <c r="Q1" s="70"/>
    </row>
    <row r="2" spans="1:41" s="13" customFormat="1" ht="15.5">
      <c r="A2" s="100" t="s">
        <v>118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41" s="13" customFormat="1" ht="15.5">
      <c r="A3" s="101" t="s">
        <v>92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4" spans="1:41" s="13" customFormat="1" ht="15.5">
      <c r="A4" s="101" t="s">
        <v>88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</row>
    <row r="5" spans="1:41" s="13" customFormat="1" ht="15.5">
      <c r="A5" s="101" t="s">
        <v>119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1:41" s="13" customFormat="1" ht="15.5">
      <c r="A6" s="101" t="s">
        <v>120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</row>
    <row r="7" spans="1:41" s="13" customFormat="1" ht="15.5">
      <c r="A7" s="101" t="s">
        <v>121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</row>
    <row r="8" spans="1:41" s="14" customFormat="1" ht="15.5">
      <c r="A8" s="102" t="s">
        <v>116</v>
      </c>
      <c r="B8" s="30"/>
      <c r="C8" s="30"/>
      <c r="D8" s="30"/>
      <c r="E8" s="30"/>
      <c r="F8" s="30"/>
      <c r="G8" s="60"/>
      <c r="H8" s="60"/>
      <c r="I8" s="60"/>
      <c r="J8" s="60"/>
      <c r="K8" s="62"/>
      <c r="L8" s="61"/>
      <c r="M8" s="66"/>
      <c r="N8" s="66"/>
      <c r="O8" s="66"/>
      <c r="P8" s="66"/>
      <c r="Q8" s="66"/>
    </row>
    <row r="9" spans="1:41" ht="15.5">
      <c r="A9" s="99" t="s">
        <v>82</v>
      </c>
    </row>
    <row r="10" spans="1:41" ht="14.25" customHeight="1">
      <c r="A10" s="30"/>
      <c r="B10" s="30"/>
      <c r="C10" s="30"/>
      <c r="D10" s="30"/>
      <c r="E10" s="30"/>
      <c r="F10" s="44"/>
      <c r="G10" s="52"/>
      <c r="L10" s="7"/>
      <c r="M10" s="8"/>
      <c r="N10" s="8"/>
    </row>
    <row r="11" spans="1:41" ht="75.75" customHeight="1">
      <c r="A11" s="29" t="s">
        <v>28</v>
      </c>
      <c r="B11" s="28" t="s">
        <v>27</v>
      </c>
      <c r="C11" s="28" t="s">
        <v>69</v>
      </c>
      <c r="D11" s="28" t="s">
        <v>70</v>
      </c>
      <c r="E11" s="28" t="s">
        <v>90</v>
      </c>
      <c r="F11" s="51"/>
      <c r="K11" s="7"/>
      <c r="L11" s="8"/>
      <c r="M11" s="8"/>
    </row>
    <row r="12" spans="1:41" ht="20.149999999999999" customHeight="1">
      <c r="A12" s="53" t="s">
        <v>71</v>
      </c>
      <c r="B12" s="54">
        <v>1193293.2846086973</v>
      </c>
      <c r="C12" s="55">
        <v>1154519.8746415626</v>
      </c>
      <c r="D12" s="55">
        <v>38773.409967134707</v>
      </c>
      <c r="E12" s="56">
        <v>96.750722520000679</v>
      </c>
      <c r="F12" s="51"/>
      <c r="K12" s="7"/>
      <c r="L12" s="8"/>
      <c r="M12" s="8"/>
    </row>
    <row r="13" spans="1:41" s="7" customFormat="1" ht="32.15" customHeight="1">
      <c r="A13" s="32" t="s">
        <v>72</v>
      </c>
      <c r="B13" s="33">
        <v>1114440.916977223</v>
      </c>
      <c r="C13" s="34">
        <v>1075561.3565363071</v>
      </c>
      <c r="D13" s="34">
        <v>38879.56044091587</v>
      </c>
      <c r="E13" s="57">
        <v>96.511294600850476</v>
      </c>
      <c r="F13" s="51"/>
      <c r="G13" s="1"/>
      <c r="H13" s="1"/>
      <c r="I13" s="1"/>
      <c r="J13" s="1"/>
      <c r="L13" s="8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s="7" customFormat="1" ht="32.15" customHeight="1">
      <c r="A14" s="58" t="s">
        <v>73</v>
      </c>
      <c r="B14" s="54">
        <v>1001833.2729204617</v>
      </c>
      <c r="C14" s="55">
        <v>965865.84661264182</v>
      </c>
      <c r="D14" s="55">
        <v>35967.4263078199</v>
      </c>
      <c r="E14" s="56">
        <v>96.409839113950497</v>
      </c>
      <c r="F14" s="51"/>
      <c r="G14" s="1"/>
      <c r="H14" s="1"/>
      <c r="I14" s="1"/>
      <c r="J14" s="1"/>
      <c r="L14" s="8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s="23" customFormat="1" ht="32.15" customHeight="1">
      <c r="A15" s="50" t="s">
        <v>74</v>
      </c>
      <c r="B15" s="49">
        <v>2798156.9439700004</v>
      </c>
      <c r="C15" s="46">
        <v>2700295</v>
      </c>
      <c r="D15" s="47">
        <v>97861.943970000371</v>
      </c>
      <c r="E15" s="48">
        <v>96.502628482619883</v>
      </c>
      <c r="F15" s="51"/>
      <c r="G15" s="1"/>
      <c r="H15" s="1"/>
      <c r="I15" s="1"/>
      <c r="J15" s="1"/>
      <c r="K15" s="7"/>
      <c r="L15" s="8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3">
      <c r="A16" s="45"/>
      <c r="B16" s="30"/>
      <c r="C16" s="30"/>
      <c r="D16" s="30"/>
      <c r="E16" s="30"/>
      <c r="F16" s="27"/>
      <c r="G16" s="27"/>
      <c r="L16" s="7"/>
      <c r="M16" s="8"/>
      <c r="N16" s="8"/>
    </row>
  </sheetData>
  <hyperlinks>
    <hyperlink ref="A9" location="Contents!A1" display="Return to Contents" xr:uid="{00000000-0004-0000-0C00-000000000000}"/>
  </hyperlinks>
  <pageMargins left="0.75" right="0.75" top="1" bottom="1" header="0.5" footer="0.5"/>
  <pageSetup paperSize="9" scale="82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0ef77447-1083-4dec-b89f-27c765076840}" enabled="0" method="" siteId="{0ef77447-1083-4dec-b89f-27c7650768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Contents</vt:lpstr>
      <vt:lpstr>Notes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Archived data</vt:lpstr>
      <vt:lpstr>Contents!Print_Area</vt:lpstr>
      <vt:lpstr>'Figure 1'!Print_Area</vt:lpstr>
      <vt:lpstr>'Figure 3'!Print_Area</vt:lpstr>
      <vt:lpstr>'Figure 5'!Print_Area</vt:lpstr>
      <vt:lpstr>'Figure 6'!Print_Area</vt:lpstr>
      <vt:lpstr>'Figure 7'!Print_Area</vt:lpstr>
    </vt:vector>
  </TitlesOfParts>
  <Company>Scottish Executive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Valentine</dc:creator>
  <cp:lastModifiedBy>Jon Hunter</cp:lastModifiedBy>
  <cp:lastPrinted>2024-05-29T10:44:03Z</cp:lastPrinted>
  <dcterms:created xsi:type="dcterms:W3CDTF">2004-08-31T09:33:44Z</dcterms:created>
  <dcterms:modified xsi:type="dcterms:W3CDTF">2026-06-22T13:15:02Z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ctive-Id">
    <vt:lpwstr>A21231109</vt:lpwstr>
  </property>
  <property fmtid="{D5CDD505-2E9C-101B-9397-08002B2CF9AE}" pid="3" name="Objective-Comment">
    <vt:lpwstr/>
  </property>
  <property fmtid="{D5CDD505-2E9C-101B-9397-08002B2CF9AE}" pid="4" name="Objective-CreationStamp">
    <vt:filetime>2018-06-04T07:04:27Z</vt:filetime>
  </property>
  <property fmtid="{D5CDD505-2E9C-101B-9397-08002B2CF9AE}" pid="5" name="Objective-IsApproved">
    <vt:bool>false</vt:bool>
  </property>
  <property fmtid="{D5CDD505-2E9C-101B-9397-08002B2CF9AE}" pid="6" name="Objective-IsPublished">
    <vt:bool>false</vt:bool>
  </property>
  <property fmtid="{D5CDD505-2E9C-101B-9397-08002B2CF9AE}" pid="7" name="Objective-DatePublished">
    <vt:lpwstr/>
  </property>
  <property fmtid="{D5CDD505-2E9C-101B-9397-08002B2CF9AE}" pid="8" name="Objective-ModificationStamp">
    <vt:filetime>2018-06-05T14:20:38Z</vt:filetime>
  </property>
  <property fmtid="{D5CDD505-2E9C-101B-9397-08002B2CF9AE}" pid="9" name="Objective-Owner">
    <vt:lpwstr>Melling, Maria MA (u113209)</vt:lpwstr>
  </property>
  <property fmtid="{D5CDD505-2E9C-101B-9397-08002B2CF9AE}" pid="10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</vt:lpwstr>
  </property>
  <property fmtid="{D5CDD505-2E9C-101B-9397-08002B2CF9AE}" pid="11" name="Objective-Parent">
    <vt:lpwstr>Statistical: Statistical returns - Council tax 2017-18: Research and analysis: Finance - Council tax and non domestic rates: 2017-2022</vt:lpwstr>
  </property>
  <property fmtid="{D5CDD505-2E9C-101B-9397-08002B2CF9AE}" pid="12" name="Objective-State">
    <vt:lpwstr>Being Edited</vt:lpwstr>
  </property>
  <property fmtid="{D5CDD505-2E9C-101B-9397-08002B2CF9AE}" pid="13" name="Objective-Title">
    <vt:lpwstr>Council Tax Collection Statistics, 2017-18 - Publication tables - DRAFT</vt:lpwstr>
  </property>
  <property fmtid="{D5CDD505-2E9C-101B-9397-08002B2CF9AE}" pid="14" name="Objective-Version">
    <vt:lpwstr>0.3</vt:lpwstr>
  </property>
  <property fmtid="{D5CDD505-2E9C-101B-9397-08002B2CF9AE}" pid="15" name="Objective-VersionComment">
    <vt:lpwstr/>
  </property>
  <property fmtid="{D5CDD505-2E9C-101B-9397-08002B2CF9AE}" pid="16" name="Objective-VersionNumber">
    <vt:r8>3</vt:r8>
  </property>
  <property fmtid="{D5CDD505-2E9C-101B-9397-08002B2CF9AE}" pid="17" name="Objective-FileNumber">
    <vt:lpwstr>PUBRES/3543</vt:lpwstr>
  </property>
  <property fmtid="{D5CDD505-2E9C-101B-9397-08002B2CF9AE}" pid="18" name="Objective-Classification">
    <vt:lpwstr>[Inherited - OFFICIAL]</vt:lpwstr>
  </property>
  <property fmtid="{D5CDD505-2E9C-101B-9397-08002B2CF9AE}" pid="19" name="Objective-Caveats">
    <vt:lpwstr/>
  </property>
  <property fmtid="{D5CDD505-2E9C-101B-9397-08002B2CF9AE}" pid="20" name="Objective-Date of Original [system]">
    <vt:lpwstr/>
  </property>
  <property fmtid="{D5CDD505-2E9C-101B-9397-08002B2CF9AE}" pid="21" name="Objective-Date Received [system]">
    <vt:lpwstr/>
  </property>
  <property fmtid="{D5CDD505-2E9C-101B-9397-08002B2CF9AE}" pid="22" name="Objective-SG Web Publication - Category [system]">
    <vt:lpwstr/>
  </property>
  <property fmtid="{D5CDD505-2E9C-101B-9397-08002B2CF9AE}" pid="23" name="Objective-SG Web Publication - Category 2 Classification [system]">
    <vt:lpwstr/>
  </property>
  <property fmtid="{D5CDD505-2E9C-101B-9397-08002B2CF9AE}" pid="24" name="Objective-Connect Creator [system]">
    <vt:lpwstr/>
  </property>
</Properties>
</file>