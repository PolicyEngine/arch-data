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7.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8.xml" ContentType="application/vnd.openxmlformats-officedocument.drawing+xml"/>
  <Override PartName="/xl/charts/chart7.xml" ContentType="application/vnd.openxmlformats-officedocument.drawingml.chart+xml"/>
  <Override PartName="/xl/drawings/drawing9.xml" ContentType="application/vnd.openxmlformats-officedocument.drawing+xml"/>
  <Override PartName="/xl/charts/chart8.xml" ContentType="application/vnd.openxmlformats-officedocument.drawingml.chart+xml"/>
  <Override PartName="/xl/drawings/drawing10.xml" ContentType="application/vnd.openxmlformats-officedocument.drawing+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charts/style7.xml" ContentType="application/vnd.ms-office.chartstyle+xml"/>
  <Override PartName="/xl/charts/colors7.xml" ContentType="application/vnd.ms-office.chartcolorstyle+xml"/>
  <Override PartName="/xl/drawings/drawing12.xml" ContentType="application/vnd.openxmlformats-officedocument.drawing+xml"/>
  <Override PartName="/xl/charts/chart11.xml" ContentType="application/vnd.openxmlformats-officedocument.drawingml.chart+xml"/>
  <Override PartName="/xl/charts/style8.xml" ContentType="application/vnd.ms-office.chartstyle+xml"/>
  <Override PartName="/xl/charts/colors8.xml" ContentType="application/vnd.ms-office.chartcolorstyle+xml"/>
  <Override PartName="/xl/drawings/drawing13.xml" ContentType="application/vnd.openxmlformats-officedocument.drawing+xml"/>
  <Override PartName="/xl/charts/chartEx1.xml" ContentType="application/vnd.ms-office.chartex+xml"/>
  <Override PartName="/xl/charts/style9.xml" ContentType="application/vnd.ms-office.chartstyle+xml"/>
  <Override PartName="/xl/charts/colors9.xml" ContentType="application/vnd.ms-office.chartcolorstyle+xml"/>
  <Override PartName="/xl/charts/chartEx2.xml" ContentType="application/vnd.ms-office.chartex+xml"/>
  <Override PartName="/xl/charts/style10.xml" ContentType="application/vnd.ms-office.chartstyle+xml"/>
  <Override PartName="/xl/charts/colors10.xml" ContentType="application/vnd.ms-office.chartcolorstyle+xml"/>
  <Override PartName="/xl/drawings/drawing14.xml" ContentType="application/vnd.openxmlformats-officedocument.drawing+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5.xml" ContentType="application/vnd.openxmlformats-officedocument.drawing+xml"/>
  <Override PartName="/xl/charts/chartEx3.xml" ContentType="application/vnd.ms-office.chartex+xml"/>
  <Override PartName="/xl/charts/style12.xml" ContentType="application/vnd.ms-office.chartstyle+xml"/>
  <Override PartName="/xl/charts/colors12.xml" ContentType="application/vnd.ms-office.chartcolorstyle+xml"/>
  <Override PartName="/xl/drawings/drawing16.xml" ContentType="application/vnd.openxmlformats-officedocument.drawing+xml"/>
  <Override PartName="/xl/charts/chartEx4.xml" ContentType="application/vnd.ms-office.chartex+xml"/>
  <Override PartName="/xl/charts/style13.xml" ContentType="application/vnd.ms-office.chartstyle+xml"/>
  <Override PartName="/xl/charts/colors13.xml" ContentType="application/vnd.ms-office.chartcolorstyle+xml"/>
  <Override PartName="/xl/drawings/drawing17.xml" ContentType="application/vnd.openxmlformats-officedocument.drawing+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18.xml" ContentType="application/vnd.openxmlformats-officedocument.drawing+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19.xml" ContentType="application/vnd.openxmlformats-officedocument.drawing+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20.xml" ContentType="application/vnd.openxmlformats-officedocument.drawing+xml"/>
  <Override PartName="/xl/charts/chartEx5.xml" ContentType="application/vnd.ms-office.chartex+xml"/>
  <Override PartName="/xl/charts/style17.xml" ContentType="application/vnd.ms-office.chartstyle+xml"/>
  <Override PartName="/xl/charts/colors17.xml" ContentType="application/vnd.ms-office.chartcolorstyle+xml"/>
  <Override PartName="/xl/drawings/drawing21.xml" ContentType="application/vnd.openxmlformats-officedocument.drawing+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22.xml" ContentType="application/vnd.openxmlformats-officedocument.drawing+xml"/>
  <Override PartName="/xl/charts/chartEx6.xml" ContentType="application/vnd.ms-office.chartex+xml"/>
  <Override PartName="/xl/charts/style19.xml" ContentType="application/vnd.ms-office.chartstyle+xml"/>
  <Override PartName="/xl/charts/colors19.xml" ContentType="application/vnd.ms-office.chartcolorstyle+xml"/>
  <Override PartName="/xl/drawings/drawing23.xml" ContentType="application/vnd.openxmlformats-officedocument.drawing+xml"/>
  <Override PartName="/xl/charts/chart17.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24.xml" ContentType="application/vnd.openxmlformats-officedocument.drawing+xml"/>
  <Override PartName="/xl/charts/chart18.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25.xml" ContentType="application/vnd.openxmlformats-officedocument.drawing+xml"/>
  <Override PartName="/xl/charts/chart19.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26.xml" ContentType="application/vnd.openxmlformats-officedocument.drawing+xml"/>
  <Override PartName="/xl/charts/chart20.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27.xml" ContentType="application/vnd.openxmlformats-officedocument.drawing+xml"/>
  <Override PartName="/xl/charts/chart21.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28.xml" ContentType="application/vnd.openxmlformats-officedocument.drawing+xml"/>
  <Override PartName="/xl/charts/chart22.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29.xml" ContentType="application/vnd.openxmlformats-officedocument.drawing+xml"/>
  <Override PartName="/xl/charts/chart23.xml" ContentType="application/vnd.openxmlformats-officedocument.drawingml.chart+xml"/>
  <Override PartName="/xl/charts/style26.xml" ContentType="application/vnd.ms-office.chartstyle+xml"/>
  <Override PartName="/xl/charts/colors26.xml" ContentType="application/vnd.ms-office.chartcolorstyle+xml"/>
  <Override PartName="/xl/drawings/drawing30.xml" ContentType="application/vnd.openxmlformats-officedocument.drawing+xml"/>
  <Override PartName="/xl/charts/chart24.xml" ContentType="application/vnd.openxmlformats-officedocument.drawingml.chart+xml"/>
  <Override PartName="/xl/charts/style27.xml" ContentType="application/vnd.ms-office.chartstyle+xml"/>
  <Override PartName="/xl/charts/colors2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G:\FCSD\Linked Spreadsheets\ASD Statistics\SLGFS 2024-25\"/>
    </mc:Choice>
  </mc:AlternateContent>
  <xr:revisionPtr revIDLastSave="0" documentId="13_ncr:1_{69B35003-7EE0-40C6-96CB-D59D650559F5}" xr6:coauthVersionLast="47" xr6:coauthVersionMax="47" xr10:uidLastSave="{00000000-0000-0000-0000-000000000000}"/>
  <bookViews>
    <workbookView xWindow="57480" yWindow="-1965" windowWidth="29040" windowHeight="17520" tabRatio="904" xr2:uid="{00000000-000D-0000-FFFF-FFFF00000000}"/>
  </bookViews>
  <sheets>
    <sheet name="Notes" sheetId="149" r:id="rId1"/>
    <sheet name="Contents" sheetId="150" r:id="rId2"/>
    <sheet name="Table 2.1" sheetId="3" r:id="rId3"/>
    <sheet name="Chart 2.1" sheetId="62" r:id="rId4"/>
    <sheet name="Table 2.2" sheetId="4" r:id="rId5"/>
    <sheet name="Chart 2.2" sheetId="129" r:id="rId6"/>
    <sheet name="Table 2.3" sheetId="73" r:id="rId7"/>
    <sheet name="Chart 2.3" sheetId="115" r:id="rId8"/>
    <sheet name="Table 2.4" sheetId="6" r:id="rId9"/>
    <sheet name="Table 2.4a" sheetId="22" r:id="rId10"/>
    <sheet name="Chart 2.4" sheetId="118" r:id="rId11"/>
    <sheet name="Chart 2.5" sheetId="147" r:id="rId12"/>
    <sheet name="Table 2.5" sheetId="71" r:id="rId13"/>
    <sheet name="Chart 2.6" sheetId="120" r:id="rId14"/>
    <sheet name="Table 2.6" sheetId="72" r:id="rId15"/>
    <sheet name="Table 2.7" sheetId="201" r:id="rId16"/>
    <sheet name="Chart 2.7" sheetId="202" r:id="rId17"/>
    <sheet name="Table 2.8" sheetId="203" r:id="rId18"/>
    <sheet name="Table 2.9" sheetId="204" r:id="rId19"/>
    <sheet name="Chart 2.8" sheetId="205" r:id="rId20"/>
    <sheet name="Chart 2.9" sheetId="206" r:id="rId21"/>
    <sheet name="Table 2.10" sheetId="207" r:id="rId22"/>
    <sheet name="Table 2.11" sheetId="209" r:id="rId23"/>
    <sheet name="Table 2.12" sheetId="210" r:id="rId24"/>
    <sheet name="Table 2.13" sheetId="211" r:id="rId25"/>
    <sheet name="Table 2.14" sheetId="305" r:id="rId26"/>
    <sheet name="Table 2.14a" sheetId="306" r:id="rId27"/>
    <sheet name="Table 2.14b" sheetId="307" r:id="rId28"/>
    <sheet name="Table 2.15" sheetId="308" r:id="rId29"/>
    <sheet name="Table 2.15a" sheetId="309" r:id="rId30"/>
    <sheet name="Chart 2.10" sheetId="310" r:id="rId31"/>
    <sheet name="Chart 2.10a" sheetId="311" r:id="rId32"/>
    <sheet name="Table 2.16" sheetId="312" r:id="rId33"/>
    <sheet name="Table 2.17" sheetId="313" r:id="rId34"/>
    <sheet name="Table 2.17a" sheetId="314" r:id="rId35"/>
    <sheet name="Chart 2.11" sheetId="315" r:id="rId36"/>
    <sheet name="Table 2.18" sheetId="122" r:id="rId37"/>
    <sheet name="Chart 3.1" sheetId="224" r:id="rId38"/>
    <sheet name="Table 3.1" sheetId="225" r:id="rId39"/>
    <sheet name="Chart 3.2" sheetId="226" r:id="rId40"/>
    <sheet name="Chart 3.2 - Key Points" sheetId="304" r:id="rId41"/>
    <sheet name="Chart 3.3" sheetId="228" r:id="rId42"/>
    <sheet name="Chart 3.4" sheetId="229" r:id="rId43"/>
    <sheet name="Chart 3.4 - 2023-24 data" sheetId="279" r:id="rId44"/>
    <sheet name="Chart 3.5" sheetId="231" r:id="rId45"/>
    <sheet name="Chart 3.6" sheetId="232" r:id="rId46"/>
    <sheet name="Table 3.2" sheetId="233" r:id="rId47"/>
    <sheet name="Table 3.3" sheetId="234" r:id="rId48"/>
    <sheet name="Table 3.3a" sheetId="235" r:id="rId49"/>
    <sheet name="Table 3.4" sheetId="236" r:id="rId50"/>
    <sheet name="Chart 4.1" sheetId="238" r:id="rId51"/>
    <sheet name="Table 4.1" sheetId="239" r:id="rId52"/>
    <sheet name="Table 4.2" sheetId="240" r:id="rId53"/>
    <sheet name="Table 4.3" sheetId="241" r:id="rId54"/>
    <sheet name="Table 4.3a" sheetId="242" r:id="rId55"/>
    <sheet name="Table 5.1" sheetId="244" r:id="rId56"/>
    <sheet name="Table 5.1a" sheetId="245" r:id="rId57"/>
    <sheet name="Table 5.1b" sheetId="246" r:id="rId58"/>
    <sheet name="Chart 5.1" sheetId="247" r:id="rId59"/>
    <sheet name="Key Facts Chart" sheetId="248" r:id="rId60"/>
    <sheet name="Table 5.2" sheetId="249" r:id="rId61"/>
    <sheet name="Tables 5.2a" sheetId="250" r:id="rId62"/>
    <sheet name="Tables 5.2b" sheetId="251" r:id="rId63"/>
    <sheet name="Table 5.3" sheetId="252" r:id="rId64"/>
    <sheet name="Tables 5.3a" sheetId="253" r:id="rId65"/>
    <sheet name="Tables 5.3b" sheetId="254" r:id="rId66"/>
    <sheet name="Chart 5.2" sheetId="255" r:id="rId67"/>
    <sheet name="Table 5.4" sheetId="256" r:id="rId68"/>
    <sheet name="Table 5.4a" sheetId="257" r:id="rId69"/>
    <sheet name="Table 5.5" sheetId="259" r:id="rId70"/>
    <sheet name="Table 6.1" sheetId="261" r:id="rId71"/>
    <sheet name="Chart 6.1" sheetId="262" r:id="rId72"/>
    <sheet name="Chart 6.2" sheetId="263" r:id="rId73"/>
    <sheet name="Chart 6.3" sheetId="264" r:id="rId74"/>
    <sheet name="Chart 6.4" sheetId="265" r:id="rId75"/>
    <sheet name="Chart 6.5" sheetId="266" r:id="rId76"/>
    <sheet name="Annex C" sheetId="278" r:id="rId77"/>
  </sheets>
  <definedNames>
    <definedName name="__123Graph_A" hidden="1">#REF!</definedName>
    <definedName name="__123Graph_ABERLGRAP" hidden="1">#REF!</definedName>
    <definedName name="__123Graph_ACATCH1" hidden="1">#REF!</definedName>
    <definedName name="__123Graph_ACONVERG1" hidden="1">#REF!</definedName>
    <definedName name="__123Graph_AECTOT" hidden="1">#REF!</definedName>
    <definedName name="__123Graph_AGRAPH2" hidden="1">#REF!</definedName>
    <definedName name="__123Graph_AGRAPH41" hidden="1">#REF!</definedName>
    <definedName name="__123Graph_AGRAPH42" hidden="1">#REF!</definedName>
    <definedName name="__123Graph_AGRAPH44" hidden="1">#REF!</definedName>
    <definedName name="__123Graph_APERIB" hidden="1">#REF!</definedName>
    <definedName name="__123Graph_APRODABSC" hidden="1">#REF!</definedName>
    <definedName name="__123Graph_APRODABSD" hidden="1">#REF!</definedName>
    <definedName name="__123Graph_APRODTRE2" hidden="1">#REF!</definedName>
    <definedName name="__123Graph_APRODTRE3" hidden="1">#REF!</definedName>
    <definedName name="__123Graph_APRODTRE4" hidden="1">#REF!</definedName>
    <definedName name="__123Graph_APRODTREND" hidden="1">#REF!</definedName>
    <definedName name="__123Graph_AUTRECHT" hidden="1">#REF!</definedName>
    <definedName name="__123Graph_B" hidden="1">#REF!</definedName>
    <definedName name="__123Graph_BBERLGRAP" hidden="1">#REF!</definedName>
    <definedName name="__123Graph_BCATCH1" hidden="1">#REF!</definedName>
    <definedName name="__123Graph_BCONVERG1" hidden="1">#REF!</definedName>
    <definedName name="__123Graph_BECTOT" hidden="1">#REF!</definedName>
    <definedName name="__123Graph_BGRAPH2" hidden="1">#REF!</definedName>
    <definedName name="__123Graph_BGRAPH41" hidden="1">#REF!</definedName>
    <definedName name="__123Graph_BPERIB" hidden="1">#REF!</definedName>
    <definedName name="__123Graph_BPRODABSC" hidden="1">#REF!</definedName>
    <definedName name="__123Graph_BPRODABSD" hidden="1">#REF!</definedName>
    <definedName name="__123Graph_C" hidden="1">#REF!</definedName>
    <definedName name="__123Graph_CBERLGRAP" hidden="1">#REF!</definedName>
    <definedName name="__123Graph_CCATCH1" hidden="1">#REF!</definedName>
    <definedName name="__123Graph_CCONVERG1" hidden="1">#REF!</definedName>
    <definedName name="__123Graph_CECTOT" hidden="1">#REF!</definedName>
    <definedName name="__123Graph_CGRAPH41" hidden="1">#REF!</definedName>
    <definedName name="__123Graph_CGRAPH44" hidden="1">#REF!</definedName>
    <definedName name="__123Graph_CPERIA" hidden="1">#REF!</definedName>
    <definedName name="__123Graph_CPERIB" hidden="1">#REF!</definedName>
    <definedName name="__123Graph_CPRODABSC" hidden="1">#REF!</definedName>
    <definedName name="__123Graph_CPRODTRE2" hidden="1">#REF!</definedName>
    <definedName name="__123Graph_CPRODTREND" hidden="1">#REF!</definedName>
    <definedName name="__123Graph_CUTRECHT" hidden="1">#REF!</definedName>
    <definedName name="__123Graph_D" hidden="1">#REF!</definedName>
    <definedName name="__123Graph_DBERLGRAP" hidden="1">#REF!</definedName>
    <definedName name="__123Graph_DCATCH1" hidden="1">#REF!</definedName>
    <definedName name="__123Graph_DCONVERG1" hidden="1">#REF!</definedName>
    <definedName name="__123Graph_DECTOT" hidden="1">#REF!</definedName>
    <definedName name="__123Graph_DGRAPH41" hidden="1">#REF!</definedName>
    <definedName name="__123Graph_DPERIA" hidden="1">#REF!</definedName>
    <definedName name="__123Graph_DPERIB" hidden="1">#REF!</definedName>
    <definedName name="__123Graph_DPRODABSC" hidden="1">#REF!</definedName>
    <definedName name="__123Graph_DUTRECHT" hidden="1">#REF!</definedName>
    <definedName name="__123Graph_E" hidden="1">#REF!</definedName>
    <definedName name="__123Graph_EBERLGRAP" hidden="1">#REF!</definedName>
    <definedName name="__123Graph_ECATCH1" hidden="1">#REF!</definedName>
    <definedName name="__123Graph_ECONVERG1" hidden="1">#REF!</definedName>
    <definedName name="__123Graph_EECTOT" hidden="1">#REF!</definedName>
    <definedName name="__123Graph_EGRAPH41" hidden="1">#REF!</definedName>
    <definedName name="__123Graph_EPERIA" hidden="1">#REF!</definedName>
    <definedName name="__123Graph_EPRODABSC" hidden="1">#REF!</definedName>
    <definedName name="__123Graph_FBERLGRAP" hidden="1">#REF!</definedName>
    <definedName name="__123Graph_FGRAPH41" hidden="1">#REF!</definedName>
    <definedName name="__123Graph_FPRODABSC" hidden="1">#REF!</definedName>
    <definedName name="__123Graph_X" hidden="1">#REF!</definedName>
    <definedName name="__123Graph_XECTOT" hidden="1">#REF!</definedName>
    <definedName name="__new2" localSheetId="40" hidden="1">{2;#N/A;"R8C42:R63C42";#N/A;"R8C44:R63C44";FALSE;FALSE;FALSE;95;#N/A;#N/A;"R157C36";#N/A;FALSE;FALSE;FALSE;FALSE;#N/A;"";#N/A;FALSE;#N/A;"";#N/A;#N/A;#N/A}</definedName>
    <definedName name="__new2" hidden="1">{2;#N/A;"R8C42:R63C42";#N/A;"R8C44:R63C44";FALSE;FALSE;FALSE;95;#N/A;#N/A;"R157C36";#N/A;FALSE;FALSE;FALSE;FALSE;#N/A;"";#N/A;FALSE;#N/A;"";#N/A;#N/A;#N/A}</definedName>
    <definedName name="__new3" localSheetId="40" hidden="1">{2;#N/A;"R8C42:R63C42";#N/A;"R8C44:R63C44";FALSE;FALSE;FALSE;95;#N/A;#N/A;"R157C36";#N/A;FALSE;FALSE;FALSE;FALSE;#N/A;"";#N/A;FALSE;#N/A;"";#N/A;#N/A;#N/A}</definedName>
    <definedName name="__new3" hidden="1">{2;#N/A;"R8C42:R63C42";#N/A;"R8C44:R63C44";FALSE;FALSE;FALSE;95;#N/A;#N/A;"R157C36";#N/A;FALSE;FALSE;FALSE;FALSE;#N/A;"";#N/A;FALSE;#N/A;"";#N/A;#N/A;#N/A}</definedName>
    <definedName name="__new4" localSheetId="40" hidden="1">{"Excel Help!1802";5;10;5;10;13;13;13;8;5;5;10;14;13;13;13;13;5;10;14;13;5;10;1;2;24}</definedName>
    <definedName name="__new4" hidden="1">{"Excel Help!1802";5;10;5;10;13;13;13;8;5;5;10;14;13;13;13;13;5;10;14;13;5;10;1;2;24}</definedName>
    <definedName name="_ATPRegress_Dlg_Results" localSheetId="40" hidden="1">{2;#N/A;"R8C42:R63C42";#N/A;"R8C44:R63C44";FALSE;FALSE;FALSE;95;#N/A;#N/A;"R157C36";#N/A;FALSE;FALSE;FALSE;FALSE;#N/A;"";#N/A;FALSE;#N/A;"";#N/A;#N/A;#N/A}</definedName>
    <definedName name="_ATPRegress_Dlg_Results" hidden="1">{2;#N/A;"R8C42:R63C42";#N/A;"R8C44:R63C44";FALSE;FALSE;FALSE;95;#N/A;#N/A;"R157C36";#N/A;FALSE;FALSE;FALSE;FALSE;#N/A;"";#N/A;FALSE;#N/A;"";#N/A;#N/A;#N/A}</definedName>
    <definedName name="_ATPRegress_Dlg_Types" localSheetId="40" hidden="1">{"Excel Help!1802";5;10;5;10;13;13;13;8;5;5;10;14;13;13;13;13;5;10;14;13;5;10;1;2;24}</definedName>
    <definedName name="_ATPRegress_Dlg_Types" hidden="1">{"Excel Help!1802";5;10;5;10;13;13;13;8;5;5;10;14;13;13;13;13;5;10;14;13;5;10;1;2;24}</definedName>
    <definedName name="_ATPRegress_Range1" hidden="1">#REF!</definedName>
    <definedName name="_ATPRegress_Range2" hidden="1">#REF!</definedName>
    <definedName name="_ATPRegress_Range3" hidden="1">#REF!</definedName>
    <definedName name="_ATPRegress_Range4" hidden="1">"="</definedName>
    <definedName name="_ATPRegress_Range5" hidden="1">"="</definedName>
    <definedName name="_Fill" hidden="1">#REF!</definedName>
    <definedName name="_xlnm._FilterDatabase" localSheetId="30" hidden="1">'Chart 2.10'!$A$8:$I$41</definedName>
    <definedName name="_xlnm._FilterDatabase" localSheetId="31" hidden="1">'Chart 2.10a'!$A$8:$I$8</definedName>
    <definedName name="_xlnm._FilterDatabase" localSheetId="35" hidden="1">'Chart 2.11'!$A$10:$B$19</definedName>
    <definedName name="_xlnm._FilterDatabase" localSheetId="19" hidden="1">'Chart 2.8'!$A$6:$H$39</definedName>
    <definedName name="_xlnm._FilterDatabase" localSheetId="20" hidden="1">'Chart 2.9'!$A$6:$B$6</definedName>
    <definedName name="_xlnm._FilterDatabase" localSheetId="33" hidden="1">'Table 2.17'!#REF!</definedName>
    <definedName name="_Key1" hidden="1">#REF!</definedName>
    <definedName name="_new2" localSheetId="40" hidden="1">{2;#N/A;"R8C42:R63C42";#N/A;"R8C44:R63C44";FALSE;FALSE;FALSE;95;#N/A;#N/A;"R157C36";#N/A;FALSE;FALSE;FALSE;FALSE;#N/A;"";#N/A;FALSE;#N/A;"";#N/A;#N/A;#N/A}</definedName>
    <definedName name="_new2" hidden="1">{2;#N/A;"R8C42:R63C42";#N/A;"R8C44:R63C44";FALSE;FALSE;FALSE;95;#N/A;#N/A;"R157C36";#N/A;FALSE;FALSE;FALSE;FALSE;#N/A;"";#N/A;FALSE;#N/A;"";#N/A;#N/A;#N/A}</definedName>
    <definedName name="_new3" localSheetId="40" hidden="1">{2;#N/A;"R8C42:R63C42";#N/A;"R8C44:R63C44";FALSE;FALSE;FALSE;95;#N/A;#N/A;"R157C36";#N/A;FALSE;FALSE;FALSE;FALSE;#N/A;"";#N/A;FALSE;#N/A;"";#N/A;#N/A;#N/A}</definedName>
    <definedName name="_new3" hidden="1">{2;#N/A;"R8C42:R63C42";#N/A;"R8C44:R63C44";FALSE;FALSE;FALSE;95;#N/A;#N/A;"R157C36";#N/A;FALSE;FALSE;FALSE;FALSE;#N/A;"";#N/A;FALSE;#N/A;"";#N/A;#N/A;#N/A}</definedName>
    <definedName name="_new4" localSheetId="40" hidden="1">{"Excel Help!1802";5;10;5;10;13;13;13;8;5;5;10;14;13;13;13;13;5;10;14;13;5;10;1;2;24}</definedName>
    <definedName name="_new4" hidden="1">{"Excel Help!1802";5;10;5;10;13;13;13;8;5;5;10;14;13;13;13;13;5;10;14;13;5;10;1;2;24}</definedName>
    <definedName name="_Order1" hidden="1">0</definedName>
    <definedName name="_Order2" hidden="1">0</definedName>
    <definedName name="_Regression_Out" hidden="1">#REF!</definedName>
    <definedName name="_Regression_X" hidden="1">#REF!</definedName>
    <definedName name="_Regression_Y" hidden="1">#REF!</definedName>
    <definedName name="_Sort" hidden="1">#REF!</definedName>
    <definedName name="_xlchart.v1.0" hidden="1">'Chart 2.11'!$A$11:$A$19</definedName>
    <definedName name="_xlchart.v1.1" hidden="1">'Chart 2.11'!$B$11:$B$19</definedName>
    <definedName name="_xlchart.v1.10" hidden="1">'Chart 3.5'!$A$8:$A$12</definedName>
    <definedName name="_xlchart.v1.11" hidden="1">'Chart 3.5'!$D$8:$D$12</definedName>
    <definedName name="_xlchart.v1.12" hidden="1">'Chart 4.1'!$A$8:$B$14</definedName>
    <definedName name="_xlchart.v1.13" hidden="1">'Chart 4.1'!$C$8:$C$14</definedName>
    <definedName name="_xlchart.v1.2" hidden="1">'Chart 2.11'!$A$11:$A$19</definedName>
    <definedName name="_xlchart.v1.3" hidden="1">'Chart 2.11'!$B$11:$B$19</definedName>
    <definedName name="_xlchart.v1.4" hidden="1">'Chart 3.2'!$A$7:$A$14</definedName>
    <definedName name="_xlchart.v1.5" hidden="1">'Chart 3.2'!$B$6</definedName>
    <definedName name="_xlchart.v1.6" hidden="1">'Chart 3.2'!$B$7:$B$14</definedName>
    <definedName name="_xlchart.v1.7" hidden="1">'Chart 3.2 - Key Points'!$A$7:$A$14</definedName>
    <definedName name="_xlchart.v1.8" hidden="1">'Chart 3.2 - Key Points'!$B$6</definedName>
    <definedName name="_xlchart.v1.9" hidden="1">'Chart 3.2 - Key Points'!$B$7:$B$14</definedName>
    <definedName name="A" hidden="1">#REF!</definedName>
    <definedName name="aas" hidden="1">#REF!</definedName>
    <definedName name="aesfesd" localSheetId="40" hidden="1">{"Excel Help!1802";5;10;5;10;13;13;13;8;5;5;10;14;13;13;13;13;5;10;14;13;5;10;1;2;24}</definedName>
    <definedName name="aesfesd" hidden="1">{"Excel Help!1802";5;10;5;10;13;13;13;8;5;5;10;14;13;13;13;13;5;10;14;13;5;10;1;2;24}</definedName>
    <definedName name="annoying" localSheetId="40" hidden="1">{"Excel Help!1802";5;10;5;10;13;13;13;8;5;5;10;14;13;13;13;13;5;10;14;13;5;10;1;2;24}</definedName>
    <definedName name="annoying" hidden="1">{"Excel Help!1802";5;10;5;10;13;13;13;8;5;5;10;14;13;13;13;13;5;10;14;13;5;10;1;2;24}</definedName>
    <definedName name="as" localSheetId="40" hidden="1">{"Excel Help!1802";5;10;5;10;13;13;13;8;5;5;10;14;13;13;13;13;5;10;14;13;5;10;1;2;24}</definedName>
    <definedName name="as" hidden="1">{"Excel Help!1802";5;10;5;10;13;13;13;8;5;5;10;14;13;13;13;13;5;10;14;13;5;10;1;2;24}</definedName>
    <definedName name="asasa" hidden="1">#REF!</definedName>
    <definedName name="asdfsdfsd" localSheetId="40" hidden="1">{2;#N/A;"R8C42:R63C42";#N/A;"R8C44:R63C44";FALSE;FALSE;FALSE;95;#N/A;#N/A;"R157C36";#N/A;FALSE;FALSE;FALSE;FALSE;#N/A;"";#N/A;FALSE;#N/A;"";#N/A;#N/A;#N/A}</definedName>
    <definedName name="asdfsdfsd" hidden="1">{2;#N/A;"R8C42:R63C42";#N/A;"R8C44:R63C44";FALSE;FALSE;FALSE;95;#N/A;#N/A;"R157C36";#N/A;FALSE;FALSE;FALSE;FALSE;#N/A;"";#N/A;FALSE;#N/A;"";#N/A;#N/A;#N/A}</definedName>
    <definedName name="asdlfkjsdl" localSheetId="40" hidden="1">{"Excel Help!1802";5;10;5;10;13;13;13;8;5;5;10;14;13;13;13;13;5;10;14;13;5;10;1;2;24}</definedName>
    <definedName name="asdlfkjsdl" hidden="1">{"Excel Help!1802";5;10;5;10;13;13;13;8;5;5;10;14;13;13;13;13;5;10;14;13;5;10;1;2;24}</definedName>
    <definedName name="ASFRs">#REF!</definedName>
    <definedName name="Births">#REF!</definedName>
    <definedName name="CrownCopyright">#REF!</definedName>
    <definedName name="d" hidden="1">#REF!</definedName>
    <definedName name="DEATHNF">#REF!</definedName>
    <definedName name="DeathsF">#REF!</definedName>
    <definedName name="DeathsM">#REF!</definedName>
    <definedName name="DeathsP">#REF!</definedName>
    <definedName name="dfgadfgdfgdfgdfgdf" localSheetId="40" hidden="1">{"Excel Help!1802";5;10;5;10;13;13;13;8;5;5;10;14;13;13;13;13;5;10;14;13;5;10;1;2;24}</definedName>
    <definedName name="dfgadfgdfgdfgdfgdf" hidden="1">{"Excel Help!1802";5;10;5;10;13;13;13;8;5;5;10;14;13;13;13;13;5;10;14;13;5;10;1;2;24}</definedName>
    <definedName name="dfghdfgdfgdfg" localSheetId="40" hidden="1">{"Excel Help!1802";5;10;5;10;13;13;13;8;5;5;10;14;13;13;13;13;5;10;14;13;5;10;1;2;24}</definedName>
    <definedName name="dfghdfgdfgdfg" hidden="1">{"Excel Help!1802";5;10;5;10;13;13;13;8;5;5;10;14;13;13;13;13;5;10;14;13;5;10;1;2;24}</definedName>
    <definedName name="graph" hidden="1">#REF!</definedName>
    <definedName name="graph_copy_A" hidden="1">#REF!</definedName>
    <definedName name="graphgrap" hidden="1">#REF!</definedName>
    <definedName name="JanpopF">#REF!</definedName>
    <definedName name="janpopm">#REF!</definedName>
    <definedName name="janpopp">#REF!</definedName>
    <definedName name="jhgkjgjhgjh">#REF!</definedName>
    <definedName name="LA">#REF!</definedName>
    <definedName name="midpopF">#REF!</definedName>
    <definedName name="midpopm">#REF!</definedName>
    <definedName name="midpopp">#REF!</definedName>
    <definedName name="MigrantsF">#REF!</definedName>
    <definedName name="MigrantsM">#REF!</definedName>
    <definedName name="MigrantsP">#REF!</definedName>
    <definedName name="mxF">#REF!</definedName>
    <definedName name="mxM">#REF!</definedName>
    <definedName name="mxP">#REF!</definedName>
    <definedName name="new" localSheetId="40" hidden="1">{2;#N/A;"R8C42:R63C42";#N/A;"R8C44:R63C44";FALSE;FALSE;FALSE;95;#N/A;#N/A;"R157C36";#N/A;FALSE;FALSE;FALSE;FALSE;#N/A;"";#N/A;FALSE;#N/A;"";#N/A;#N/A;#N/A}</definedName>
    <definedName name="new" hidden="1">{2;#N/A;"R8C42:R63C42";#N/A;"R8C44:R63C44";FALSE;FALSE;FALSE;95;#N/A;#N/A;"R157C36";#N/A;FALSE;FALSE;FALSE;FALSE;#N/A;"";#N/A;FALSE;#N/A;"";#N/A;#N/A;#N/A}</definedName>
    <definedName name="newsheet" localSheetId="40" hidden="1">{"Excel Help!1802";5;10;5;10;13;13;13;8;5;5;10;14;13;13;13;13;5;10;14;13;5;10;1;2;24}</definedName>
    <definedName name="newsheet" hidden="1">{"Excel Help!1802";5;10;5;10;13;13;13;8;5;5;10;14;13;13;13;13;5;10;14;13;5;10;1;2;24}</definedName>
    <definedName name="OtherChangesF">#REF!</definedName>
    <definedName name="OtherChangesM">#REF!</definedName>
    <definedName name="pensionadjf">#REF!</definedName>
    <definedName name="pensionadjm">#REF!</definedName>
    <definedName name="_xlnm.Print_Area">#REF!</definedName>
    <definedName name="ProjBirths">#REF!</definedName>
    <definedName name="s" hidden="1">#REF!</definedName>
    <definedName name="sasas" hidden="1">#REF!</definedName>
    <definedName name="sdfsdfsdf" localSheetId="40" hidden="1">{"Excel Help!1802";5;10;5;10;13;13;13;8;5;5;10;14;13;13;13;13;5;10;14;13;5;10;1;2;24}</definedName>
    <definedName name="sdfsdfsdf" hidden="1">{"Excel Help!1802";5;10;5;10;13;13;13;8;5;5;10;14;13;13;13;13;5;10;14;13;5;10;1;2;24}</definedName>
    <definedName name="summaryf">#REF!</definedName>
    <definedName name="summarym">#REF!</definedName>
    <definedName name="summaryp">#REF!</definedName>
    <definedName name="test" localSheetId="40" hidden="1">{2;#N/A;"R8C42:R63C42";#N/A;"R8C44:R63C44";FALSE;FALSE;FALSE;95;#N/A;#N/A;"R157C36";#N/A;FALSE;FALSE;FALSE;FALSE;#N/A;"";#N/A;FALSE;#N/A;"";#N/A;#N/A;#N/A}</definedName>
    <definedName name="test" hidden="1">{2;#N/A;"R8C42:R63C42";#N/A;"R8C44:R63C44";FALSE;FALSE;FALSE;95;#N/A;#N/A;"R157C36";#N/A;FALSE;FALSE;FALSE;FALSE;#N/A;"";#N/A;FALSE;#N/A;"";#N/A;#N/A;#N/A}</definedName>
    <definedName name="test1" localSheetId="40" hidden="1">{2;#N/A;"R8C42:R63C42";#N/A;"R8C44:R63C44";FALSE;FALSE;FALSE;95;#N/A;#N/A;"R157C36";#N/A;FALSE;FALSE;FALSE;FALSE;#N/A;"";#N/A;FALSE;#N/A;"";#N/A;#N/A;#N/A}</definedName>
    <definedName name="test1" hidden="1">{2;#N/A;"R8C42:R63C42";#N/A;"R8C44:R63C44";FALSE;FALSE;FALSE;95;#N/A;#N/A;"R157C36";#N/A;FALSE;FALSE;FALSE;FALSE;#N/A;"";#N/A;FALSE;#N/A;"";#N/A;#N/A;#N/A}</definedName>
    <definedName name="Textline3">#REF!</definedName>
    <definedName name="whatever" localSheetId="40" hidden="1">{2;#N/A;"R8C42:R63C42";#N/A;"R8C44:R63C44";FALSE;FALSE;FALSE;95;#N/A;#N/A;"R157C36";#N/A;FALSE;FALSE;FALSE;FALSE;#N/A;"";#N/A;FALSE;#N/A;"";#N/A;#N/A;#N/A}</definedName>
    <definedName name="whatever" hidden="1">{2;#N/A;"R8C42:R63C42";#N/A;"R8C44:R63C44";FALSE;FALSE;FALSE;95;#N/A;#N/A;"R157C36";#N/A;FALSE;FALSE;FALSE;FALSE;#N/A;"";#N/A;FALSE;#N/A;"";#N/A;#N/A;#N/A}</definedName>
    <definedName name="xxx" hidden="1">#REF!</definedName>
    <definedName name="yrsryrt" localSheetId="40" hidden="1">{2;#N/A;"R8C42:R63C42";#N/A;"R8C44:R63C44";FALSE;FALSE;FALSE;95;#N/A;#N/A;"R157C36";#N/A;FALSE;FALSE;FALSE;FALSE;#N/A;"";#N/A;FALSE;#N/A;"";#N/A;#N/A;#N/A}</definedName>
    <definedName name="yrsryrt" hidden="1">{2;#N/A;"R8C42:R63C42";#N/A;"R8C44:R63C44";FALSE;FALSE;FALSE;95;#N/A;#N/A;"R157C36";#N/A;FALSE;FALSE;FALSE;FALSE;#N/A;"";#N/A;FALSE;#N/A;"";#N/A;#N/A;#N/A}</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17" i="315" l="1"/>
  <c r="B16" i="315"/>
  <c r="B15" i="315"/>
  <c r="B14" i="315"/>
  <c r="B13" i="315"/>
  <c r="B12" i="315"/>
  <c r="B11" i="315"/>
  <c r="E29" i="309"/>
  <c r="D29" i="309"/>
  <c r="C29" i="309"/>
  <c r="B29" i="309"/>
  <c r="F40" i="228"/>
  <c r="D17" i="201" l="1"/>
  <c r="E15" i="201" s="1"/>
  <c r="E16" i="201"/>
  <c r="E13" i="201"/>
  <c r="E12" i="201"/>
  <c r="E11" i="201"/>
  <c r="E10" i="201"/>
  <c r="E9" i="201"/>
  <c r="E14" i="201" l="1"/>
  <c r="C6" i="22" l="1"/>
  <c r="D6" i="22"/>
  <c r="E6" i="22"/>
  <c r="F6" i="22"/>
  <c r="B6" i="22"/>
  <c r="B49" i="278"/>
  <c r="B48" i="278"/>
  <c r="B51" i="278" l="1"/>
  <c r="B53" i="278" s="1"/>
  <c r="A11" i="262" l="1"/>
  <c r="F4" i="248" l="1"/>
  <c r="E4" i="248"/>
  <c r="C4" i="248"/>
  <c r="B4" i="248" l="1"/>
  <c r="D4" i="248"/>
</calcChain>
</file>

<file path=xl/sharedStrings.xml><?xml version="1.0" encoding="utf-8"?>
<sst xmlns="http://schemas.openxmlformats.org/spreadsheetml/2006/main" count="2050" uniqueCount="893">
  <si>
    <t>2014-15</t>
  </si>
  <si>
    <t>2015-16</t>
  </si>
  <si>
    <t>2016-17</t>
  </si>
  <si>
    <t>2017-18</t>
  </si>
  <si>
    <t>2018-19</t>
  </si>
  <si>
    <t>Local Authority</t>
  </si>
  <si>
    <t>Aberdeen City</t>
  </si>
  <si>
    <t>Aberdeenshire</t>
  </si>
  <si>
    <t>Angus</t>
  </si>
  <si>
    <t>Clackmannanshire</t>
  </si>
  <si>
    <t>Dumfries &amp; Galloway</t>
  </si>
  <si>
    <t>Dundee City</t>
  </si>
  <si>
    <t>East Ayrshire</t>
  </si>
  <si>
    <t>East Dunbartonshire</t>
  </si>
  <si>
    <t>East Lothian</t>
  </si>
  <si>
    <t>East Renfrewshire</t>
  </si>
  <si>
    <t>Renfrewshire</t>
  </si>
  <si>
    <t>Falkirk</t>
  </si>
  <si>
    <t>Fife</t>
  </si>
  <si>
    <t>Glasgow City</t>
  </si>
  <si>
    <t>Highland</t>
  </si>
  <si>
    <t>Inverclyde</t>
  </si>
  <si>
    <t>Midlothian</t>
  </si>
  <si>
    <t>Moray</t>
  </si>
  <si>
    <t>North Ayrshire</t>
  </si>
  <si>
    <t>North Lanarkshire</t>
  </si>
  <si>
    <t>Orkney Islands</t>
  </si>
  <si>
    <t>Perth &amp; Kinross</t>
  </si>
  <si>
    <t>Scottish Borders</t>
  </si>
  <si>
    <t>Shetland Islands</t>
  </si>
  <si>
    <t>South Ayrshire</t>
  </si>
  <si>
    <t>South Lanarkshire</t>
  </si>
  <si>
    <t>Stirling</t>
  </si>
  <si>
    <t>West Dunbartonshire</t>
  </si>
  <si>
    <t>West Lothian</t>
  </si>
  <si>
    <t>Education</t>
  </si>
  <si>
    <t>HRA</t>
  </si>
  <si>
    <t>General Fund</t>
  </si>
  <si>
    <t>Total</t>
  </si>
  <si>
    <t>Interest Payable and Similar Charges</t>
  </si>
  <si>
    <t>Statutory Repayment of Debt</t>
  </si>
  <si>
    <t>Other Operating Expenditure</t>
  </si>
  <si>
    <t>Council Tax</t>
  </si>
  <si>
    <t>Other</t>
  </si>
  <si>
    <t>Social Work</t>
  </si>
  <si>
    <t>Environmental Services</t>
  </si>
  <si>
    <t>Central Services</t>
  </si>
  <si>
    <t>Non-HRA Housing</t>
  </si>
  <si>
    <t>Trading Services</t>
  </si>
  <si>
    <t>General Fund Net Expenditure</t>
  </si>
  <si>
    <t>Roads and Transport</t>
  </si>
  <si>
    <t>Total General Fund</t>
  </si>
  <si>
    <t>Employee Costs</t>
  </si>
  <si>
    <t>Operating Costs</t>
  </si>
  <si>
    <t>Transfer Payments</t>
  </si>
  <si>
    <t>Support Services</t>
  </si>
  <si>
    <t>Other Grants, Reimbursements and Contributions</t>
  </si>
  <si>
    <t>Customer and Client Receipts</t>
  </si>
  <si>
    <t>Population</t>
  </si>
  <si>
    <t>Roads &amp; Transport</t>
  </si>
  <si>
    <t>Scotland</t>
  </si>
  <si>
    <t>n/a</t>
  </si>
  <si>
    <t>Return to Contents</t>
  </si>
  <si>
    <t>Service</t>
  </si>
  <si>
    <t>Gross Service Expenditure</t>
  </si>
  <si>
    <t xml:space="preserve">Environmental Services </t>
  </si>
  <si>
    <t>Total Capital Expenditure</t>
  </si>
  <si>
    <t>Advances for Consented Borrowing</t>
  </si>
  <si>
    <t>Total Loans Fund Borrowing</t>
  </si>
  <si>
    <t>Credit Arrangements</t>
  </si>
  <si>
    <t>Total Borrowing and Credit Arrangements</t>
  </si>
  <si>
    <t>Harbour Account</t>
  </si>
  <si>
    <t>Renewal and Repairs</t>
  </si>
  <si>
    <t>Insurance Fund</t>
  </si>
  <si>
    <t>Other Statutory Funds</t>
  </si>
  <si>
    <t>Total Revenue Reserves</t>
  </si>
  <si>
    <t>Capital Reserves</t>
  </si>
  <si>
    <t>Total Capital Reserves</t>
  </si>
  <si>
    <t>Total Usable Reserves</t>
  </si>
  <si>
    <t>Capital Fund / Capital Receipts</t>
  </si>
  <si>
    <t>Capital Grants and Receipts Unapplied</t>
  </si>
  <si>
    <t>Intangible Assets</t>
  </si>
  <si>
    <t>Total Assets</t>
  </si>
  <si>
    <t>Total Debt</t>
  </si>
  <si>
    <t>Total General Fund Debt</t>
  </si>
  <si>
    <t>Total HRA Debt</t>
  </si>
  <si>
    <t>Population Estimate</t>
  </si>
  <si>
    <t>Number of HRA dwellings</t>
  </si>
  <si>
    <t>Capital Financing Requirement at 1 April</t>
  </si>
  <si>
    <t>Capital Financing Requirement at 31 March</t>
  </si>
  <si>
    <t>Council Dwellings</t>
  </si>
  <si>
    <t>Other Land and Buildings</t>
  </si>
  <si>
    <t>Vehicles, Plant, Furniture and Equipment</t>
  </si>
  <si>
    <t>Infrastructure Assets</t>
  </si>
  <si>
    <t>Community Assets</t>
  </si>
  <si>
    <t>Heritage Assets</t>
  </si>
  <si>
    <t>Assets Under Construction</t>
  </si>
  <si>
    <t>Surplus Assets Held for Disposal</t>
  </si>
  <si>
    <t>Investment Properties</t>
  </si>
  <si>
    <t>Total External Debt</t>
  </si>
  <si>
    <t>Operational Boundary for External Debt</t>
  </si>
  <si>
    <t>Authorised Limit for External Debt</t>
  </si>
  <si>
    <t>Capital Financing Requirement (CFR)</t>
  </si>
  <si>
    <t>Total External Debt as a percentage of CFR</t>
  </si>
  <si>
    <t>Total Net Revenue Expenditure</t>
  </si>
  <si>
    <t>Adjustment for Intra / Inter Authority Transfers</t>
  </si>
  <si>
    <t>Total General Fund and HRA</t>
  </si>
  <si>
    <t>Gross Income</t>
  </si>
  <si>
    <t>Revenue</t>
  </si>
  <si>
    <t>Capital</t>
  </si>
  <si>
    <t>Capital Financing Requirement</t>
  </si>
  <si>
    <t>Pensions</t>
  </si>
  <si>
    <t>Lump Sums</t>
  </si>
  <si>
    <t>City of Edinburgh</t>
  </si>
  <si>
    <t>Na h-Eileanan Siar</t>
  </si>
  <si>
    <t>Band A</t>
  </si>
  <si>
    <t>Band B</t>
  </si>
  <si>
    <t>Band C</t>
  </si>
  <si>
    <t>Band D</t>
  </si>
  <si>
    <t>Band E</t>
  </si>
  <si>
    <t>Band F</t>
  </si>
  <si>
    <t>Band G</t>
  </si>
  <si>
    <t>Band H</t>
  </si>
  <si>
    <t>2009-10</t>
  </si>
  <si>
    <t>2011-12</t>
  </si>
  <si>
    <t>2012-13</t>
  </si>
  <si>
    <t>2013-14</t>
  </si>
  <si>
    <t>Argyll &amp; Bute</t>
  </si>
  <si>
    <t>2010-11</t>
  </si>
  <si>
    <t>Reserve Type</t>
  </si>
  <si>
    <t>Reserve</t>
  </si>
  <si>
    <t>Total Other Expenditure and Income</t>
  </si>
  <si>
    <t>Total General Funding</t>
  </si>
  <si>
    <t>NDR Distributable Amount</t>
  </si>
  <si>
    <t>Expenditure Type</t>
  </si>
  <si>
    <t>Borrowing from Loans Fund</t>
  </si>
  <si>
    <t>Total Capital Financing</t>
  </si>
  <si>
    <t>Surplus (-) or Deficit (+) from Trading Operations</t>
  </si>
  <si>
    <t>Background</t>
  </si>
  <si>
    <t>Enquiries</t>
  </si>
  <si>
    <t>Contents</t>
  </si>
  <si>
    <t>Data Sources</t>
  </si>
  <si>
    <t>Local Financial Returns (LFRs)</t>
  </si>
  <si>
    <t>Council Tax Receipts Return (CTRR)</t>
  </si>
  <si>
    <t>Council Tax Base (Ctaxbase)</t>
  </si>
  <si>
    <t>Council Tax Assumptions (CTAS)</t>
  </si>
  <si>
    <t>Council Tax Reducation (CTR) Extracts</t>
  </si>
  <si>
    <t>Non-Domestic Rates Income (NDRI) Returns</t>
  </si>
  <si>
    <t>Housing Revenue Account (HRA) Statistics</t>
  </si>
  <si>
    <t>Scottish Assessors Valuation Roll</t>
  </si>
  <si>
    <t>Local Government Finance Circulars</t>
  </si>
  <si>
    <t>Gross Service Income</t>
  </si>
  <si>
    <t>Revisions</t>
  </si>
  <si>
    <t>2019-20</t>
  </si>
  <si>
    <t>Employee 
Costs</t>
  </si>
  <si>
    <t>Operating 
Costs</t>
  </si>
  <si>
    <t>Support 
Services</t>
  </si>
  <si>
    <t>Balance as at 31 March</t>
  </si>
  <si>
    <t>ALL COUNCILS</t>
  </si>
  <si>
    <t>Total Other Assets</t>
  </si>
  <si>
    <t>Assets Held for Sale</t>
  </si>
  <si>
    <t>Total General Fund Debt, £ thousands</t>
  </si>
  <si>
    <t>Total HRA Debt, £ thousands</t>
  </si>
  <si>
    <t xml:space="preserve">Credit Arrangements at 31 March </t>
  </si>
  <si>
    <t>Actual external borrowing</t>
  </si>
  <si>
    <t>Fund capital expenditure</t>
  </si>
  <si>
    <t>Repay debt</t>
  </si>
  <si>
    <t>Fund premiums incurred on refinancing</t>
  </si>
  <si>
    <t>Fund deferred premiums</t>
  </si>
  <si>
    <t>Fund transformation projects</t>
  </si>
  <si>
    <t>Total capital receipts used in year</t>
  </si>
  <si>
    <t>Data Interpretation</t>
  </si>
  <si>
    <t>Please note the following information when using data provided in this file:</t>
  </si>
  <si>
    <t>•   Figures within tables / charts may not sum to the total exactly due to rounding.</t>
  </si>
  <si>
    <r>
      <t xml:space="preserve">•   All figures are presented in cash terms, this means they have </t>
    </r>
    <r>
      <rPr>
        <b/>
        <sz val="12"/>
        <color theme="1"/>
        <rFont val="Arial"/>
        <family val="2"/>
      </rPr>
      <t>not</t>
    </r>
    <r>
      <rPr>
        <sz val="12"/>
        <color theme="1"/>
        <rFont val="Arial"/>
        <family val="2"/>
      </rPr>
      <t xml:space="preserve"> been adjusted for inflation.</t>
    </r>
  </si>
  <si>
    <t>Intangible assets</t>
  </si>
  <si>
    <t>Culture &amp; Related Services</t>
  </si>
  <si>
    <t>Operational assets</t>
  </si>
  <si>
    <t>Non-operational assets</t>
  </si>
  <si>
    <t>Loans Fund Advances outstanding</t>
  </si>
  <si>
    <t>Loans Fund Advances outstanding at 1 April</t>
  </si>
  <si>
    <t xml:space="preserve">Loans Fund Advances outstanding at 31 March </t>
  </si>
  <si>
    <t>Credit arrangements brought forward at 1 April</t>
  </si>
  <si>
    <t>Credit arrangements outstanding</t>
  </si>
  <si>
    <t>•   Figures are presented on a funding basis and so have been adjusted to remove certain accounting transactions that have been charged to services, such as depreciation and pension costs.</t>
  </si>
  <si>
    <t>Other Funding</t>
  </si>
  <si>
    <t>General Revenue Grant (GRG)</t>
  </si>
  <si>
    <t>Net Revenue Expenditure</t>
  </si>
  <si>
    <t>2020-21</t>
  </si>
  <si>
    <t>Opening net assets of the fund at 1 April</t>
  </si>
  <si>
    <t>Closing net assets of the fund at 31 March</t>
  </si>
  <si>
    <t>Active</t>
  </si>
  <si>
    <t>Deferred</t>
  </si>
  <si>
    <t>Other benefits</t>
  </si>
  <si>
    <t>Investment Income</t>
  </si>
  <si>
    <t>Capital Expenditure Funded from GF / HRA / Harbour only</t>
  </si>
  <si>
    <t>Building, Planning &amp; Development</t>
  </si>
  <si>
    <t>General 
Fund</t>
  </si>
  <si>
    <t xml:space="preserve">General 
Fund </t>
  </si>
  <si>
    <t>Total Property, Plant &amp; Equipment - Operational Assets</t>
  </si>
  <si>
    <t>Total Property, Plant &amp; Equipment - Non-Operational Assets</t>
  </si>
  <si>
    <t>Loans Fund Advances outstanding, £ thousands</t>
  </si>
  <si>
    <t>Credit Arrangements, £ thousands</t>
  </si>
  <si>
    <t>Loans Fund Advances outstanding, £'s per person</t>
  </si>
  <si>
    <t>Credit Arrangements, £'s per person</t>
  </si>
  <si>
    <t>Total General Fund Debt, £'s per person</t>
  </si>
  <si>
    <t>General Fund Loans Fund Advances outstanding</t>
  </si>
  <si>
    <t>General Fund Credit Arrangements</t>
  </si>
  <si>
    <t>HRA Loans Fund Advances outstanding</t>
  </si>
  <si>
    <t>HRA Credit Arrangements</t>
  </si>
  <si>
    <t>Total Loans Fund Advances outstanding</t>
  </si>
  <si>
    <t>Total Credit Arrangements</t>
  </si>
  <si>
    <r>
      <rPr>
        <b/>
        <sz val="12"/>
        <color theme="1"/>
        <rFont val="Arial"/>
        <family val="2"/>
      </rPr>
      <t xml:space="preserve">Source: </t>
    </r>
    <r>
      <rPr>
        <sz val="12"/>
        <color theme="1"/>
        <rFont val="Arial"/>
        <family val="2"/>
      </rPr>
      <t>LFR A0</t>
    </r>
  </si>
  <si>
    <r>
      <rPr>
        <b/>
        <sz val="12"/>
        <color theme="1"/>
        <rFont val="Arial"/>
        <family val="2"/>
      </rPr>
      <t xml:space="preserve">Source: </t>
    </r>
    <r>
      <rPr>
        <sz val="12"/>
        <color theme="1"/>
        <rFont val="Arial"/>
        <family val="2"/>
      </rPr>
      <t>LFR 00</t>
    </r>
  </si>
  <si>
    <t>This worksheet contains one table.</t>
  </si>
  <si>
    <r>
      <rPr>
        <b/>
        <sz val="12"/>
        <color theme="1"/>
        <rFont val="Arial"/>
        <family val="2"/>
      </rPr>
      <t>Source</t>
    </r>
    <r>
      <rPr>
        <sz val="12"/>
        <color theme="1"/>
        <rFont val="Arial"/>
        <family val="2"/>
      </rPr>
      <t>: LFR 00</t>
    </r>
  </si>
  <si>
    <r>
      <rPr>
        <b/>
        <sz val="12"/>
        <color theme="1"/>
        <rFont val="Arial"/>
        <family val="2"/>
      </rPr>
      <t xml:space="preserve">Add: </t>
    </r>
    <r>
      <rPr>
        <sz val="12"/>
        <color theme="1"/>
        <rFont val="Arial"/>
        <family val="2"/>
      </rPr>
      <t xml:space="preserve">Surplus (+) or Deficit (-) on provision of services </t>
    </r>
    <r>
      <rPr>
        <u/>
        <sz val="12"/>
        <color theme="1"/>
        <rFont val="Arial"/>
        <family val="2"/>
      </rPr>
      <t>after</t>
    </r>
    <r>
      <rPr>
        <sz val="12"/>
        <color theme="1"/>
        <rFont val="Arial"/>
        <family val="2"/>
      </rPr>
      <t xml:space="preserve"> statutory adjustments</t>
    </r>
  </si>
  <si>
    <r>
      <rPr>
        <b/>
        <sz val="12"/>
        <color theme="1"/>
        <rFont val="Arial"/>
        <family val="2"/>
      </rPr>
      <t xml:space="preserve">Source: </t>
    </r>
    <r>
      <rPr>
        <sz val="12"/>
        <color theme="1"/>
        <rFont val="Arial"/>
        <family val="2"/>
      </rPr>
      <t>LFR 23</t>
    </r>
  </si>
  <si>
    <r>
      <rPr>
        <b/>
        <sz val="12"/>
        <color theme="1"/>
        <rFont val="Arial"/>
        <family val="2"/>
      </rPr>
      <t>Source:</t>
    </r>
    <r>
      <rPr>
        <sz val="12"/>
        <color theme="1"/>
        <rFont val="Arial"/>
        <family val="2"/>
      </rPr>
      <t xml:space="preserve"> LFR CR</t>
    </r>
  </si>
  <si>
    <r>
      <t xml:space="preserve">Source: </t>
    </r>
    <r>
      <rPr>
        <sz val="12"/>
        <color theme="1"/>
        <rFont val="Arial"/>
        <family val="2"/>
      </rPr>
      <t>LFR CR</t>
    </r>
  </si>
  <si>
    <r>
      <t xml:space="preserve">Source: </t>
    </r>
    <r>
      <rPr>
        <sz val="12"/>
        <color theme="1"/>
        <rFont val="Arial"/>
        <family val="2"/>
      </rPr>
      <t>LFR 23</t>
    </r>
  </si>
  <si>
    <r>
      <rPr>
        <b/>
        <sz val="12"/>
        <color theme="1"/>
        <rFont val="Arial"/>
        <family val="2"/>
      </rPr>
      <t xml:space="preserve">Add: </t>
    </r>
    <r>
      <rPr>
        <sz val="12"/>
        <color theme="1"/>
        <rFont val="Arial"/>
        <family val="2"/>
      </rPr>
      <t>New advances from the Loans Fund</t>
    </r>
  </si>
  <si>
    <r>
      <rPr>
        <b/>
        <sz val="12"/>
        <color theme="1"/>
        <rFont val="Arial"/>
        <family val="2"/>
      </rPr>
      <t>Less:</t>
    </r>
    <r>
      <rPr>
        <sz val="12"/>
        <color theme="1"/>
        <rFont val="Arial"/>
        <family val="2"/>
      </rPr>
      <t xml:space="preserve"> Repayments made in year</t>
    </r>
  </si>
  <si>
    <r>
      <rPr>
        <b/>
        <sz val="12"/>
        <color theme="1"/>
        <rFont val="Arial"/>
        <family val="2"/>
      </rPr>
      <t xml:space="preserve">Add: </t>
    </r>
    <r>
      <rPr>
        <sz val="12"/>
        <color theme="1"/>
        <rFont val="Arial"/>
        <family val="2"/>
      </rPr>
      <t>New advances for Consented Borrowing</t>
    </r>
  </si>
  <si>
    <r>
      <rPr>
        <b/>
        <sz val="12"/>
        <rFont val="Arial"/>
        <family val="2"/>
      </rPr>
      <t xml:space="preserve">Add: </t>
    </r>
    <r>
      <rPr>
        <sz val="12"/>
        <rFont val="Arial"/>
        <family val="2"/>
      </rPr>
      <t>New credit arrangements in year</t>
    </r>
  </si>
  <si>
    <r>
      <rPr>
        <b/>
        <sz val="12"/>
        <rFont val="Arial"/>
        <family val="2"/>
      </rPr>
      <t>Less:</t>
    </r>
    <r>
      <rPr>
        <sz val="12"/>
        <rFont val="Arial"/>
        <family val="2"/>
      </rPr>
      <t xml:space="preserve"> Repayments made in year</t>
    </r>
  </si>
  <si>
    <r>
      <rPr>
        <b/>
        <sz val="12"/>
        <color theme="1"/>
        <rFont val="Arial"/>
        <family val="2"/>
      </rPr>
      <t>Add:</t>
    </r>
    <r>
      <rPr>
        <sz val="12"/>
        <color theme="1"/>
        <rFont val="Arial"/>
        <family val="2"/>
      </rPr>
      <t xml:space="preserve"> Capital expenditure to be financed by borrowing </t>
    </r>
  </si>
  <si>
    <r>
      <rPr>
        <b/>
        <sz val="12"/>
        <color theme="1"/>
        <rFont val="Arial"/>
        <family val="2"/>
      </rPr>
      <t xml:space="preserve">Add: </t>
    </r>
    <r>
      <rPr>
        <sz val="12"/>
        <color theme="1"/>
        <rFont val="Arial"/>
        <family val="2"/>
      </rPr>
      <t xml:space="preserve">Capital expenditure to be financed by credit arrangements </t>
    </r>
  </si>
  <si>
    <r>
      <rPr>
        <b/>
        <sz val="12"/>
        <color theme="1"/>
        <rFont val="Arial"/>
        <family val="2"/>
      </rPr>
      <t xml:space="preserve">Less: </t>
    </r>
    <r>
      <rPr>
        <sz val="12"/>
        <color theme="1"/>
        <rFont val="Arial"/>
        <family val="2"/>
      </rPr>
      <t>Loans Fund repayments</t>
    </r>
  </si>
  <si>
    <r>
      <rPr>
        <b/>
        <sz val="12"/>
        <color theme="1"/>
        <rFont val="Arial"/>
        <family val="2"/>
      </rPr>
      <t>Less:</t>
    </r>
    <r>
      <rPr>
        <sz val="12"/>
        <color theme="1"/>
        <rFont val="Arial"/>
        <family val="2"/>
      </rPr>
      <t xml:space="preserve"> Credit Arrangements repayments</t>
    </r>
  </si>
  <si>
    <r>
      <t xml:space="preserve">Source: </t>
    </r>
    <r>
      <rPr>
        <sz val="12"/>
        <color theme="1"/>
        <rFont val="Arial"/>
        <family val="2"/>
      </rPr>
      <t>LFR 24</t>
    </r>
  </si>
  <si>
    <r>
      <rPr>
        <b/>
        <sz val="12"/>
        <color theme="1"/>
        <rFont val="Arial"/>
        <family val="2"/>
      </rPr>
      <t>Source</t>
    </r>
    <r>
      <rPr>
        <sz val="12"/>
        <color theme="1"/>
        <rFont val="Arial"/>
        <family val="2"/>
      </rPr>
      <t>: LFR 24</t>
    </r>
  </si>
  <si>
    <r>
      <t>Source:</t>
    </r>
    <r>
      <rPr>
        <sz val="12"/>
        <color theme="1"/>
        <rFont val="Arial"/>
        <family val="2"/>
      </rPr>
      <t xml:space="preserve"> LFR CR</t>
    </r>
  </si>
  <si>
    <t>Income figures are presented as negatives in this table to distinguish them from expenditure figures.</t>
  </si>
  <si>
    <t>Interest Receivable and Similar Income</t>
  </si>
  <si>
    <t>'Interest Receivable and Similar Income' includes losses arising from derecognition of financial assets and recognition of credit losses on financial assets.</t>
  </si>
  <si>
    <t>This worksheet contains one table and one chart.</t>
  </si>
  <si>
    <r>
      <t>Capital 
Expenditure,</t>
    </r>
    <r>
      <rPr>
        <b/>
        <vertAlign val="superscript"/>
        <sz val="12"/>
        <color theme="0"/>
        <rFont val="Arial"/>
        <family val="2"/>
      </rPr>
      <t xml:space="preserve"> 
</t>
    </r>
    <r>
      <rPr>
        <b/>
        <sz val="12"/>
        <color theme="0"/>
        <rFont val="Arial"/>
        <family val="2"/>
      </rPr>
      <t>£ thousands</t>
    </r>
  </si>
  <si>
    <r>
      <t>Net increase (+) 
or decrease (-)</t>
    </r>
    <r>
      <rPr>
        <b/>
        <vertAlign val="superscript"/>
        <sz val="12"/>
        <color theme="0"/>
        <rFont val="Arial"/>
        <family val="2"/>
      </rPr>
      <t xml:space="preserve">
</t>
    </r>
    <r>
      <rPr>
        <b/>
        <sz val="12"/>
        <color theme="0"/>
        <rFont val="Arial"/>
        <family val="2"/>
      </rPr>
      <t>in year</t>
    </r>
  </si>
  <si>
    <t>Balance as at 1 April</t>
  </si>
  <si>
    <t>Advances for Capital Expenditure</t>
  </si>
  <si>
    <r>
      <rPr>
        <b/>
        <sz val="12"/>
        <rFont val="Arial"/>
        <family val="2"/>
      </rPr>
      <t>Source:</t>
    </r>
    <r>
      <rPr>
        <sz val="12"/>
        <rFont val="Arial"/>
        <family val="2"/>
      </rPr>
      <t xml:space="preserve"> LFR CR</t>
    </r>
  </si>
  <si>
    <r>
      <rPr>
        <b/>
        <sz val="12"/>
        <color theme="1"/>
        <rFont val="Arial"/>
        <family val="2"/>
      </rPr>
      <t xml:space="preserve">Add: </t>
    </r>
    <r>
      <rPr>
        <sz val="12"/>
        <color theme="1"/>
        <rFont val="Arial"/>
        <family val="2"/>
      </rPr>
      <t>New advances for Capital Expenditure</t>
    </r>
  </si>
  <si>
    <t>Employee Contributions</t>
  </si>
  <si>
    <t>Employer Contributions</t>
  </si>
  <si>
    <t>Intra / Inter 
Authority Transfer 
Adjustment</t>
  </si>
  <si>
    <t>Government Grants</t>
  </si>
  <si>
    <t>Income Type</t>
  </si>
  <si>
    <r>
      <t xml:space="preserve">Please note that 'Government Grants' relates to service specific government grants, including those paid in relation to the Covid-19 pandemic. This figure does </t>
    </r>
    <r>
      <rPr>
        <b/>
        <sz val="12"/>
        <color theme="1"/>
        <rFont val="Arial"/>
        <family val="2"/>
      </rPr>
      <t xml:space="preserve">not </t>
    </r>
    <r>
      <rPr>
        <sz val="12"/>
        <color theme="1"/>
        <rFont val="Arial"/>
        <family val="2"/>
      </rPr>
      <t>include GRG.</t>
    </r>
  </si>
  <si>
    <t>Category</t>
  </si>
  <si>
    <t>This worksheet contains one table and one chart. Please note the following:</t>
  </si>
  <si>
    <r>
      <t xml:space="preserve">'Government Grants' relates to service specific government grants, including those paid in relation to the Covid-19 pandemic. This figure does </t>
    </r>
    <r>
      <rPr>
        <b/>
        <sz val="12"/>
        <color theme="1"/>
        <rFont val="Arial"/>
        <family val="2"/>
      </rPr>
      <t xml:space="preserve">not </t>
    </r>
    <r>
      <rPr>
        <sz val="12"/>
        <color theme="1"/>
        <rFont val="Arial"/>
        <family val="2"/>
      </rPr>
      <t>include GRG.</t>
    </r>
  </si>
  <si>
    <t>The 'Other' category consists of Building, Planning &amp; Development Services, Central Services and Trading Services.</t>
  </si>
  <si>
    <t>Gross Service 
Income</t>
  </si>
  <si>
    <t>Gross Service 
Expenditure</t>
  </si>
  <si>
    <t>This worksheet contains one table. Please note the following:</t>
  </si>
  <si>
    <t>Expenditure / Income Type</t>
  </si>
  <si>
    <t>General Funding Source</t>
  </si>
  <si>
    <t>Financial Year</t>
  </si>
  <si>
    <t>Movement</t>
  </si>
  <si>
    <t>This worksheet contains one table. Please note that balance figures exclude amounts relating to unrealised gains that have been included in revenue reserves applying under IFRS 9: Financial Instruments.</t>
  </si>
  <si>
    <t>Other, including Central Services</t>
  </si>
  <si>
    <t>Capital 
Expenditure,
£ per person</t>
  </si>
  <si>
    <t>Source of Financing</t>
  </si>
  <si>
    <t>Grants &amp; Contributions</t>
  </si>
  <si>
    <t>Please note that 'Advances for Capital Expenditure' includes borrowing from the Loans Fund used to fund grants to third party capital projects which will also be included in the revenue figures.</t>
  </si>
  <si>
    <t>Please note that the Housing (Scotland) Act 2014 came into force from 1 August 2016 and repealed the Right-to-Buy provisions. The subsequent decline in Right-to-Buy applications explains the decrease in HRA capital receipts in each year since 2016-17.</t>
  </si>
  <si>
    <t>Figures exclude amounts relating to unrealised gains that are included in revenue reserves in statutory Annual Accounts applying IFRS 9: Financial Instruments.</t>
  </si>
  <si>
    <t>Fixed Asset Type</t>
  </si>
  <si>
    <t>Debt Type</t>
  </si>
  <si>
    <r>
      <rPr>
        <b/>
        <sz val="12"/>
        <rFont val="Arial"/>
        <family val="2"/>
      </rPr>
      <t>Source:</t>
    </r>
    <r>
      <rPr>
        <sz val="12"/>
        <rFont val="Arial"/>
        <family val="2"/>
      </rPr>
      <t xml:space="preserve"> LFR 24</t>
    </r>
  </si>
  <si>
    <t>Member Type</t>
  </si>
  <si>
    <t>Total Members</t>
  </si>
  <si>
    <t>Contributions Received</t>
  </si>
  <si>
    <t>Please note that contributions include those from other employing authorities.</t>
  </si>
  <si>
    <t>Closing Net Assets</t>
  </si>
  <si>
    <t>'New advances for Capital Expenditure' includes borrowing from the Loans Fund used to fund grants to third party capital projects which will also be included in the revenue figures.</t>
  </si>
  <si>
    <t>Prudential Indicator</t>
  </si>
  <si>
    <t>Net movements 
in (+) or out (-) 
due to transfers 
between reserves</t>
  </si>
  <si>
    <r>
      <t xml:space="preserve">Increase (+) or 
decrease (-) in 
IFRS 9 unrealised 
gains to be </t>
    </r>
    <r>
      <rPr>
        <b/>
        <u/>
        <sz val="12"/>
        <color theme="0"/>
        <rFont val="Arial"/>
        <family val="2"/>
      </rPr>
      <t>excluded</t>
    </r>
  </si>
  <si>
    <r>
      <t xml:space="preserve">Surplus (+) or Deficit (-) 
on provision of
services </t>
    </r>
    <r>
      <rPr>
        <b/>
        <u/>
        <sz val="12"/>
        <color theme="0"/>
        <rFont val="Arial"/>
        <family val="2"/>
      </rPr>
      <t>after</t>
    </r>
    <r>
      <rPr>
        <b/>
        <sz val="12"/>
        <color theme="0"/>
        <rFont val="Arial"/>
        <family val="2"/>
      </rPr>
      <t xml:space="preserve"> 
statutory adjustments</t>
    </r>
  </si>
  <si>
    <r>
      <t>Net Revenue Expenditure,</t>
    </r>
    <r>
      <rPr>
        <b/>
        <vertAlign val="superscript"/>
        <sz val="12"/>
        <color theme="0"/>
        <rFont val="Arial"/>
        <family val="2"/>
      </rPr>
      <t xml:space="preserve">
</t>
    </r>
    <r>
      <rPr>
        <b/>
        <sz val="12"/>
        <color theme="0"/>
        <rFont val="Arial"/>
        <family val="2"/>
      </rPr>
      <t>£ thousands</t>
    </r>
  </si>
  <si>
    <t>Net Revenue Expenditure,
£ per person</t>
  </si>
  <si>
    <r>
      <rPr>
        <b/>
        <sz val="12"/>
        <color rgb="FF000000"/>
        <rFont val="Arial"/>
        <family val="2"/>
      </rPr>
      <t>Less:</t>
    </r>
    <r>
      <rPr>
        <sz val="12"/>
        <color rgb="FF000000"/>
        <rFont val="Arial"/>
        <family val="2"/>
      </rPr>
      <t xml:space="preserve"> Payments to and on account of leavers</t>
    </r>
  </si>
  <si>
    <r>
      <rPr>
        <b/>
        <sz val="12"/>
        <color rgb="FF000000"/>
        <rFont val="Arial"/>
        <family val="2"/>
      </rPr>
      <t>Less:</t>
    </r>
    <r>
      <rPr>
        <sz val="12"/>
        <color rgb="FF000000"/>
        <rFont val="Arial"/>
        <family val="2"/>
      </rPr>
      <t xml:space="preserve"> Management expenses</t>
    </r>
  </si>
  <si>
    <r>
      <rPr>
        <b/>
        <sz val="12"/>
        <color rgb="FF000000"/>
        <rFont val="Arial"/>
        <family val="2"/>
      </rPr>
      <t>Add:</t>
    </r>
    <r>
      <rPr>
        <sz val="12"/>
        <color rgb="FF000000"/>
        <rFont val="Arial"/>
        <family val="2"/>
      </rPr>
      <t xml:space="preserve"> Net return on investments</t>
    </r>
  </si>
  <si>
    <r>
      <rPr>
        <b/>
        <sz val="12"/>
        <color rgb="FF000000"/>
        <rFont val="Arial"/>
        <family val="2"/>
      </rPr>
      <t>Less:</t>
    </r>
    <r>
      <rPr>
        <sz val="12"/>
        <color rgb="FF000000"/>
        <rFont val="Arial"/>
        <family val="2"/>
      </rPr>
      <t xml:space="preserve"> Revaluation of insurance buy-in contract</t>
    </r>
  </si>
  <si>
    <t>Net increase (+) / decrease (-) in the fund in year</t>
  </si>
  <si>
    <t>Net additions (+) / withdrawals (-) from dealings with members</t>
  </si>
  <si>
    <t>Benefit Type</t>
  </si>
  <si>
    <t>Total Benefits Payable</t>
  </si>
  <si>
    <t>Total Contributions Received</t>
  </si>
  <si>
    <t>Net Return on Investments</t>
  </si>
  <si>
    <t>Please note that these figures exclude amounts relating to lending to other statutory bodies.</t>
  </si>
  <si>
    <t>Treatment of loans to other statutory bodies within the CFR varies between local authorities and between years, however this relates to comparatively small figures and is not likely to be material.</t>
  </si>
  <si>
    <t>Please note that 'Other' consists of Building, Planning &amp; Development Services, Central Services and Trading Services.</t>
  </si>
  <si>
    <t>'Statutory Repayment of Debt' includes repayments relating to lending to other statutory bodies and so will differ to the repayment figures shown in Chapter 5.</t>
  </si>
  <si>
    <t>These figures only reflect local authorities own debt and exclude amounts relating to lending to other statutory bodies.</t>
  </si>
  <si>
    <t>Please note that the method used to calculate external debt differs between years, in particular:</t>
  </si>
  <si>
    <r>
      <t xml:space="preserve">•   Scotland figures cover financial activity across </t>
    </r>
    <r>
      <rPr>
        <b/>
        <sz val="12"/>
        <color theme="1"/>
        <rFont val="Arial"/>
        <family val="2"/>
      </rPr>
      <t>all</t>
    </r>
    <r>
      <rPr>
        <sz val="12"/>
        <color theme="1"/>
        <rFont val="Arial"/>
        <family val="2"/>
      </rPr>
      <t xml:space="preserve"> 32 councils, 10 Valuation Joint Boards (VJBs), 7 Regional Transport Partnerships (RTPs) and the Tay Road Bridge Joint Authority.</t>
    </r>
  </si>
  <si>
    <t xml:space="preserve">•   Expenditure and income figures are presented as positive figures unless otherwise stated. Net expenditure figures may be presented as negative where gross income has exceeded gross expenditure. </t>
  </si>
  <si>
    <t>For enquiries about this data, please email lgfstats@gov.scot.</t>
  </si>
  <si>
    <t>Please note that 'Other' revenue reserves includes the Insurance Fund.</t>
  </si>
  <si>
    <t>Total Debt chart for Key Facts Section</t>
  </si>
  <si>
    <t>Please note that 'Grants &amp; Contributions' and 'Borrowing from Loans Fund' include amounts used to fund grants to third party capital projects which will also be included in the revenue figures.</t>
  </si>
  <si>
    <t>Fund impact of Covid-19</t>
  </si>
  <si>
    <t>Use</t>
  </si>
  <si>
    <t>Loans Fund Advances outstanding, £'s per dwelling</t>
  </si>
  <si>
    <t>Credit Arrangements, £'s per dwelling</t>
  </si>
  <si>
    <t>Total HRA Debt, £'s per dwelling</t>
  </si>
  <si>
    <r>
      <rPr>
        <b/>
        <sz val="12"/>
        <color theme="1"/>
        <rFont val="Arial"/>
        <family val="2"/>
      </rPr>
      <t>Less:</t>
    </r>
    <r>
      <rPr>
        <sz val="12"/>
        <color theme="1"/>
        <rFont val="Arial"/>
        <family val="2"/>
      </rPr>
      <t xml:space="preserve"> Transfer in (+) or out (-) of assets</t>
    </r>
  </si>
  <si>
    <t>Capital funded from Revenue</t>
  </si>
  <si>
    <t>In 2019-20, accounting adjustments amounting to £181m were excluded;</t>
  </si>
  <si>
    <t>In 2020-21, accounting adjustments amounting to £131m and debt associated with lending to other statutory bodies amounting to £69m were excluded.</t>
  </si>
  <si>
    <t>•   All years refer to the relevant financial year running 1 April to 31 March.</t>
  </si>
  <si>
    <t>•   Absolute zeroes are shown as '-' and rounded zeroes are shown as '0'.</t>
  </si>
  <si>
    <t>•   General Fund figures include amounts relating to the Harbour Accounts for Orkney and Shetland Islands Councils unless otherwise stated.</t>
  </si>
  <si>
    <t>•   Gross revenue figures have been adjusted for inter-authority transfers.</t>
  </si>
  <si>
    <t>•   'Roads &amp; Transport' includes amounts relating to Road Bridges.</t>
  </si>
  <si>
    <t>•   Covid-19 expenditure and service specific grants are recorded against the relevant susbervice as far as possible, or against Central Services: Other where there is no appropriate subservice.</t>
  </si>
  <si>
    <t>•   Covid-19 related income received via GRG is included in the GRG income figure.</t>
  </si>
  <si>
    <t>Please note, ‘Third party capital projects funded from capital grant’ and ‘Revenue expenditure funded from borrowing’ are also included in authorities’ revenue figures.</t>
  </si>
  <si>
    <r>
      <t xml:space="preserve">•   Income and expenditure associated with grants where the local authority was acting as an agent are </t>
    </r>
    <r>
      <rPr>
        <b/>
        <sz val="12"/>
        <color theme="1"/>
        <rFont val="Arial"/>
        <family val="2"/>
      </rPr>
      <t xml:space="preserve">not </t>
    </r>
    <r>
      <rPr>
        <sz val="12"/>
        <color theme="1"/>
        <rFont val="Arial"/>
        <family val="2"/>
      </rPr>
      <t>included in this publication.</t>
    </r>
  </si>
  <si>
    <t>Please note, ‘Revenue expenditure funded from capital grant and borrowing’ is also included in authorities’ revenue figures.</t>
  </si>
  <si>
    <r>
      <rPr>
        <b/>
        <sz val="12"/>
        <color rgb="FF000000"/>
        <rFont val="Arial"/>
        <family val="2"/>
      </rPr>
      <t>Less:</t>
    </r>
    <r>
      <rPr>
        <sz val="12"/>
        <color rgb="FF000000"/>
        <rFont val="Arial"/>
        <family val="2"/>
      </rPr>
      <t xml:space="preserve"> Benefits payable</t>
    </r>
  </si>
  <si>
    <t>Retired pensioners</t>
  </si>
  <si>
    <t>GRG figures for 2018-19 and 2019-20 differ from the Finance Circular allocation due to £10m for Teacher's Pay which was paid as part of the 2019-20 settlement but recorded by local authorities as income in 2018-19.</t>
  </si>
  <si>
    <t>Please note the following:</t>
  </si>
  <si>
    <t>Table Name</t>
  </si>
  <si>
    <t>Table 2.1</t>
  </si>
  <si>
    <t>Chart 2.1</t>
  </si>
  <si>
    <t>Tab Name</t>
  </si>
  <si>
    <t>Table 2.2</t>
  </si>
  <si>
    <t>Chart 2.2</t>
  </si>
  <si>
    <t>Table 2.3</t>
  </si>
  <si>
    <t>Chart 2.3</t>
  </si>
  <si>
    <t>Table 2.4</t>
  </si>
  <si>
    <t>Table 2.4a</t>
  </si>
  <si>
    <t>Chart 2.4</t>
  </si>
  <si>
    <t>Chart 2.5</t>
  </si>
  <si>
    <t>Table 2.5</t>
  </si>
  <si>
    <t>Chart 2.6</t>
  </si>
  <si>
    <t>Table 2.6</t>
  </si>
  <si>
    <t>Table 2.7</t>
  </si>
  <si>
    <t>Chart 2.7</t>
  </si>
  <si>
    <t>Table 2.8</t>
  </si>
  <si>
    <t>Table 2.9</t>
  </si>
  <si>
    <t>Chart 2.8</t>
  </si>
  <si>
    <t>Chart 2.9</t>
  </si>
  <si>
    <t>Table 2.10</t>
  </si>
  <si>
    <t>Table 2.11</t>
  </si>
  <si>
    <t>Table 2.12</t>
  </si>
  <si>
    <t>Table 2.13</t>
  </si>
  <si>
    <t>Table 2.14</t>
  </si>
  <si>
    <t>Table 2.14a</t>
  </si>
  <si>
    <t>Table 2.14b</t>
  </si>
  <si>
    <t>Table 2.15</t>
  </si>
  <si>
    <t>Table 2.15a</t>
  </si>
  <si>
    <t>Chart 2.10</t>
  </si>
  <si>
    <t>Chart 2.10a</t>
  </si>
  <si>
    <t>Table 2.16</t>
  </si>
  <si>
    <t>Table 2.17</t>
  </si>
  <si>
    <t>Table 2.17a</t>
  </si>
  <si>
    <t>Chart 2.11</t>
  </si>
  <si>
    <t>Table 2.18</t>
  </si>
  <si>
    <t>Chart 3.1</t>
  </si>
  <si>
    <t>Table 3.1</t>
  </si>
  <si>
    <t>Chart 3.2</t>
  </si>
  <si>
    <t>Chart 3.3</t>
  </si>
  <si>
    <t>Chart 3.4</t>
  </si>
  <si>
    <t>Chart 3.5</t>
  </si>
  <si>
    <t>Chart 3.6</t>
  </si>
  <si>
    <t>Table 3.2</t>
  </si>
  <si>
    <t>Table 3.3</t>
  </si>
  <si>
    <t>Table 3.3a</t>
  </si>
  <si>
    <t>Chart 4.1</t>
  </si>
  <si>
    <t>Table 4.1</t>
  </si>
  <si>
    <t>Table 4.2</t>
  </si>
  <si>
    <t>Table 4.3</t>
  </si>
  <si>
    <t>Table 4.3a</t>
  </si>
  <si>
    <t>Table 5.1</t>
  </si>
  <si>
    <t>Table 5.1a</t>
  </si>
  <si>
    <t>Chart 5.1</t>
  </si>
  <si>
    <t>Table 5.2</t>
  </si>
  <si>
    <t>Table 5.2a</t>
  </si>
  <si>
    <t>Table 5.2b</t>
  </si>
  <si>
    <t>Table 5.3</t>
  </si>
  <si>
    <t>Table 5.3a</t>
  </si>
  <si>
    <t>Table 5.3b</t>
  </si>
  <si>
    <t>Chart 5.2</t>
  </si>
  <si>
    <t>Table 5.4</t>
  </si>
  <si>
    <t>Table 5.4a</t>
  </si>
  <si>
    <t>Table 5.5</t>
  </si>
  <si>
    <t>Table 6.1</t>
  </si>
  <si>
    <t>Chart 6.1</t>
  </si>
  <si>
    <t>Chart 6.2</t>
  </si>
  <si>
    <t>Valuation Range and Ratios by Council Tax Band</t>
  </si>
  <si>
    <t>Council Tax Discounts, Exemptions, Reductions and Increases</t>
  </si>
  <si>
    <t>Proportion of Chargeable Dwellings at September 2020 by Council Tax Band and Local Authority</t>
  </si>
  <si>
    <t>Table 3.4</t>
  </si>
  <si>
    <t>Table 5.1b</t>
  </si>
  <si>
    <t>Chart 6.3</t>
  </si>
  <si>
    <t>Chart 6.4</t>
  </si>
  <si>
    <t>Chart 6.5</t>
  </si>
  <si>
    <t>Transfer 
Payments</t>
  </si>
  <si>
    <t>Gross 
Expenditure</t>
  </si>
  <si>
    <t>Government 
Grants</t>
  </si>
  <si>
    <t>Other Grants, 
Reimbursements 
&amp; Contributions</t>
  </si>
  <si>
    <t>Customer and 
Client Receipts</t>
  </si>
  <si>
    <t>Usable Reserve</t>
  </si>
  <si>
    <r>
      <rPr>
        <b/>
        <sz val="12"/>
        <rFont val="Arial"/>
        <family val="2"/>
      </rPr>
      <t>Source:</t>
    </r>
    <r>
      <rPr>
        <sz val="12"/>
        <rFont val="Arial"/>
        <family val="2"/>
      </rPr>
      <t xml:space="preserve"> CTaxbase</t>
    </r>
  </si>
  <si>
    <r>
      <rPr>
        <b/>
        <sz val="12"/>
        <rFont val="Arial"/>
        <family val="2"/>
      </rPr>
      <t>Source:</t>
    </r>
    <r>
      <rPr>
        <sz val="12"/>
        <rFont val="Arial"/>
        <family val="2"/>
      </rPr>
      <t xml:space="preserve"> LFR A0</t>
    </r>
  </si>
  <si>
    <r>
      <rPr>
        <b/>
        <sz val="12"/>
        <rFont val="Arial"/>
        <family val="2"/>
      </rPr>
      <t>Source:</t>
    </r>
    <r>
      <rPr>
        <sz val="12"/>
        <rFont val="Arial"/>
        <family val="2"/>
      </rPr>
      <t xml:space="preserve"> CTR Extracts and LFR 12</t>
    </r>
  </si>
  <si>
    <r>
      <rPr>
        <b/>
        <sz val="12"/>
        <rFont val="Arial"/>
        <family val="2"/>
      </rPr>
      <t xml:space="preserve">Source: </t>
    </r>
    <r>
      <rPr>
        <sz val="12"/>
        <rFont val="Arial"/>
        <family val="2"/>
      </rPr>
      <t>Scottish Assessors Valuation Roll</t>
    </r>
  </si>
  <si>
    <r>
      <rPr>
        <b/>
        <sz val="12"/>
        <color theme="1"/>
        <rFont val="Arial"/>
        <family val="2"/>
      </rPr>
      <t>Add:</t>
    </r>
    <r>
      <rPr>
        <sz val="12"/>
        <color theme="1"/>
        <rFont val="Arial"/>
        <family val="2"/>
      </rPr>
      <t xml:space="preserve"> Capital expenditure financed by borrowing </t>
    </r>
  </si>
  <si>
    <r>
      <rPr>
        <b/>
        <sz val="12"/>
        <color theme="1"/>
        <rFont val="Arial"/>
        <family val="2"/>
      </rPr>
      <t xml:space="preserve">Add: </t>
    </r>
    <r>
      <rPr>
        <sz val="12"/>
        <color theme="1"/>
        <rFont val="Arial"/>
        <family val="2"/>
      </rPr>
      <t xml:space="preserve">Capital expenditure financed by credit arrangements </t>
    </r>
  </si>
  <si>
    <t>Please note that figures at 1 April may not match those at 31 March for the previous year where local authorities have made adjustments to reflect their audited accounts.</t>
  </si>
  <si>
    <t>Figures at 1 April may not match those at 31 March for the previous year where local authorities have made adjustments to reflect their audited accounts.</t>
  </si>
  <si>
    <t>Please note that these figures only reflect local authorities' own debt and exclude amounts relating to lending to other statutory bodies.</t>
  </si>
  <si>
    <t>The figures in this publication come from a range of sources. A summary of the data sources used is provided in  Chapter 7 of the publication. Links to the relevant web pages for each data source are provided</t>
  </si>
  <si>
    <t>below for reference.</t>
  </si>
  <si>
    <t>accounts. It covers revenue expenditure and income, including local taxation; capital expenditure and financing; reserves and fixed assets; debt and prudential indicators; and pensions.</t>
  </si>
  <si>
    <t>figures may not match to those previously published. Please note that this file will only be updated following publication to reflect revisions which have a significant impact on the key figures or commentary provided</t>
  </si>
  <si>
    <t>in the associated publication. Minor revisions to source data files made after publication that have no material impact on the Scotland figures or key messages will not be made to this file, but will be picked up in the</t>
  </si>
  <si>
    <t>2021-22</t>
  </si>
  <si>
    <t>Level of Reserves 
held at 31 March</t>
  </si>
  <si>
    <r>
      <t xml:space="preserve">Source: </t>
    </r>
    <r>
      <rPr>
        <sz val="12"/>
        <color theme="1"/>
        <rFont val="Arial"/>
        <family val="2"/>
      </rPr>
      <t>LFR CR; LFR A0</t>
    </r>
  </si>
  <si>
    <r>
      <rPr>
        <b/>
        <sz val="12"/>
        <rFont val="Arial"/>
        <family val="2"/>
      </rPr>
      <t xml:space="preserve">Add: </t>
    </r>
    <r>
      <rPr>
        <sz val="12"/>
        <rFont val="Arial"/>
        <family val="2"/>
      </rPr>
      <t>Transfer of assets in (-) / out (+)</t>
    </r>
  </si>
  <si>
    <t>Contributions receivable</t>
  </si>
  <si>
    <t>Pensioners' dependents</t>
  </si>
  <si>
    <t>Please note that 'Other Benefits' include injury allowances including any payments to widows or dependents. Due to the small values of this benefit, it has been excluded from the chart.</t>
  </si>
  <si>
    <t>"n/a" indicates years for which data is not available, in particular the 'Taxes' category was included from 2020-21 onwards.</t>
  </si>
  <si>
    <t>"n/a" indicates reserves for which IFRS 9 unrealised gains do not apply.</t>
  </si>
  <si>
    <t>The level of reserves held at 1 April and 31 March exclude amounts relating to unrealised gains that are included in revenue reserves in statutory Annual Accounts applying IFRS 9: Financial Instruments.</t>
  </si>
  <si>
    <t>Changes in the way data was collected from 2020-21 onwards has led to a decrease in 'Other' as these amounts are now recorded against more appropriate categories. As this</t>
  </si>
  <si>
    <t>relates to comapratively small figures, this change in recording is not likely to have a material impact on the overall comparability of net return on investments over time.</t>
  </si>
  <si>
    <r>
      <rPr>
        <b/>
        <sz val="12"/>
        <color theme="1"/>
        <rFont val="Arial"/>
        <family val="2"/>
      </rPr>
      <t xml:space="preserve">Add: </t>
    </r>
    <r>
      <rPr>
        <sz val="12"/>
        <color theme="1"/>
        <rFont val="Arial"/>
        <family val="2"/>
      </rPr>
      <t>Increase (+) / decrease (-) in market value of investments</t>
    </r>
  </si>
  <si>
    <r>
      <rPr>
        <b/>
        <sz val="12"/>
        <color theme="1"/>
        <rFont val="Arial"/>
        <family val="2"/>
      </rPr>
      <t xml:space="preserve">Add: </t>
    </r>
    <r>
      <rPr>
        <sz val="12"/>
        <color theme="1"/>
        <rFont val="Arial"/>
        <family val="2"/>
      </rPr>
      <t>Other</t>
    </r>
  </si>
  <si>
    <t>Culture and Related Services</t>
  </si>
  <si>
    <t>Housing Revenue Account (HRA)</t>
  </si>
  <si>
    <t>882/360</t>
  </si>
  <si>
    <t>Over £212,000</t>
  </si>
  <si>
    <t>705/360</t>
  </si>
  <si>
    <t>£106,001 to £212,000</t>
  </si>
  <si>
    <t>585/360</t>
  </si>
  <si>
    <t>£80,001 to £106,000</t>
  </si>
  <si>
    <t>473/360</t>
  </si>
  <si>
    <t>£58,001 to £80,000</t>
  </si>
  <si>
    <t>9/9</t>
  </si>
  <si>
    <t>£45,001 to £58,000</t>
  </si>
  <si>
    <t>8/9</t>
  </si>
  <si>
    <t>£35,001 to £45,000</t>
  </si>
  <si>
    <t>7/9</t>
  </si>
  <si>
    <t>£27,001 to £35,000</t>
  </si>
  <si>
    <t>6/9</t>
  </si>
  <si>
    <t>Under £27,000</t>
  </si>
  <si>
    <t>Proportion of 
Chargeable 
dwellings</t>
  </si>
  <si>
    <t>Ratio to 
Band D</t>
  </si>
  <si>
    <t>Valuation Band 
Ranges as at 
1 April 1991</t>
  </si>
  <si>
    <t>Band</t>
  </si>
  <si>
    <t>The ratios quoted applied from 2017-18 onwards.</t>
  </si>
  <si>
    <t>“n/a” indicates where a total value is not applicable.</t>
  </si>
  <si>
    <t>Table 2.7: Valuation Range and Ratios by Council Tax Band</t>
  </si>
  <si>
    <t>Gross Potential Council Tax</t>
  </si>
  <si>
    <t>Other Discounts</t>
  </si>
  <si>
    <t>Reduction in yield due to exempt dwellings (no CT)</t>
  </si>
  <si>
    <t>Reduction in yield due to Single Person Discount (25%)</t>
  </si>
  <si>
    <t>Council Tax Reduction (CTR)</t>
  </si>
  <si>
    <t>Council Tax Billed (Estimate)</t>
  </si>
  <si>
    <r>
      <rPr>
        <b/>
        <sz val="12"/>
        <rFont val="Arial"/>
        <family val="2"/>
      </rPr>
      <t>Source:</t>
    </r>
    <r>
      <rPr>
        <sz val="12"/>
        <rFont val="Arial"/>
        <family val="2"/>
      </rPr>
      <t xml:space="preserve"> CTaxbase and CTRR </t>
    </r>
  </si>
  <si>
    <t>This worksheet contains one table and one chart. Council Tax Potential Yield refers to the Council Tax yield if all dwellings paid the full rate for their relevant Band and Local Authority.</t>
  </si>
  <si>
    <t>Council Tax Income after CTR</t>
  </si>
  <si>
    <t>Chargeable 
Dwellings</t>
  </si>
  <si>
    <t>Exempt
Dwellings</t>
  </si>
  <si>
    <t>Total 
Dwellings</t>
  </si>
  <si>
    <t>Proportion
in Bands 
E to H</t>
  </si>
  <si>
    <t>Proportion
in Bands 
C to D</t>
  </si>
  <si>
    <t>Proportion
in Bands 
A to B</t>
  </si>
  <si>
    <t>Total in 
Bands 
A to H</t>
  </si>
  <si>
    <t>Number
in Bands 
E to H</t>
  </si>
  <si>
    <t>Number
in Bands 
C to D</t>
  </si>
  <si>
    <t>Number
in Bands 
A to B</t>
  </si>
  <si>
    <t>Band D Rate</t>
  </si>
  <si>
    <r>
      <rPr>
        <b/>
        <sz val="12"/>
        <rFont val="Arial"/>
        <family val="2"/>
      </rPr>
      <t>Source:</t>
    </r>
    <r>
      <rPr>
        <sz val="12"/>
        <rFont val="Arial"/>
        <family val="2"/>
      </rPr>
      <t xml:space="preserve"> CTAS</t>
    </r>
  </si>
  <si>
    <t>After CTR</t>
  </si>
  <si>
    <t>Before CTR</t>
  </si>
  <si>
    <r>
      <rPr>
        <b/>
        <sz val="12"/>
        <rFont val="Arial"/>
        <family val="2"/>
      </rPr>
      <t>Source:</t>
    </r>
    <r>
      <rPr>
        <sz val="12"/>
        <rFont val="Arial"/>
        <family val="2"/>
      </rPr>
      <t xml:space="preserve"> CTAS, CTaxbase and LFR 12</t>
    </r>
  </si>
  <si>
    <t>including the distribution of dwellings across bands; discounts and exemptions; new construction and removal of demolished housing from the roll.</t>
  </si>
  <si>
    <t>This worksheet contains one table. Please note that minor changes between years where Council Tax was frozen are due to a number of factors,</t>
  </si>
  <si>
    <t>Final total 
reduction in liability</t>
  </si>
  <si>
    <t>CTR Funding 
from SG</t>
  </si>
  <si>
    <t>Up to 100% reduction (actual change is dependent on a means-test)</t>
  </si>
  <si>
    <t>Council Tax Reduction (Not passported)</t>
  </si>
  <si>
    <t>100% reduction</t>
  </si>
  <si>
    <t>In receipt of Pension Credit (Guarantee), Jobseeker's Allowance (income based), Employment and Support Allowance (income related) or Income Support.</t>
  </si>
  <si>
    <t>Council Tax Reduction (Passported)</t>
  </si>
  <si>
    <t>One CT Band, for example an eligible Band D property would be charged the Band C rate. Eligible Band A properties are charged 5/9 of the Band D rate.</t>
  </si>
  <si>
    <t>Homes that have been adapted for a disabled person.</t>
  </si>
  <si>
    <t>Disability reduction</t>
  </si>
  <si>
    <t>Reductions</t>
  </si>
  <si>
    <t>Dwellings which are; empty and unfurnished for less than 6 months or empty and under repair for less than 12 months. Dwellings which are empty because their former residents have moved out for the purposes of receiving personal care by reason of old age, disablement or illness.</t>
  </si>
  <si>
    <t>Unoccupied</t>
  </si>
  <si>
    <t>Dwellings occupied solely by any combination of students, care leavers, those with a severe mental impairment, school leavers or persons under the age of 18.</t>
  </si>
  <si>
    <t>Occupied</t>
  </si>
  <si>
    <t>Exemptions</t>
  </si>
  <si>
    <t>50% discount</t>
  </si>
  <si>
    <t>Chargeable dwellings occupied entirely by residents 
who are disregarded for a discount.</t>
  </si>
  <si>
    <t>Occupied entirely by disregarded adults</t>
  </si>
  <si>
    <t>Up to 50% discount or an increase of up to 100% (actual change depends on local authority policy)</t>
  </si>
  <si>
    <t>Empty properties not meeting the criteria of a second 
home, or subject to a separate exemption.</t>
  </si>
  <si>
    <t>Long Term Empty - More than 12 months (or 24 months for properties for sale or let)</t>
  </si>
  <si>
    <t>10 - 50% discount (actual change depends on local authority policy)</t>
  </si>
  <si>
    <t>Short Term Empty - Less than 12 months (or 24 months for properties for sale or let)</t>
  </si>
  <si>
    <t>Chargeable dwellings which are no one's sole or 
main residence, but are furnished and lived in for 
at least 25 days during any 12 month period.</t>
  </si>
  <si>
    <t>Second Homes</t>
  </si>
  <si>
    <t>25% discount</t>
  </si>
  <si>
    <t>Chargeable dwellings in which there is only one 
resident or only one resident who is not disregarded</t>
  </si>
  <si>
    <t>Single Person Discount</t>
  </si>
  <si>
    <t>Discounts</t>
  </si>
  <si>
    <t>Reduction in liability</t>
  </si>
  <si>
    <t>Typical dwellings that are eligible</t>
  </si>
  <si>
    <t>Type of Support</t>
  </si>
  <si>
    <t>Please note that in 2013-14, local authorities gained the discretionary power to remove the discount for Second Homes / Long Term Empty, or set a Council Tax increase of 100% on 'Long Term Empty - More than 12 months' properties.</t>
  </si>
  <si>
    <t>This worksheet contains one table, which contains blank cells due to subheadings in Rows 7, 13 and 16.</t>
  </si>
  <si>
    <t>Table 2.12: Council Tax Discounts, Exemptions, Reductions and Increases</t>
  </si>
  <si>
    <t>All chargeable dwellings</t>
  </si>
  <si>
    <t>Council Tax Reduction recipients</t>
  </si>
  <si>
    <t>Dwellings not subject to discount</t>
  </si>
  <si>
    <t>Empty Properties</t>
  </si>
  <si>
    <r>
      <rPr>
        <b/>
        <sz val="12"/>
        <rFont val="Arial"/>
        <family val="2"/>
      </rPr>
      <t>Source:</t>
    </r>
    <r>
      <rPr>
        <sz val="12"/>
        <rFont val="Arial"/>
        <family val="2"/>
      </rPr>
      <t xml:space="preserve"> CTaxbase and CTR Extract</t>
    </r>
  </si>
  <si>
    <t>It is not possible for some local authorities to separately identify Second Homes and Long Term Empty dwellings. For these authorities, the total number of Second Homes and Long Term Empty dwellings has been recorded under Second Homes.</t>
  </si>
  <si>
    <t>Some dwellings may be eligible for more than one type of support, in these cases, the dwelling will be counted under each type of support it is eligible for.</t>
  </si>
  <si>
    <t>NDR Type</t>
  </si>
  <si>
    <t>Figures include rates bills for specific utilities which are collected by specified councils on behalf of all local authorities and appear on the valuation roll for those councils. These are:</t>
  </si>
  <si>
    <t>South Lanarkshire - Electricity; West Dunbartonshire - Gas; Fife - Water; Falkirk - Docks and Harbours; Highland - Railways; Renfrewshire - Telecommunications.</t>
  </si>
  <si>
    <t>The number of properties includes properties with a zero rateable value.</t>
  </si>
  <si>
    <t>NDR Contributable Amounts reflect the notified (provisional outturn) figures as audited figures are not yet finalised for all councils. They are net of reliefs paid by Scottish Government, but gross of all local reliefs and top-ups to discretionary amounts paid by councils themselves.</t>
  </si>
  <si>
    <t>NDR Distributable Amounts reflect the amounts distributed to local authorities as part of the GAE. It is based upon an estimate of the NDR income, including prior year adjustments. It is not guaranteed to match the contributable amount of income that year.</t>
  </si>
  <si>
    <t>Number of 
properties</t>
  </si>
  <si>
    <t>This worksheet contains one table. Please note that the number of properties includes properties with a zero rateable value.</t>
  </si>
  <si>
    <t>Classification</t>
  </si>
  <si>
    <t>Advertising</t>
  </si>
  <si>
    <t>Communications</t>
  </si>
  <si>
    <t>Cultural</t>
  </si>
  <si>
    <t>Hotels</t>
  </si>
  <si>
    <t>Offices</t>
  </si>
  <si>
    <t>Petrochemical</t>
  </si>
  <si>
    <t>Religious</t>
  </si>
  <si>
    <t>Shops</t>
  </si>
  <si>
    <t>All Non-Domestic Properties</t>
  </si>
  <si>
    <t>Total number 
of properties</t>
  </si>
  <si>
    <t>Proportion with 
RV £51,001
or higher</t>
  </si>
  <si>
    <t>NDRI, £ millions</t>
  </si>
  <si>
    <t>Total Rateable Value at 1 April, £ millions</t>
  </si>
  <si>
    <t>IPR threshold, £</t>
  </si>
  <si>
    <t>LBS / HPR threshold, £</t>
  </si>
  <si>
    <t>Figures include mandatory and discretionary elements of relief where applicable, but exclude backdated payments of relief and exclude councils own contributions to reliefs.</t>
  </si>
  <si>
    <t>"n/a" is used for years prior to a relief being introduced or after a relief is discontinued.</t>
  </si>
  <si>
    <t>Relief Type</t>
  </si>
  <si>
    <t>Charity Relief</t>
  </si>
  <si>
    <t>Sports Club Relief</t>
  </si>
  <si>
    <t>Disabled Rates Relief</t>
  </si>
  <si>
    <t>Religious Exemptions</t>
  </si>
  <si>
    <t>Rural Relief</t>
  </si>
  <si>
    <t>Renewable Energy Relief</t>
  </si>
  <si>
    <t>New Start Relief</t>
  </si>
  <si>
    <t>Fresh Start Relief</t>
  </si>
  <si>
    <t>Day Nursery Relief</t>
  </si>
  <si>
    <t>BGA - Unoccupied New Build</t>
  </si>
  <si>
    <t>BGA - New Occupied and Improved</t>
  </si>
  <si>
    <t>1.6% Universal Relief</t>
  </si>
  <si>
    <t>Total Relief Provided</t>
  </si>
  <si>
    <t>Please note that NDR reliefs reflect the notified income figures collected by local authorities, because the audited income figures are not yet finalised for all councils.</t>
  </si>
  <si>
    <t>Source: NDRI Notified Returns</t>
  </si>
  <si>
    <t>Charity
Relief</t>
  </si>
  <si>
    <t>Sports 
Club
Relief</t>
  </si>
  <si>
    <t>Disabled 
Rates 
Relief</t>
  </si>
  <si>
    <t>SBBS</t>
  </si>
  <si>
    <t>Religious 
Exemptions</t>
  </si>
  <si>
    <t>Rural 
Relief</t>
  </si>
  <si>
    <t>Renewable
Energy 
Relief</t>
  </si>
  <si>
    <t>Fresh 
Start
Relief</t>
  </si>
  <si>
    <t>Day
Nursery
Relief</t>
  </si>
  <si>
    <t>BGA - 
Unoccupied 
New Build</t>
  </si>
  <si>
    <t>BGA - New
Occupied
&amp; Improved</t>
  </si>
  <si>
    <t>All 
Reliefs</t>
  </si>
  <si>
    <t>Please note that NDR reliefs reflect the notified income figures collected by local authorities, because the final, audited income figures are not yet finalised.</t>
  </si>
  <si>
    <t>Relief</t>
  </si>
  <si>
    <t>Value</t>
  </si>
  <si>
    <t>Charity</t>
  </si>
  <si>
    <t>New Construction, Conversions, Enhancement to Existing Buildings</t>
  </si>
  <si>
    <t>Third Party Capital Projects funded from Capital Grant</t>
  </si>
  <si>
    <t>Vehicles, Plant, Machinery and Equipment</t>
  </si>
  <si>
    <t>Acquisition of Land, Leases, Existing Buildings or Works</t>
  </si>
  <si>
    <t>Revenue Expenditure Funded from Borrowing</t>
  </si>
  <si>
    <t>In 2021-22, accounting adjustments amounting to £305m and debt associated with lending to other statutory bodies amounting to £74m were excluded.</t>
  </si>
  <si>
    <t>This worksheet contains one table and one chart. Please note that 'Other' includes Social Work, Central Services and Trading Services.</t>
  </si>
  <si>
    <t>Service Expenditure 
met by Service 
Income</t>
  </si>
  <si>
    <t>Service Expenditure
NOT met by 
Service Income</t>
  </si>
  <si>
    <t>Service Income 
in excess of 
Service Expenditure</t>
  </si>
  <si>
    <t>2022-23</t>
  </si>
  <si>
    <t>Rateable value, 
£ thousands</t>
  </si>
  <si>
    <t>Proportion of 
properties on 
valuation roll</t>
  </si>
  <si>
    <t>Proportion of 
rateable value on 
valuation roll</t>
  </si>
  <si>
    <t xml:space="preserve">    They are net of reliefs paid by Scottish Government, but gross of all local reliefs and top-ups to discretionary amounts paid by councils themselves.</t>
  </si>
  <si>
    <t>“n/a” indicates years prior to the introduction of the  Intermediate Property Rate (IPR) where there were no IPR rates or thresholds. The Higher Property Rate (HPR) - formerly the Large Business Supplement (LBS) - and the IPR</t>
  </si>
  <si>
    <t>Source: NDRI Audited Returns, NDRI Notified Return, and Scottish Assessors Valuation Roll.</t>
  </si>
  <si>
    <t>Empty Property Relief</t>
  </si>
  <si>
    <t>Small Business Bonus Scheme</t>
  </si>
  <si>
    <t>Retail, Hospitality, Leisure (and Aviation) Relief</t>
  </si>
  <si>
    <r>
      <rPr>
        <b/>
        <sz val="12"/>
        <color theme="1"/>
        <rFont val="Arial"/>
        <family val="2"/>
      </rPr>
      <t>Add</t>
    </r>
    <r>
      <rPr>
        <sz val="12"/>
        <color theme="1"/>
        <rFont val="Arial"/>
        <family val="2"/>
      </rPr>
      <t>: Net movements in (+) or out (-) due to transfers between reserves</t>
    </r>
  </si>
  <si>
    <r>
      <rPr>
        <b/>
        <sz val="12"/>
        <color theme="1"/>
        <rFont val="Arial"/>
        <family val="2"/>
      </rPr>
      <t>Less</t>
    </r>
    <r>
      <rPr>
        <sz val="12"/>
        <color theme="1"/>
        <rFont val="Arial"/>
        <family val="2"/>
      </rPr>
      <t>: Increase (+) or decrease (-) in IFRS 9 unrealised gains</t>
    </r>
  </si>
  <si>
    <t>Acquisition of land, existing buildings or works</t>
  </si>
  <si>
    <t>New construction, conversions &amp; enhancements to existing buildings</t>
  </si>
  <si>
    <t>Vehicles, plant, machinery &amp; equipment</t>
  </si>
  <si>
    <t>Subservice</t>
  </si>
  <si>
    <t>Figures for 2022-23 may not match the 1 April 2022 figures shown in Table 4.1 due to restatements in local authorities' accounts between years.</t>
  </si>
  <si>
    <t>In 2022-23, accounting adjustments amounting to £211m and debt associated with lending to other statutory bodies amounting to £26m were excluded.</t>
  </si>
  <si>
    <r>
      <rPr>
        <b/>
        <sz val="12"/>
        <rFont val="Arial"/>
        <family val="2"/>
      </rPr>
      <t xml:space="preserve">Add: </t>
    </r>
    <r>
      <rPr>
        <sz val="12"/>
        <rFont val="Arial"/>
        <family val="2"/>
      </rPr>
      <t>Taxes</t>
    </r>
  </si>
  <si>
    <t>Education 
Services</t>
  </si>
  <si>
    <t>31-Mar-21</t>
  </si>
  <si>
    <t>31-Mar-22</t>
  </si>
  <si>
    <t>31-Mar-23</t>
  </si>
  <si>
    <t>Council</t>
  </si>
  <si>
    <t>General 
Revenue 
Funding</t>
  </si>
  <si>
    <t>Total GRG 
LFR A0, Cell C47</t>
  </si>
  <si>
    <t>Source</t>
  </si>
  <si>
    <t>Annex C</t>
  </si>
  <si>
    <t>Social Work 
Services</t>
  </si>
  <si>
    <t>£m</t>
  </si>
  <si>
    <t>Notes</t>
  </si>
  <si>
    <t>General Revenue Funding</t>
  </si>
  <si>
    <r>
      <t>Add</t>
    </r>
    <r>
      <rPr>
        <sz val="12"/>
        <color theme="1"/>
        <rFont val="Arial"/>
        <family val="2"/>
      </rPr>
      <t>: 85% Floor</t>
    </r>
  </si>
  <si>
    <r>
      <t>Add</t>
    </r>
    <r>
      <rPr>
        <sz val="12"/>
        <color rgb="FF000000"/>
        <rFont val="Arial"/>
        <family val="2"/>
      </rPr>
      <t>: Council Tax Freeze</t>
    </r>
  </si>
  <si>
    <t>Not applicable</t>
  </si>
  <si>
    <t>GRG Subtotal 1</t>
  </si>
  <si>
    <t>2023-24</t>
  </si>
  <si>
    <t>Non-HRA 
Housing</t>
  </si>
  <si>
    <t>Environmental 
Services</t>
  </si>
  <si>
    <t>Culture and 
Related 
Services</t>
  </si>
  <si>
    <t>Central 
Services</t>
  </si>
  <si>
    <t>Building, 
Planning &amp; 
Development</t>
  </si>
  <si>
    <t>31-Mar-24</t>
  </si>
  <si>
    <r>
      <rPr>
        <b/>
        <u/>
        <sz val="12"/>
        <color theme="0"/>
        <rFont val="Arial"/>
        <family val="2"/>
      </rPr>
      <t>Add:</t>
    </r>
    <r>
      <rPr>
        <b/>
        <sz val="12"/>
        <color theme="0"/>
        <rFont val="Arial"/>
        <family val="2"/>
      </rPr>
      <t xml:space="preserve">
85% Floor</t>
    </r>
  </si>
  <si>
    <r>
      <rPr>
        <b/>
        <u/>
        <sz val="12"/>
        <color theme="0"/>
        <rFont val="Arial"/>
        <family val="2"/>
      </rPr>
      <t>Add:</t>
    </r>
    <r>
      <rPr>
        <b/>
        <sz val="12"/>
        <color theme="0"/>
        <rFont val="Arial"/>
        <family val="2"/>
      </rPr>
      <t xml:space="preserve"> 
Council Tax Freeze</t>
    </r>
  </si>
  <si>
    <r>
      <rPr>
        <b/>
        <sz val="12"/>
        <color theme="1"/>
        <rFont val="Arial"/>
        <family val="2"/>
      </rPr>
      <t>Source:</t>
    </r>
    <r>
      <rPr>
        <sz val="12"/>
        <color theme="1"/>
        <rFont val="Arial"/>
        <family val="2"/>
      </rPr>
      <t xml:space="preserve"> LFR CR and Housing Revenue Account Statistics</t>
    </r>
  </si>
  <si>
    <r>
      <rPr>
        <b/>
        <sz val="12"/>
        <color theme="1"/>
        <rFont val="Arial"/>
        <family val="2"/>
      </rPr>
      <t>Source:</t>
    </r>
    <r>
      <rPr>
        <sz val="12"/>
        <color theme="1"/>
        <rFont val="Arial"/>
        <family val="2"/>
      </rPr>
      <t xml:space="preserve"> LFR CR and LFR A0.</t>
    </r>
  </si>
  <si>
    <t>Source: LFR CR</t>
  </si>
  <si>
    <r>
      <t xml:space="preserve">Source: </t>
    </r>
    <r>
      <rPr>
        <sz val="12"/>
        <color theme="1"/>
        <rFont val="Arial"/>
        <family val="2"/>
      </rPr>
      <t>LFR CR, National Records of Scotland Mid-2023 population estimates.</t>
    </r>
  </si>
  <si>
    <t>This table relates to the General Fund (plus Harbour Accounts) and HRA reserves only.</t>
  </si>
  <si>
    <t>Up to 50% discount or an increase of up to 100% from April 2024 (actual change depends on local authority policy)</t>
  </si>
  <si>
    <t>NDR contributable amount</t>
  </si>
  <si>
    <t>NDR distributable amount</t>
  </si>
  <si>
    <t>Argyll and Bute</t>
  </si>
  <si>
    <t>Dumfries and Galloway</t>
  </si>
  <si>
    <t>Perth and Kinross</t>
  </si>
  <si>
    <t>Figures include rateable values for specific utilities which are collected by specified councils on behalf of all local authorities and appear on the valuation roll for those councils. These are:</t>
  </si>
  <si>
    <t>Public houses and restaurants</t>
  </si>
  <si>
    <t>Industrial subjects</t>
  </si>
  <si>
    <t>Leisure, entertainment, caravans, etc.</t>
  </si>
  <si>
    <t>Garages and petrol stations</t>
  </si>
  <si>
    <t>Sporting subjects</t>
  </si>
  <si>
    <t>Education and training</t>
  </si>
  <si>
    <t>Public service subjects</t>
  </si>
  <si>
    <t>Quarries, mines, etc.</t>
  </si>
  <si>
    <t>Health and medical</t>
  </si>
  <si>
    <t>Care facilities</t>
  </si>
  <si>
    <t>Statutory undertaking</t>
  </si>
  <si>
    <t>Number with 
RV £20,000
or lower</t>
  </si>
  <si>
    <t>Number with 
RV between 
£20,001 and £51,000</t>
  </si>
  <si>
    <t>Number with 
RV between 
£51,001 and £100,000</t>
  </si>
  <si>
    <t>Number with 
RV higher than £100,000</t>
  </si>
  <si>
    <t>Proportion with 
RV £20,000
or lower</t>
  </si>
  <si>
    <t>Proportion with 
RV between 
£20,001 and £51,000</t>
  </si>
  <si>
    <t>`</t>
  </si>
  <si>
    <t>Number with 
RV higher than 
£100,000</t>
  </si>
  <si>
    <t>Revaluations occurred in 2010, 2017 and 2023</t>
  </si>
  <si>
    <t>are applied for properties with an rateable value over the HPR / LBS or IPR threshold.</t>
  </si>
  <si>
    <t>Basic Property Rate, pence</t>
  </si>
  <si>
    <t>Intermediate Property Rate (IPR), pence</t>
  </si>
  <si>
    <r>
      <rPr>
        <sz val="12"/>
        <color rgb="FFFF0000"/>
        <rFont val="Arial"/>
        <family val="2"/>
      </rPr>
      <t xml:space="preserve"> </t>
    </r>
    <r>
      <rPr>
        <sz val="12"/>
        <rFont val="Arial"/>
        <family val="2"/>
      </rPr>
      <t>LBS / Higher Property Rate (HPR), pence</t>
    </r>
  </si>
  <si>
    <t>'Other' includes Hardship Relief; Enterprise Areas; District Heating Relief; Mobile Mast Relief (from 2018-19); New Fibre Relief (from 2018-19); Lighthouse Relief (from 2019-20, previously recorded as a deduction).</t>
  </si>
  <si>
    <t>Retail Hospitality, Leisure and Aviation Relief was introduced in 2020-21. It continued in 2021-22 and became Retail, Hospitality and Leisure Relief in 2022-23.</t>
  </si>
  <si>
    <t>Parks Transitional Relief</t>
  </si>
  <si>
    <t>'Other' includes Hardship Relief; Enterprise Areas; District Heating Relief; Mobile Mast Relief; New Fibre Relief; Lighthouse Relief.</t>
  </si>
  <si>
    <t>Aberdeen</t>
  </si>
  <si>
    <t>Edinburgh, City of</t>
  </si>
  <si>
    <t>Eilean Siar</t>
  </si>
  <si>
    <t>Hardship Relief; Enterprise Areas; District Heating Relief; Mobile Mast Relief; New Fibre Relief; and Lighthouse Relief.</t>
  </si>
  <si>
    <t>The table makes use of following acronym: 'SBBS' is Small Business Bonus Scheme</t>
  </si>
  <si>
    <t>All Other Reliefs</t>
  </si>
  <si>
    <t>Proportion
in Bands 
A to D</t>
  </si>
  <si>
    <t>Small Business Transitional Relief</t>
  </si>
  <si>
    <t>Sources: NDRI Audited and Notified Returns, Local Government Finance Circulars.</t>
  </si>
  <si>
    <t>Revenue Expenditure Funded from Borrowing: Third Party Capital Grants</t>
  </si>
  <si>
    <t>Revenue Expenditure Funded from Borrowing: Consented Borrowing</t>
  </si>
  <si>
    <t>Education Services</t>
  </si>
  <si>
    <t>Social Work Services</t>
  </si>
  <si>
    <t>Scottish Local Government Finance Statistics (SLGFS) 2024-25</t>
  </si>
  <si>
    <t>The 2024-25 Scottish Local Government Finance Statistics (SLGFS) publication provides a comprehensive overview of the financial activity across local authorities in Scotland based on local authorities' audited</t>
  </si>
  <si>
    <t>Full commentary on the key 2024-25 figures is available in the SLGFS 2024-25 publication.</t>
  </si>
  <si>
    <t>Figures included in this file for years prior to 2024-25 have been revised where necessary to ensure comparability to 2024-25 data or to correct any minor errors identified since the last publication. This means that</t>
  </si>
  <si>
    <t>2024-25 SLGFS publication and associated data files.</t>
  </si>
  <si>
    <t>Net Revenue Expenditure on Services in 2024-25, £ millions</t>
  </si>
  <si>
    <t>Net Revenue Expenditure in 2024-25 by Service, £ millions</t>
  </si>
  <si>
    <t>Net Revenue Expenditure from 2020-21 to 2024-25 by Service, £ millions</t>
  </si>
  <si>
    <t>General Fund Net Revenue Expenditure in 2024-25 by Council, £ per person</t>
  </si>
  <si>
    <t>Gross Service Expenditure from 2020-21 to 2024-25 by Expenditure Type, £ millions</t>
  </si>
  <si>
    <t>Gross Service Expenditure in 2024-25 by Service and Expenditure Type, £ millions</t>
  </si>
  <si>
    <t>Gross Service Income from 2020-21 to 2024-25 by Income Type, £ millions</t>
  </si>
  <si>
    <t>Customer and Client Receipts from 2020-21 to 2024-25 by Service, £ millions</t>
  </si>
  <si>
    <t>Gross Service Income in 2024-25 by Service and Income Type, £ millions</t>
  </si>
  <si>
    <t>Service Expenditure met by Service Income in 2024-25 by Service, £ millions</t>
  </si>
  <si>
    <t>Other Expenditure and Income in 2024-25, £ millions</t>
  </si>
  <si>
    <t>General Funding in 2024-25 by Source, £ millions</t>
  </si>
  <si>
    <t>General Funding from 2020-21 to 2024-25 by Source, £ millions</t>
  </si>
  <si>
    <t>Council Tax Potential Yield in 2024-25, £ millions</t>
  </si>
  <si>
    <t>Council Tax Income after CTR in 2024-25 by Local Authority, £ thousands</t>
  </si>
  <si>
    <t>Total Number of Dwellings from 2020-21 to 2024-25</t>
  </si>
  <si>
    <t>Band D Council Tax Rate in 2024-25 by Local Authority</t>
  </si>
  <si>
    <t>Average Council Tax Bill per Dwelling from 2020-21 to 2024-25</t>
  </si>
  <si>
    <t>CTR Funding and Final, Audited Liability in 2024-25 by Local Authority, £ thousands</t>
  </si>
  <si>
    <t>Number of dwellings in Receipt of Council Tax Discounts and Reductions at September from 2020-21 to 2024-25</t>
  </si>
  <si>
    <t>NDR Contributable and Distributable Amounts from 2009-10 to 2024-25, £ millions</t>
  </si>
  <si>
    <t>NDR Properties, Rateable Values, Contributable and Distributable Amounts for 2024-25</t>
  </si>
  <si>
    <t>NDR Income, Total Rateable Values and Poundage from 2009-10 to 2024-25</t>
  </si>
  <si>
    <t>Amount of NDR Relief Provided from 2009-10 to 2024-25 by Relief Type, £ thousands</t>
  </si>
  <si>
    <t>Amount of NDR Relief Provided in 2024-25 by Relief Type and Local Authority, £ thousands</t>
  </si>
  <si>
    <t>Value of NDR Reliefs in 2024-25, £ millions</t>
  </si>
  <si>
    <t>Movement in Reserves in 2024-25, £ millions</t>
  </si>
  <si>
    <t>Capital Expenditure in 2024-25 by Expenditure Type, £ millions</t>
  </si>
  <si>
    <t>Capital Expenditure from 2020-21 to 2024-25 by Expenditure Type, £ millions</t>
  </si>
  <si>
    <t>Capital Expenditure in 2024-25 by Service, £ millions</t>
  </si>
  <si>
    <t>Capital Expenditure from 2020-21 to 2024-25 by Service, £ millions</t>
  </si>
  <si>
    <t>General Fund Capital Expenditure in 2024-25 by Council, £ per person</t>
  </si>
  <si>
    <t>Capital Financing in 2024-25 by Source, £ millions</t>
  </si>
  <si>
    <t>Capital Financing from 2020-21 to 2024-25 by Source, £ millions</t>
  </si>
  <si>
    <t>Borrowing and Credit Arrangement Summary for 2024-25, £ million</t>
  </si>
  <si>
    <t>Capital receipts raised in 2018-19 to 2024-25, £ millions</t>
  </si>
  <si>
    <t>Capital Receipts raised from 2020-21 to 2024-25 by Service, £ thousands</t>
  </si>
  <si>
    <t>Use of capital receipts in 2024-25, £ millions</t>
  </si>
  <si>
    <t>Movements in Usable Reserves in 2024-25, £ millions</t>
  </si>
  <si>
    <t>Loans Fund Advances Outstanding in 2024-25, £ millions</t>
  </si>
  <si>
    <t>General Fund Loans Fund Advances Outstanding from 2020-21 to 2024-25, £ millions</t>
  </si>
  <si>
    <t>HRA Loans Fund Advances Outstanding from 2020-21 to 2024-25, £ millions</t>
  </si>
  <si>
    <t>Credit Arrangements in 2024-25, £ millions</t>
  </si>
  <si>
    <t>General Fund Credit Arrangements from 2020-21 to 2024-25, £ millions</t>
  </si>
  <si>
    <t>HRA Credit Arrangements from 2020-21 to 2024-25, £ millions</t>
  </si>
  <si>
    <t>Capital Financing Requirement in 2024-25, £ millions</t>
  </si>
  <si>
    <t>Capital Financing Requirement from 2020-21 to 2024-25, £ millions</t>
  </si>
  <si>
    <t>Movement in net assets of pensions funds in 2024-25, £ millions</t>
  </si>
  <si>
    <t>Contributions received from 2020-21 to 2024-25, £ millions</t>
  </si>
  <si>
    <t>Pensions and Lump Sums paid out from 2020-21 to 2024-25, £ millions</t>
  </si>
  <si>
    <t>Net return on investments from 2020-21 to 2024-25, £ millions</t>
  </si>
  <si>
    <t>Calculation of General Revenue Grant for SLGFS 2024-25, £000s.</t>
  </si>
  <si>
    <t>NDR Properties and Rateable Values at 30 March 2024</t>
  </si>
  <si>
    <t>NDR Properties at 1 April 2024 by Classification</t>
  </si>
  <si>
    <t>NDR Properties at 1 April 2024 by Rateable Value Band and Local Authority</t>
  </si>
  <si>
    <t>NDR Properties at 1 April 2025 by Rateable Value Band and Local Authority</t>
  </si>
  <si>
    <t>NDR Properties at 1 April 2025 by Classification</t>
  </si>
  <si>
    <t>Usable Reserves at 31 March 2025, £ millions</t>
  </si>
  <si>
    <t>Level of Usable Reserves held at 31 March 2021 to 31 March 2025, £ millions</t>
  </si>
  <si>
    <t>Table 4.3: Value of Fixed Assets at 31 March 2021 to 31 March 2025, £ millions</t>
  </si>
  <si>
    <t>Table 4.3a: Value of Fixed Assets at 31 March 2021 to 31 March 2025 by Asset Type, £ millions</t>
  </si>
  <si>
    <t>Total Debt at 31 March 2025, £ millions</t>
  </si>
  <si>
    <t>General Fund Debt per person from 31 March 2021 to 31 March 2025</t>
  </si>
  <si>
    <t>HRA Debt per dwelling from 31 March 2021 to 31 March 2025</t>
  </si>
  <si>
    <t>Total Debt from 31 March 2021 to 31 March 2025, £ millions</t>
  </si>
  <si>
    <t>Prudential Indicators at 31 March 2021 to 31 March 2025, £ millions</t>
  </si>
  <si>
    <t>Total External Debt and CFR at 31 March 2021 to 31 March 2025, £ millions</t>
  </si>
  <si>
    <t>Closing Net Assets of the Pension Funds at 31 March 2021 to 31 March 2025, £ millions</t>
  </si>
  <si>
    <t>Number of Members by Type at 31 March 2021 to 31 March 2025</t>
  </si>
  <si>
    <t>Table 4.2: Level of Usable Reserves held at 31 March 2021 to 31 March 2025, £ millions</t>
  </si>
  <si>
    <t>Table 5.1a: General Fund Debt per person from 31 March 2021 to 31 March 2025</t>
  </si>
  <si>
    <t>Table 5.1b: HRA Debt per dwelling from 31 March 2021 to 31 March 2025</t>
  </si>
  <si>
    <t>Chart 5.1:  Total Debt from 31 March 2021 to 31 March 2025, £ millions</t>
  </si>
  <si>
    <t>Chart 5.2: Prudential Indicators at 31 March 2021 to 31 March 2025, £ millions</t>
  </si>
  <si>
    <t>Chart 6.1: Closing Net Assets of the Pension Funds at 31 March 2021 to 31 March 2025, £ millions</t>
  </si>
  <si>
    <t>Chart 6.2: Number of Members by Type at 31 March 2021 to 31 March 2025</t>
  </si>
  <si>
    <t>Table 2.1: Net Revenue Expenditure on Services in 2024-25, £ millions</t>
  </si>
  <si>
    <t>Chart 2.1: Net Revenue Expenditure in 2024-25 by Service, £ millions</t>
  </si>
  <si>
    <t>Chart 2.2: General Fund Net Revenue Expenditure in 2024-25 by Council, £ per person</t>
  </si>
  <si>
    <t>Chart 2.3: Gross Service Expenditure in 2024-25 by Service and Expenditure Type, £ millions</t>
  </si>
  <si>
    <t>Chart 2.4: Gross Service Income in 2024-25 by Service and Income Type, £ millions</t>
  </si>
  <si>
    <t>Chart 2.5: Service Expenditure met by Service Income in 2024-25 by Service, £ millions</t>
  </si>
  <si>
    <t>Table 2.5: Other Expenditure and Income in 2024-25, £ millions</t>
  </si>
  <si>
    <t>Chart 2.6: General Funding in 2024-25 by Source, £ millions</t>
  </si>
  <si>
    <t>Chart 2.7: Council Tax Potential Yield in 2024-25, £ millions</t>
  </si>
  <si>
    <t>Table 2.8: Council Tax Income after CTR in 2024-25 by Local Authority, £ thousands</t>
  </si>
  <si>
    <t>This worksheet contains one table containing figures that relate to income collected in 2024-25, which can include amounts that were billed in previous years.</t>
  </si>
  <si>
    <t>Chart 2.9: Band D Council Tax Rate in 2024-25 by Local Authority</t>
  </si>
  <si>
    <t>Table 2.11: CTR Funding and Reduction in Liability in 2024-25 by Local Authority, £ thousands</t>
  </si>
  <si>
    <t>Table 2.17a: Amount of NDR Relief Provided in 2024-25 by Relief Type and Local Authority, £ thousands</t>
  </si>
  <si>
    <t>Chart 2.11: Value of NDR Reliefs in 2024-25, £ millions</t>
  </si>
  <si>
    <t>Table 2.18: Movement in Reserves in 2024-25, £ millions</t>
  </si>
  <si>
    <t>Chart 3.1: Capital Expenditure in 2024-25 by Expenditure Type, £ millions</t>
  </si>
  <si>
    <t>Chart 3.2: Capital Expenditure in 2024-25 by Service, £ millions</t>
  </si>
  <si>
    <t>Chart 3.4: General Fund Capital Expenditure in 2024-25 by Council, £ per person</t>
  </si>
  <si>
    <t>Chart 3.5: Capital Financing in 2024-25 by Source, £ millions</t>
  </si>
  <si>
    <t>Table 3.4: Use of capital receipts in 2024-25, £ millions</t>
  </si>
  <si>
    <t>Table 4.1: Movements in Usable Reserves in 2024-25, £ millions</t>
  </si>
  <si>
    <t>Table 5.2: Loans Funds Advances Outstanding in 2024-25, £ millions</t>
  </si>
  <si>
    <t>Table 5.3: Credit Arrangements in 2024-25, £ millions</t>
  </si>
  <si>
    <t>Table 5.4: Capital Financing Requirement in 2024-25, £ millions</t>
  </si>
  <si>
    <t>Table 6.1: Movement in net assets of pensions funds in 2024-25, £ millions</t>
  </si>
  <si>
    <t>Table 2.2: Net Revenue Expenditure from 2020-21 to 2024-25 by Service, £ millions</t>
  </si>
  <si>
    <t>Table 2.3: Gross Service Expenditure from 2020-21 to 2024-25 by Expenditure Type, £ millions</t>
  </si>
  <si>
    <t>Table 2.4: Gross Service Income from 2020-21 to 2024-25 by Income Type, £ millions</t>
  </si>
  <si>
    <t>Table 2.4a: Customer and Client Receipts from 2020-21 to 2024-25 by Service, £ millions</t>
  </si>
  <si>
    <t>Table 2.6: General Funding from 2020-21 to 2024-25 by Source, £ millions</t>
  </si>
  <si>
    <t>Table 2.9: Total Number of Dwellings from 2020-21 to 2024-25</t>
  </si>
  <si>
    <t>Table 2.10: Average Council Tax Bill per Dwelling from 2020-21 to 2024-25</t>
  </si>
  <si>
    <t>Table 2.13: Number of dwellings in Receipt of Council Tax Discounts and Reductions at September from 2020-21 to 2024-25</t>
  </si>
  <si>
    <t>Table 3.1: Capital Expenditure from 2020-21 to 2024-25 by Expenditure Type, £ millions</t>
  </si>
  <si>
    <t>Chart 3.3: Capital Expenditure from 2020-21 to 2024-25 by Service, £ millions</t>
  </si>
  <si>
    <t>Chart 3.6: Capital Financing from 2020-21 to 2024-25 by Source, £ millions</t>
  </si>
  <si>
    <t>Table 3.3a: Capital Receipts raised from 2020-21 to 2024-25 by Service, £ thousands</t>
  </si>
  <si>
    <t>Table 5.2a: General Fund Loans Fund Advances Outstanding from 2020-21 to 2024-25, £ millions</t>
  </si>
  <si>
    <t>Table 5.2b: HRA Loans Fund Advances Outstanding from 2020-21 to 2024-25, £ millions</t>
  </si>
  <si>
    <t>Table 5.3a: General Fund Credit Arrangements from 2020-21 to 2024-25, £ millions</t>
  </si>
  <si>
    <t>Table 5.3b: HRA Credit Arrangements from 2020-21 to 2024-25, £ millions</t>
  </si>
  <si>
    <t>Table 5.4a: Capital Financing Requirement from 2020-21 to 2024-25, £ millions</t>
  </si>
  <si>
    <t>Chart 6.3: Contributions received from 2020-21 to 2024-25, £ millions</t>
  </si>
  <si>
    <t>Chart 6.4: Pensions and Lump Sums paid out from 2020-21 to 2024-25, £ millions</t>
  </si>
  <si>
    <t>Chart 6.5: Net return on investments from 2020-21 to 2024-25, £ millions</t>
  </si>
  <si>
    <t>The 2020-21, 2021-22, and 2022-23 GRG figure differ from the Finance Circular allocation due to the exclusion of amounts for agency grants paid to local authorities via GRG. See the Table in Annex C for details for 2024-25.</t>
  </si>
  <si>
    <t>Table 2.14a: NDR Properties, Rateable Values, Contributable and Distributable Amounts for 2024-25</t>
  </si>
  <si>
    <t>Table 3.2: Borrowing and Credit Arrangement Summary for 2024-25, £ million</t>
  </si>
  <si>
    <t>Table 3.3: Capital receipts raised in 2020-21 to 2024-25, £ millions</t>
  </si>
  <si>
    <t>Chart 4.1: Usable Reserves at 31 March 2025, £ millions</t>
  </si>
  <si>
    <t>Table 5.1: Total Debt at 31 March 2025, £ millions</t>
  </si>
  <si>
    <t>Table 5.5: Total External Debt and CFR at 31 March 2021 to 31 March 2025, £ millions</t>
  </si>
  <si>
    <t>Annex C: Calculation of General Revenue Grant for SLGFS 2024-25, £000s.</t>
  </si>
  <si>
    <r>
      <rPr>
        <b/>
        <sz val="12"/>
        <color theme="1"/>
        <rFont val="Arial"/>
        <family val="2"/>
      </rPr>
      <t>Source</t>
    </r>
    <r>
      <rPr>
        <sz val="12"/>
        <color theme="1"/>
        <rFont val="Arial"/>
        <family val="2"/>
      </rPr>
      <t>: Local Government Finance Circular 1/2025</t>
    </r>
  </si>
  <si>
    <t>FC 1/2025
Annex C, Col K</t>
  </si>
  <si>
    <t>FC 1/2025
Annex C, Col M</t>
  </si>
  <si>
    <t>FC 1/2025
Not applicable for 2024-25.</t>
  </si>
  <si>
    <t>Local government finance circular 1/2025: settlement for 2025 to 2026 - gov.scot</t>
  </si>
  <si>
    <t>2024-25</t>
  </si>
  <si>
    <t>31-Mar-25</t>
  </si>
  <si>
    <t>Finance Circular 1/2025</t>
  </si>
  <si>
    <t>Total GRG in SLGFS 2024-25</t>
  </si>
  <si>
    <t>Annex C: Col K</t>
  </si>
  <si>
    <t>Annex C: Col M</t>
  </si>
  <si>
    <t>% change between 
2023-24 &amp; 2024-25</t>
  </si>
  <si>
    <t>Chart 3.4: General Fund Capital Expenditure in 2023-24 by Council, £ per person</t>
  </si>
  <si>
    <t>% change between 
31 March 2024 and
 31 March 2025</t>
  </si>
  <si>
    <r>
      <rPr>
        <b/>
        <sz val="12"/>
        <rFont val="Arial"/>
        <family val="2"/>
      </rPr>
      <t>Source:</t>
    </r>
    <r>
      <rPr>
        <sz val="12"/>
        <rFont val="Arial"/>
        <family val="2"/>
      </rPr>
      <t xml:space="preserve"> LFR CR; National Records of Scotland Mid-2023 &amp; Mid-2024 population estimates and Rebased population estimates, Scotland, mid-2011 to mid-2021.</t>
    </r>
  </si>
  <si>
    <t>In 2023-24, accounting adjustments amounting to £282m and debt associated with lending to other statutory bodies amounting to £24m were excluded.</t>
  </si>
  <si>
    <t>In 2024-25, accounting adjustments amounting to £237m and debt associated with lending to other statutory bodies amounting to £18m were excluded.</t>
  </si>
  <si>
    <r>
      <t xml:space="preserve">Source: </t>
    </r>
    <r>
      <rPr>
        <sz val="12"/>
        <color theme="1"/>
        <rFont val="Arial"/>
        <family val="2"/>
      </rPr>
      <t>LFR 00, National Records of Scotland Mid-2024 population estimates.</t>
    </r>
  </si>
  <si>
    <t>No. of Chargeable 
Dwellings as at 
September 2024</t>
  </si>
  <si>
    <t>Chart 2.8: Proportion of Chargeable Dwellings at September 2024 by Local Authority and Council Tax Band</t>
  </si>
  <si>
    <t xml:space="preserve">Aberdeen City </t>
  </si>
  <si>
    <t xml:space="preserve">Dundee City </t>
  </si>
  <si>
    <t xml:space="preserve">Glasgow City </t>
  </si>
  <si>
    <t xml:space="preserve">Orkney Islands </t>
  </si>
  <si>
    <t>Shetland  Islands</t>
  </si>
  <si>
    <t>Low income household. Universal Credit (UC) replaces the above benefits that currently passport recipients to full CTR, with the exception of Pension Credit. UC also replaces Working Tax Credits, Child Tax Credits and Housing Benefit. UC is not a passporting benefit.</t>
  </si>
  <si>
    <t>This chart excludes expenditure for Environmental Services; Social Work and Trading Services. Combined these services account for 5% of total capital expenditure in 2024-25.</t>
  </si>
  <si>
    <t>Level of 
Reserves 
held at 
1 April 2024</t>
  </si>
  <si>
    <t>Level of 
Reserves 
held at 
31 March 2025</t>
  </si>
  <si>
    <t>Table 2.14: NDR Contributable and Distributable Amounts from 2009-10 to 2024-25, £ millions</t>
  </si>
  <si>
    <t>Please note that the NDR Contributable Amounts reflect the final, audited income figures collected by local authorities. This is except for the 2022-23, 2023-24 and 2024-25 figures, which are the Notified (provisional outturn) figures as the audits are not yet finalised for all councils. They are net of reliefs paid by Scottish Government, but gross of all local reliefs and top-ups to discretionary amounts paid by councils themselves.</t>
  </si>
  <si>
    <t>Number of 
properties at 
1 April 2024</t>
  </si>
  <si>
    <t>Rateable value
at 1 April 2024, 
£ thousands</t>
  </si>
  <si>
    <t>NDR contributable 
amount 2024-25,
£ thousands</t>
  </si>
  <si>
    <t>NDR distributable 
amount 2024-25,
£ thousands</t>
  </si>
  <si>
    <t>Table 2.14b: NDR Properties and Rateable Values at 1 April 2025</t>
  </si>
  <si>
    <t>Table 2.15: NDR Properties at 1 April 2024 by Classification</t>
  </si>
  <si>
    <t>Table 2.15a: NDR Properties at 1 April 2025 by Classification</t>
  </si>
  <si>
    <t>Chart 2.10: Proportion of NDR Properties at 1 April 2024 by Local Authority and Rateable Value Band</t>
  </si>
  <si>
    <t>Chart 2.10a: Proportion of NDR Properties at 1 April 2025 by Local Authority and Rateable Value Band</t>
  </si>
  <si>
    <t>Table 2.16: NDR Income, Total Rateable Values and Rates from 2009-10 to 2024-25</t>
  </si>
  <si>
    <t xml:space="preserve">  NDRI figures are the NDR Contributable Amounts, and reflect the  final, audited income figures collected by local authorities, except for 2022-23, 2023-24 and 2024-25 which are the Notified (provisional outturn) figures as the audits are not yet finalised for all councils. </t>
  </si>
  <si>
    <t>Table 2.17: Amount of NDR Relief Provided from 2009-10 to 2024-25 by Relief Type, £ thousands</t>
  </si>
  <si>
    <t>Empty Property Relief figures for 2018-19 to 2020-21 in this publication differ from previous publications, because an error in reporting for one council was discovered and figures have now been amended. Empty Property Relief was devolved to councils and became a local relief from April 2023.</t>
  </si>
  <si>
    <t>Revaluation Transitional Relief includes both 2017 Transitional Reliefs and 2023 General Transitional Relief.</t>
  </si>
  <si>
    <t>Source: NDRI Audited returns for all years except 2022-23, 2023-24 and 2024-25 where the NDRI Notified Returns have been used.</t>
  </si>
  <si>
    <t>Revaluation Transitional Relief</t>
  </si>
  <si>
    <t>Islands Hospitality Relief</t>
  </si>
  <si>
    <t>Revaluation Transitional 
Relief</t>
  </si>
  <si>
    <t>Please note that 'Other' includes: Sports Club; Relief Rural Relief; Renewable Energy Relief; Fresh Start Relief; General Revaluation Transitional Relief; Day Nursery Relief; BGA - Unoccupied New Build;</t>
  </si>
  <si>
    <t>Population estimates time series data</t>
  </si>
  <si>
    <t xml:space="preserve">Source: Scottish Assessors Valuation Roll, NDRI Notified Returns, Local Government Finance Circular 2/2024. </t>
  </si>
  <si>
    <t>The table makes use of following acronym: 'SBBS' is Small Business Bonus Scheme.</t>
  </si>
  <si>
    <t xml:space="preserve">  'Other Funding' includes government grants paid to joint boards, income received through NDR TIF and NDRIS schemes plus capital to revenue transfers.</t>
  </si>
  <si>
    <t>Please note that 'Other Funding' includes government grants paid to joint boards, income received through NDR TIF and NDRIS schemes plus capital to revenue transfers.</t>
  </si>
  <si>
    <t>Revised 04/02/2026</t>
  </si>
  <si>
    <t>04/02/2026 - An error was identified in Table 2.14a. The original figures were incorrectly multiplied by 1,000.</t>
  </si>
  <si>
    <t>05/02/2026 Corrected values for Culture  and Relates Services, etc.</t>
  </si>
  <si>
    <t>05/02/2026 - Lables in Chart 2.1 corrected.</t>
  </si>
  <si>
    <t>Revised on 6 February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</si>
</sst>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5" formatCode="&quot;£&quot;#,##0;\-&quot;£&quot;#,##0"/>
    <numFmt numFmtId="6" formatCode="&quot;£&quot;#,##0;[Red]\-&quot;£&quot;#,##0"/>
    <numFmt numFmtId="41" formatCode="_-* #,##0_-;\-* #,##0_-;_-* &quot;-&quot;_-;_-@_-"/>
    <numFmt numFmtId="43" formatCode="_-* #,##0.00_-;\-* #,##0.00_-;_-* &quot;-&quot;??_-;_-@_-"/>
    <numFmt numFmtId="164" formatCode="_(* #,##0.00_);_(* \(#,##0.00\);_(* &quot;-&quot;??_);_(@_)"/>
    <numFmt numFmtId="165" formatCode="0.0"/>
    <numFmt numFmtId="166" formatCode="&quot;£&quot;#,##0"/>
    <numFmt numFmtId="167" formatCode="0.0%"/>
    <numFmt numFmtId="168" formatCode="_-* #,##0_-;\-* #,##0_-;_-* &quot;-&quot;??_-;_-@_-"/>
    <numFmt numFmtId="169" formatCode="#,##0;\-#,##0;\-"/>
    <numFmt numFmtId="170" formatCode="#,##0.0"/>
    <numFmt numFmtId="171" formatCode="_(* #,##0_);_(* \(#,##0\);_(* &quot;-&quot;??_);_(@_)"/>
    <numFmt numFmtId="172" formatCode="#,##0.000"/>
    <numFmt numFmtId="173" formatCode="[$-F800]dddd\,\ mmmm\ dd\,\ yyyy"/>
    <numFmt numFmtId="174" formatCode="0.000"/>
  </numFmts>
  <fonts count="72">
    <font>
      <sz val="11"/>
      <color theme="1"/>
      <name val="Calibri"/>
      <family val="2"/>
      <scheme val="minor"/>
    </font>
    <font>
      <sz val="10"/>
      <color theme="1"/>
      <name val="Arial"/>
      <family val="2"/>
    </font>
    <font>
      <sz val="12"/>
      <name val="Arial"/>
      <family val="2"/>
    </font>
    <font>
      <b/>
      <sz val="14"/>
      <name val="Arial"/>
      <family val="2"/>
    </font>
    <font>
      <sz val="11"/>
      <color theme="1"/>
      <name val="Calibri"/>
      <family val="2"/>
      <scheme val="minor"/>
    </font>
    <font>
      <sz val="10"/>
      <name val="Geneva"/>
    </font>
    <font>
      <sz val="8"/>
      <color rgb="FFFF0000"/>
      <name val="Arial"/>
      <family val="2"/>
    </font>
    <font>
      <sz val="11"/>
      <color theme="1"/>
      <name val="Arial"/>
      <family val="2"/>
    </font>
    <font>
      <sz val="11"/>
      <color rgb="FFFF0000"/>
      <name val="Arial"/>
      <family val="2"/>
    </font>
    <font>
      <b/>
      <sz val="12"/>
      <color theme="1"/>
      <name val="Arial"/>
      <family val="2"/>
    </font>
    <font>
      <sz val="8"/>
      <color theme="1"/>
      <name val="Arial"/>
      <family val="2"/>
    </font>
    <font>
      <b/>
      <sz val="8"/>
      <name val="Arial"/>
      <family val="2"/>
    </font>
    <font>
      <sz val="8"/>
      <name val="Arial"/>
      <family val="2"/>
    </font>
    <font>
      <b/>
      <sz val="10"/>
      <name val="Arial"/>
      <family val="2"/>
    </font>
    <font>
      <sz val="10"/>
      <name val="Arial"/>
      <family val="2"/>
    </font>
    <font>
      <sz val="10"/>
      <name val="Arial"/>
      <family val="2"/>
    </font>
    <font>
      <u/>
      <sz val="10"/>
      <color indexed="12"/>
      <name val="Arial"/>
      <family val="2"/>
    </font>
    <font>
      <sz val="11"/>
      <color indexed="8"/>
      <name val="Calibri"/>
      <family val="2"/>
    </font>
    <font>
      <sz val="11"/>
      <color indexed="9"/>
      <name val="Calibri"/>
      <family val="2"/>
    </font>
    <font>
      <sz val="11"/>
      <color indexed="20"/>
      <name val="Calibri"/>
      <family val="2"/>
    </font>
    <font>
      <b/>
      <sz val="11"/>
      <color indexed="10"/>
      <name val="Calibri"/>
      <family val="2"/>
    </font>
    <font>
      <b/>
      <sz val="11"/>
      <color indexed="9"/>
      <name val="Calibri"/>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sz val="11"/>
      <color indexed="62"/>
      <name val="Calibri"/>
      <family val="2"/>
    </font>
    <font>
      <sz val="11"/>
      <color indexed="10"/>
      <name val="Calibri"/>
      <family val="2"/>
    </font>
    <font>
      <sz val="11"/>
      <color indexed="19"/>
      <name val="Calibri"/>
      <family val="2"/>
    </font>
    <font>
      <b/>
      <sz val="11"/>
      <color indexed="63"/>
      <name val="Calibri"/>
      <family val="2"/>
    </font>
    <font>
      <b/>
      <sz val="18"/>
      <color indexed="62"/>
      <name val="Cambria"/>
      <family val="2"/>
    </font>
    <font>
      <b/>
      <sz val="11"/>
      <color indexed="8"/>
      <name val="Calibri"/>
      <family val="2"/>
    </font>
    <font>
      <sz val="12"/>
      <color theme="1"/>
      <name val="Calibri"/>
      <family val="2"/>
      <charset val="136"/>
      <scheme val="minor"/>
    </font>
    <font>
      <sz val="10"/>
      <name val="MS Sans Serif"/>
      <family val="2"/>
    </font>
    <font>
      <b/>
      <sz val="8"/>
      <color rgb="FFFF0000"/>
      <name val="Arial"/>
      <family val="2"/>
    </font>
    <font>
      <sz val="12"/>
      <color theme="1"/>
      <name val="Arial"/>
      <family val="2"/>
    </font>
    <font>
      <b/>
      <sz val="12"/>
      <name val="Arial"/>
      <family val="2"/>
    </font>
    <font>
      <b/>
      <sz val="11"/>
      <color rgb="FF000000"/>
      <name val="Arial"/>
      <family val="2"/>
    </font>
    <font>
      <sz val="14"/>
      <color theme="1"/>
      <name val="Arial"/>
      <family val="2"/>
    </font>
    <font>
      <u/>
      <sz val="12"/>
      <color theme="10"/>
      <name val="Arial"/>
      <family val="2"/>
    </font>
    <font>
      <sz val="11"/>
      <color rgb="FF1F497D"/>
      <name val="Calibri"/>
      <family val="2"/>
      <scheme val="minor"/>
    </font>
    <font>
      <u/>
      <sz val="12"/>
      <color rgb="FF0563C1"/>
      <name val="Arial"/>
      <family val="2"/>
    </font>
    <font>
      <sz val="12"/>
      <color rgb="FFFF0000"/>
      <name val="Arial"/>
      <family val="2"/>
    </font>
    <font>
      <sz val="12"/>
      <color theme="0"/>
      <name val="Arial"/>
      <family val="2"/>
    </font>
    <font>
      <b/>
      <sz val="12"/>
      <color theme="0"/>
      <name val="Arial"/>
      <family val="2"/>
    </font>
    <font>
      <b/>
      <sz val="14"/>
      <color theme="1"/>
      <name val="Arial"/>
      <family val="2"/>
    </font>
    <font>
      <sz val="14"/>
      <name val="Arial"/>
      <family val="2"/>
    </font>
    <font>
      <b/>
      <vertAlign val="superscript"/>
      <sz val="12"/>
      <color theme="0"/>
      <name val="Arial"/>
      <family val="2"/>
    </font>
    <font>
      <b/>
      <sz val="12"/>
      <color rgb="FFFF0000"/>
      <name val="Arial"/>
      <family val="2"/>
    </font>
    <font>
      <sz val="12"/>
      <color rgb="FFFF0000"/>
      <name val="Calibri"/>
      <family val="2"/>
      <scheme val="minor"/>
    </font>
    <font>
      <b/>
      <sz val="12"/>
      <color rgb="FF000000"/>
      <name val="Arial"/>
      <family val="2"/>
    </font>
    <font>
      <sz val="12"/>
      <color rgb="FF000000"/>
      <name val="Arial"/>
      <family val="2"/>
    </font>
    <font>
      <u/>
      <sz val="12"/>
      <color theme="1"/>
      <name val="Arial"/>
      <family val="2"/>
    </font>
    <font>
      <sz val="12"/>
      <color indexed="8"/>
      <name val="Arial"/>
      <family val="2"/>
    </font>
    <font>
      <sz val="12"/>
      <color theme="1"/>
      <name val="Calibri"/>
      <family val="2"/>
      <scheme val="minor"/>
    </font>
    <font>
      <b/>
      <sz val="12"/>
      <color rgb="FFFFFFFF"/>
      <name val="Arial"/>
      <family val="2"/>
    </font>
    <font>
      <sz val="14"/>
      <color theme="1"/>
      <name val="Calibri"/>
      <family val="2"/>
      <scheme val="minor"/>
    </font>
    <font>
      <sz val="12"/>
      <color theme="0" tint="-0.34998626667073579"/>
      <name val="Arial"/>
      <family val="2"/>
    </font>
    <font>
      <b/>
      <u/>
      <sz val="12"/>
      <color theme="0"/>
      <name val="Arial"/>
      <family val="2"/>
    </font>
    <font>
      <sz val="12"/>
      <color theme="0" tint="-0.14999847407452621"/>
      <name val="Calibri"/>
      <family val="2"/>
      <scheme val="minor"/>
    </font>
    <font>
      <b/>
      <sz val="8"/>
      <color theme="1"/>
      <name val="Arial"/>
      <family val="2"/>
    </font>
    <font>
      <b/>
      <sz val="20"/>
      <color rgb="FF2C486E"/>
      <name val="Arial"/>
      <family val="2"/>
    </font>
    <font>
      <b/>
      <sz val="14"/>
      <color rgb="FF2C486E"/>
      <name val="Arial"/>
      <family val="2"/>
    </font>
    <font>
      <sz val="12"/>
      <color theme="5"/>
      <name val="Arial"/>
      <family val="2"/>
    </font>
    <font>
      <sz val="11"/>
      <color rgb="FF006100"/>
      <name val="Calibri"/>
      <family val="2"/>
      <scheme val="minor"/>
    </font>
    <font>
      <u/>
      <sz val="12"/>
      <name val="Arial"/>
      <family val="2"/>
    </font>
    <font>
      <b/>
      <sz val="10"/>
      <color theme="1"/>
      <name val="Arial"/>
      <family val="2"/>
    </font>
    <font>
      <strike/>
      <sz val="12"/>
      <color theme="5"/>
      <name val="Arial"/>
      <family val="2"/>
    </font>
    <font>
      <sz val="10"/>
      <color rgb="FFFF0000"/>
      <name val="Arial"/>
      <family val="2"/>
    </font>
    <font>
      <b/>
      <sz val="10"/>
      <color rgb="FFFF0000"/>
      <name val="Arial"/>
      <family val="2"/>
    </font>
    <font>
      <sz val="11"/>
      <name val="Arial"/>
      <family val="2"/>
    </font>
  </fonts>
  <fills count="42">
    <fill>
      <patternFill patternType="none"/>
    </fill>
    <fill>
      <patternFill patternType="gray125"/>
    </fill>
    <fill>
      <patternFill patternType="solid">
        <fgColor theme="0"/>
        <bgColor indexed="64"/>
      </patternFill>
    </fill>
    <fill>
      <patternFill patternType="solid">
        <fgColor rgb="FFECF3FA"/>
        <bgColor indexed="64"/>
      </patternFill>
    </fill>
    <fill>
      <patternFill patternType="solid">
        <fgColor rgb="FFFFFFCC"/>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56"/>
      </patternFill>
    </fill>
    <fill>
      <patternFill patternType="solid">
        <fgColor indexed="54"/>
      </patternFill>
    </fill>
    <fill>
      <patternFill patternType="solid">
        <fgColor indexed="49"/>
      </patternFill>
    </fill>
    <fill>
      <patternFill patternType="solid">
        <fgColor indexed="10"/>
      </patternFill>
    </fill>
    <fill>
      <patternFill patternType="solid">
        <fgColor indexed="46"/>
      </patternFill>
    </fill>
    <fill>
      <patternFill patternType="solid">
        <fgColor indexed="9"/>
      </patternFill>
    </fill>
    <fill>
      <patternFill patternType="solid">
        <fgColor indexed="55"/>
      </patternFill>
    </fill>
    <fill>
      <patternFill patternType="solid">
        <fgColor indexed="43"/>
        <bgColor indexed="64"/>
      </patternFill>
    </fill>
    <fill>
      <patternFill patternType="solid">
        <fgColor indexed="44"/>
        <bgColor indexed="64"/>
      </patternFill>
    </fill>
    <fill>
      <patternFill patternType="solid">
        <fgColor rgb="FFFFFFFF"/>
        <bgColor indexed="64"/>
      </patternFill>
    </fill>
    <fill>
      <patternFill patternType="solid">
        <fgColor rgb="FFEEF2F8"/>
        <bgColor indexed="64"/>
      </patternFill>
    </fill>
    <fill>
      <patternFill patternType="solid">
        <fgColor rgb="FF2C486E"/>
        <bgColor indexed="64"/>
      </patternFill>
    </fill>
    <fill>
      <patternFill patternType="solid">
        <fgColor rgb="FF3D6499"/>
        <bgColor indexed="64"/>
      </patternFill>
    </fill>
    <fill>
      <patternFill patternType="solid">
        <fgColor rgb="FFC6EFCE"/>
      </patternFill>
    </fill>
    <fill>
      <patternFill patternType="solid">
        <fgColor rgb="FF1F497D"/>
        <bgColor indexed="64"/>
      </patternFill>
    </fill>
    <fill>
      <patternFill patternType="solid">
        <fgColor rgb="FFEAF1FA"/>
        <bgColor indexed="64"/>
      </patternFill>
    </fill>
  </fills>
  <borders count="21">
    <border>
      <left/>
      <right/>
      <top/>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right/>
      <top style="thin">
        <color indexed="64"/>
      </top>
      <bottom style="thin">
        <color indexed="64"/>
      </bottom>
      <diagonal/>
    </border>
    <border>
      <left style="thin">
        <color indexed="64"/>
      </left>
      <right style="thin">
        <color indexed="64"/>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56"/>
      </top>
      <bottom style="double">
        <color indexed="56"/>
      </bottom>
      <diagonal/>
    </border>
    <border>
      <left/>
      <right style="dashDot">
        <color theme="0"/>
      </right>
      <top/>
      <bottom/>
      <diagonal/>
    </border>
    <border>
      <left/>
      <right style="dashDot">
        <color theme="4" tint="-0.499984740745262"/>
      </right>
      <top/>
      <bottom/>
      <diagonal/>
    </border>
    <border>
      <left style="dashDot">
        <color theme="0"/>
      </left>
      <right/>
      <top/>
      <bottom/>
      <diagonal/>
    </border>
    <border>
      <left/>
      <right/>
      <top/>
      <bottom style="medium">
        <color rgb="FF2C486E"/>
      </bottom>
      <diagonal/>
    </border>
    <border>
      <left/>
      <right/>
      <top/>
      <bottom style="medium">
        <color indexed="64"/>
      </bottom>
      <diagonal/>
    </border>
    <border>
      <left/>
      <right/>
      <top/>
      <bottom style="medium">
        <color rgb="FF1F497D"/>
      </bottom>
      <diagonal/>
    </border>
    <border>
      <left/>
      <right/>
      <top/>
      <bottom style="thick">
        <color rgb="FF2C486E"/>
      </bottom>
      <diagonal/>
    </border>
  </borders>
  <cellStyleXfs count="168">
    <xf numFmtId="0" fontId="0" fillId="0" borderId="0"/>
    <xf numFmtId="0" fontId="1" fillId="0" borderId="0"/>
    <xf numFmtId="0" fontId="42" fillId="0" borderId="0" applyNumberFormat="0" applyFill="0" applyBorder="0" applyAlignment="0" applyProtection="0"/>
    <xf numFmtId="9" fontId="4" fillId="0" borderId="0" applyFont="0" applyFill="0" applyBorder="0" applyAlignment="0" applyProtection="0"/>
    <xf numFmtId="0" fontId="5" fillId="0" borderId="0"/>
    <xf numFmtId="0" fontId="14" fillId="0" borderId="0" applyFill="0"/>
    <xf numFmtId="164" fontId="15" fillId="0" borderId="0" applyFont="0" applyFill="0" applyBorder="0" applyAlignment="0" applyProtection="0"/>
    <xf numFmtId="164" fontId="15" fillId="0" borderId="0" applyFont="0" applyFill="0" applyBorder="0" applyAlignment="0" applyProtection="0"/>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3" fontId="15" fillId="0" borderId="0"/>
    <xf numFmtId="3" fontId="15" fillId="0" borderId="0"/>
    <xf numFmtId="0" fontId="17" fillId="17" borderId="0" applyNumberFormat="0" applyBorder="0" applyAlignment="0" applyProtection="0"/>
    <xf numFmtId="0" fontId="17" fillId="18" borderId="0" applyNumberFormat="0" applyBorder="0" applyAlignment="0" applyProtection="0"/>
    <xf numFmtId="0" fontId="17"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7" fillId="19" borderId="0" applyNumberFormat="0" applyBorder="0" applyAlignment="0" applyProtection="0"/>
    <xf numFmtId="0" fontId="17" fillId="21" borderId="0" applyNumberFormat="0" applyBorder="0" applyAlignment="0" applyProtection="0"/>
    <xf numFmtId="0" fontId="17" fillId="18" borderId="0" applyNumberFormat="0" applyBorder="0" applyAlignment="0" applyProtection="0"/>
    <xf numFmtId="0" fontId="17" fillId="22" borderId="0" applyNumberFormat="0" applyBorder="0" applyAlignment="0" applyProtection="0"/>
    <xf numFmtId="0" fontId="17" fillId="23" borderId="0" applyNumberFormat="0" applyBorder="0" applyAlignment="0" applyProtection="0"/>
    <xf numFmtId="0" fontId="17" fillId="21" borderId="0" applyNumberFormat="0" applyBorder="0" applyAlignment="0" applyProtection="0"/>
    <xf numFmtId="0" fontId="17" fillId="19" borderId="0" applyNumberFormat="0" applyBorder="0" applyAlignment="0" applyProtection="0"/>
    <xf numFmtId="0" fontId="18" fillId="21" borderId="0" applyNumberFormat="0" applyBorder="0" applyAlignment="0" applyProtection="0"/>
    <xf numFmtId="0" fontId="18" fillId="24" borderId="0" applyNumberFormat="0" applyBorder="0" applyAlignment="0" applyProtection="0"/>
    <xf numFmtId="0" fontId="18" fillId="25" borderId="0" applyNumberFormat="0" applyBorder="0" applyAlignment="0" applyProtection="0"/>
    <xf numFmtId="0" fontId="18" fillId="23" borderId="0" applyNumberFormat="0" applyBorder="0" applyAlignment="0" applyProtection="0"/>
    <xf numFmtId="0" fontId="18" fillId="21" borderId="0" applyNumberFormat="0" applyBorder="0" applyAlignment="0" applyProtection="0"/>
    <xf numFmtId="0" fontId="18" fillId="18" borderId="0" applyNumberFormat="0" applyBorder="0" applyAlignment="0" applyProtection="0"/>
    <xf numFmtId="0" fontId="18" fillId="26" borderId="0" applyNumberFormat="0" applyBorder="0" applyAlignment="0" applyProtection="0"/>
    <xf numFmtId="0" fontId="18" fillId="24" borderId="0" applyNumberFormat="0" applyBorder="0" applyAlignment="0" applyProtection="0"/>
    <xf numFmtId="0" fontId="18" fillId="25" borderId="0" applyNumberFormat="0" applyBorder="0" applyAlignment="0" applyProtection="0"/>
    <xf numFmtId="0" fontId="18" fillId="27" borderId="0" applyNumberFormat="0" applyBorder="0" applyAlignment="0" applyProtection="0"/>
    <xf numFmtId="0" fontId="18" fillId="28" borderId="0" applyNumberFormat="0" applyBorder="0" applyAlignment="0" applyProtection="0"/>
    <xf numFmtId="0" fontId="18" fillId="29" borderId="0" applyNumberFormat="0" applyBorder="0" applyAlignment="0" applyProtection="0"/>
    <xf numFmtId="0" fontId="19" fillId="30" borderId="0" applyNumberFormat="0" applyBorder="0" applyAlignment="0" applyProtection="0"/>
    <xf numFmtId="0" fontId="20" fillId="31" borderId="5" applyNumberFormat="0" applyAlignment="0" applyProtection="0"/>
    <xf numFmtId="0" fontId="21" fillId="32" borderId="6" applyNumberFormat="0" applyAlignment="0" applyProtection="0"/>
    <xf numFmtId="164" fontId="15" fillId="0" borderId="0" applyFont="0" applyFill="0" applyBorder="0" applyAlignment="0" applyProtection="0"/>
    <xf numFmtId="0" fontId="22" fillId="0" borderId="0" applyNumberFormat="0" applyFill="0" applyBorder="0" applyAlignment="0" applyProtection="0"/>
    <xf numFmtId="0" fontId="23" fillId="21" borderId="0" applyNumberFormat="0" applyBorder="0" applyAlignment="0" applyProtection="0"/>
    <xf numFmtId="0" fontId="24" fillId="0" borderId="7" applyNumberFormat="0" applyFill="0" applyAlignment="0" applyProtection="0"/>
    <xf numFmtId="0" fontId="25" fillId="0" borderId="8" applyNumberFormat="0" applyFill="0" applyAlignment="0" applyProtection="0"/>
    <xf numFmtId="0" fontId="26" fillId="0" borderId="9" applyNumberFormat="0" applyFill="0" applyAlignment="0" applyProtection="0"/>
    <xf numFmtId="0" fontId="26" fillId="0" borderId="0" applyNumberFormat="0" applyFill="0" applyBorder="0" applyAlignment="0" applyProtection="0"/>
    <xf numFmtId="0" fontId="27" fillId="22" borderId="5" applyNumberFormat="0" applyAlignment="0" applyProtection="0"/>
    <xf numFmtId="0" fontId="28" fillId="0" borderId="10" applyNumberFormat="0" applyFill="0" applyAlignment="0" applyProtection="0"/>
    <xf numFmtId="0" fontId="29" fillId="22" borderId="0" applyNumberFormat="0" applyBorder="0" applyAlignment="0" applyProtection="0"/>
    <xf numFmtId="0" fontId="15" fillId="0" borderId="0"/>
    <xf numFmtId="0" fontId="15" fillId="0" borderId="0"/>
    <xf numFmtId="0" fontId="15" fillId="0" borderId="0"/>
    <xf numFmtId="0" fontId="15" fillId="0" borderId="0" applyFill="0"/>
    <xf numFmtId="0" fontId="1" fillId="0" borderId="0"/>
    <xf numFmtId="0" fontId="1" fillId="0" borderId="0"/>
    <xf numFmtId="0" fontId="12" fillId="19" borderId="11" applyNumberFormat="0" applyFont="0" applyAlignment="0" applyProtection="0"/>
    <xf numFmtId="0" fontId="30" fillId="31" borderId="12" applyNumberFormat="0" applyAlignment="0" applyProtection="0"/>
    <xf numFmtId="9" fontId="15" fillId="0" borderId="0" applyFont="0" applyFill="0" applyBorder="0" applyAlignment="0" applyProtection="0"/>
    <xf numFmtId="0" fontId="31" fillId="0" borderId="0" applyNumberFormat="0" applyFill="0" applyBorder="0" applyAlignment="0" applyProtection="0"/>
    <xf numFmtId="0" fontId="32" fillId="0" borderId="13" applyNumberFormat="0" applyFill="0" applyAlignment="0" applyProtection="0"/>
    <xf numFmtId="0" fontId="28" fillId="0" borderId="0" applyNumberFormat="0" applyFill="0" applyBorder="0" applyAlignment="0" applyProtection="0"/>
    <xf numFmtId="0" fontId="12" fillId="0" borderId="0"/>
    <xf numFmtId="0" fontId="12" fillId="0" borderId="0"/>
    <xf numFmtId="0" fontId="1" fillId="5" borderId="0" applyNumberFormat="0" applyBorder="0" applyAlignment="0" applyProtection="0"/>
    <xf numFmtId="0" fontId="1" fillId="7" borderId="0" applyNumberFormat="0" applyBorder="0" applyAlignment="0" applyProtection="0"/>
    <xf numFmtId="0" fontId="1" fillId="9" borderId="0" applyNumberFormat="0" applyBorder="0" applyAlignment="0" applyProtection="0"/>
    <xf numFmtId="0" fontId="1" fillId="11" borderId="0" applyNumberFormat="0" applyBorder="0" applyAlignment="0" applyProtection="0"/>
    <xf numFmtId="0" fontId="1" fillId="13" borderId="0" applyNumberFormat="0" applyBorder="0" applyAlignment="0" applyProtection="0"/>
    <xf numFmtId="0" fontId="1" fillId="15" borderId="0" applyNumberFormat="0" applyBorder="0" applyAlignment="0" applyProtection="0"/>
    <xf numFmtId="0" fontId="1" fillId="6" borderId="0" applyNumberFormat="0" applyBorder="0" applyAlignment="0" applyProtection="0"/>
    <xf numFmtId="0" fontId="1" fillId="8" borderId="0" applyNumberFormat="0" applyBorder="0" applyAlignment="0" applyProtection="0"/>
    <xf numFmtId="0" fontId="1" fillId="10" borderId="0" applyNumberFormat="0" applyBorder="0" applyAlignment="0" applyProtection="0"/>
    <xf numFmtId="0" fontId="1" fillId="12" borderId="0" applyNumberFormat="0" applyBorder="0" applyAlignment="0" applyProtection="0"/>
    <xf numFmtId="0" fontId="1" fillId="14" borderId="0" applyNumberFormat="0" applyBorder="0" applyAlignment="0" applyProtection="0"/>
    <xf numFmtId="0" fontId="1" fillId="16" borderId="0" applyNumberFormat="0" applyBorder="0" applyAlignment="0" applyProtection="0"/>
    <xf numFmtId="164" fontId="1"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0" fontId="15" fillId="0" borderId="0"/>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5" fillId="0" borderId="0"/>
    <xf numFmtId="0" fontId="15" fillId="0" borderId="0"/>
    <xf numFmtId="0" fontId="15"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 fillId="0" borderId="0"/>
    <xf numFmtId="0" fontId="15" fillId="0" borderId="0"/>
    <xf numFmtId="3" fontId="15" fillId="0" borderId="0"/>
    <xf numFmtId="0" fontId="1" fillId="4" borderId="2" applyNumberFormat="0" applyFont="0" applyAlignment="0" applyProtection="0"/>
    <xf numFmtId="9" fontId="15" fillId="0" borderId="0" applyFont="0" applyFill="0" applyBorder="0" applyAlignment="0" applyProtection="0"/>
    <xf numFmtId="9" fontId="1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5" fillId="0" borderId="0" applyFont="0" applyFill="0" applyBorder="0" applyAlignment="0" applyProtection="0"/>
    <xf numFmtId="9" fontId="4"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 fillId="0" borderId="0" applyFont="0" applyFill="0" applyBorder="0" applyAlignment="0" applyProtection="0"/>
    <xf numFmtId="0" fontId="11" fillId="0" borderId="0">
      <alignment horizontal="left"/>
    </xf>
    <xf numFmtId="0" fontId="12" fillId="0" borderId="0">
      <alignment horizontal="left"/>
    </xf>
    <xf numFmtId="0" fontId="12" fillId="0" borderId="0">
      <alignment horizontal="center" vertical="center" wrapText="1"/>
    </xf>
    <xf numFmtId="0" fontId="11" fillId="0" borderId="0">
      <alignment horizontal="left" vertical="center" wrapText="1"/>
    </xf>
    <xf numFmtId="0" fontId="11" fillId="0" borderId="0">
      <alignment horizontal="right"/>
    </xf>
    <xf numFmtId="0" fontId="12" fillId="0" borderId="0">
      <alignment horizontal="left" vertical="center" wrapText="1"/>
    </xf>
    <xf numFmtId="0" fontId="12" fillId="0" borderId="0">
      <alignment horizontal="right"/>
    </xf>
    <xf numFmtId="0" fontId="12" fillId="0" borderId="0"/>
    <xf numFmtId="0" fontId="12" fillId="0" borderId="0"/>
    <xf numFmtId="0" fontId="15" fillId="0" borderId="0"/>
    <xf numFmtId="0" fontId="15" fillId="0" borderId="0"/>
    <xf numFmtId="0" fontId="15" fillId="33" borderId="0">
      <protection locked="0"/>
    </xf>
    <xf numFmtId="0" fontId="15" fillId="34" borderId="4">
      <alignment horizontal="center" vertical="center"/>
      <protection locked="0"/>
    </xf>
    <xf numFmtId="164" fontId="15" fillId="0" borderId="0" applyFont="0" applyFill="0" applyBorder="0" applyAlignment="0" applyProtection="0"/>
    <xf numFmtId="0" fontId="13" fillId="34" borderId="0">
      <alignment vertical="center"/>
      <protection locked="0"/>
    </xf>
    <xf numFmtId="0" fontId="33"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applyFill="0"/>
    <xf numFmtId="0" fontId="1" fillId="4" borderId="2" applyNumberFormat="0" applyFont="0" applyAlignment="0" applyProtection="0"/>
    <xf numFmtId="0" fontId="15" fillId="34" borderId="3">
      <alignment vertical="center"/>
      <protection locked="0"/>
    </xf>
    <xf numFmtId="0" fontId="15" fillId="0" borderId="0"/>
    <xf numFmtId="40" fontId="34" fillId="0" borderId="0" applyFont="0" applyFill="0" applyBorder="0" applyAlignment="0" applyProtection="0"/>
    <xf numFmtId="0" fontId="15" fillId="0" borderId="0"/>
    <xf numFmtId="0" fontId="1" fillId="0" borderId="0"/>
    <xf numFmtId="0" fontId="15" fillId="0" borderId="0"/>
    <xf numFmtId="0" fontId="15" fillId="0" borderId="0"/>
    <xf numFmtId="0" fontId="15"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164" fontId="14" fillId="0" borderId="0" applyFont="0" applyFill="0" applyBorder="0" applyAlignment="0" applyProtection="0"/>
    <xf numFmtId="164" fontId="4" fillId="0" borderId="0" applyFont="0" applyFill="0" applyBorder="0" applyAlignment="0" applyProtection="0"/>
    <xf numFmtId="164" fontId="1" fillId="0" borderId="0" applyFont="0" applyFill="0" applyBorder="0" applyAlignment="0" applyProtection="0"/>
    <xf numFmtId="0" fontId="14" fillId="0" borderId="0"/>
    <xf numFmtId="0" fontId="42" fillId="0" borderId="0" applyNumberForma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0" fontId="65" fillId="39" borderId="0" applyNumberFormat="0" applyBorder="0" applyAlignment="0" applyProtection="0"/>
    <xf numFmtId="164" fontId="4" fillId="0" borderId="0" applyFont="0" applyFill="0" applyBorder="0" applyAlignment="0" applyProtection="0"/>
  </cellStyleXfs>
  <cellXfs count="470">
    <xf numFmtId="0" fontId="0" fillId="0" borderId="0" xfId="0"/>
    <xf numFmtId="0" fontId="7" fillId="2" borderId="0" xfId="0" applyFont="1" applyFill="1" applyAlignment="1">
      <alignment vertical="center"/>
    </xf>
    <xf numFmtId="0" fontId="9" fillId="2" borderId="0" xfId="0" applyFont="1" applyFill="1" applyAlignment="1">
      <alignment vertical="center"/>
    </xf>
    <xf numFmtId="0" fontId="8" fillId="2" borderId="0" xfId="1" applyFont="1" applyFill="1"/>
    <xf numFmtId="0" fontId="7" fillId="2" borderId="0" xfId="1" applyFont="1" applyFill="1"/>
    <xf numFmtId="0" fontId="36" fillId="2" borderId="0" xfId="0" applyFont="1" applyFill="1" applyAlignment="1">
      <alignment horizontal="right" vertical="center"/>
    </xf>
    <xf numFmtId="0" fontId="37" fillId="2" borderId="0" xfId="0" applyFont="1" applyFill="1" applyAlignment="1">
      <alignment horizontal="right" vertical="center"/>
    </xf>
    <xf numFmtId="0" fontId="2" fillId="2" borderId="0" xfId="0" applyFont="1" applyFill="1" applyAlignment="1">
      <alignment vertical="center"/>
    </xf>
    <xf numFmtId="0" fontId="37" fillId="2" borderId="0" xfId="0" applyFont="1" applyFill="1" applyAlignment="1">
      <alignment vertical="center"/>
    </xf>
    <xf numFmtId="0" fontId="36" fillId="2" borderId="0" xfId="0" applyFont="1" applyFill="1" applyAlignment="1">
      <alignment vertical="center"/>
    </xf>
    <xf numFmtId="0" fontId="7" fillId="2" borderId="0" xfId="1" applyFont="1" applyFill="1" applyAlignment="1">
      <alignment vertical="center"/>
    </xf>
    <xf numFmtId="0" fontId="9" fillId="2" borderId="0" xfId="1" applyFont="1" applyFill="1"/>
    <xf numFmtId="0" fontId="9" fillId="2" borderId="0" xfId="1" applyFont="1" applyFill="1" applyAlignment="1">
      <alignment vertical="center"/>
    </xf>
    <xf numFmtId="0" fontId="39" fillId="2" borderId="0" xfId="0" applyFont="1" applyFill="1" applyAlignment="1">
      <alignment vertical="center"/>
    </xf>
    <xf numFmtId="0" fontId="2" fillId="2" borderId="0" xfId="162" applyFont="1" applyFill="1" applyAlignment="1">
      <alignment vertical="center"/>
    </xf>
    <xf numFmtId="0" fontId="40" fillId="2" borderId="0" xfId="2" applyFont="1" applyFill="1" applyAlignment="1">
      <alignment vertical="center"/>
    </xf>
    <xf numFmtId="0" fontId="41" fillId="2" borderId="0" xfId="0" applyFont="1" applyFill="1" applyAlignment="1">
      <alignment vertical="center"/>
    </xf>
    <xf numFmtId="0" fontId="42" fillId="2" borderId="0" xfId="2" applyFill="1" applyAlignment="1">
      <alignment vertical="center"/>
    </xf>
    <xf numFmtId="0" fontId="43" fillId="2" borderId="0" xfId="0" applyFont="1" applyFill="1" applyAlignment="1">
      <alignment vertical="center"/>
    </xf>
    <xf numFmtId="0" fontId="36" fillId="2" borderId="0" xfId="0" applyFont="1" applyFill="1" applyAlignment="1">
      <alignment horizontal="left" vertical="center" indent="1"/>
    </xf>
    <xf numFmtId="169" fontId="2" fillId="2" borderId="0" xfId="0" applyNumberFormat="1" applyFont="1" applyFill="1" applyAlignment="1">
      <alignment vertical="center"/>
    </xf>
    <xf numFmtId="3" fontId="36" fillId="2" borderId="0" xfId="0" applyNumberFormat="1" applyFont="1" applyFill="1" applyAlignment="1">
      <alignment vertical="center"/>
    </xf>
    <xf numFmtId="0" fontId="3" fillId="2" borderId="0" xfId="0" applyFont="1" applyFill="1" applyAlignment="1">
      <alignment vertical="center"/>
    </xf>
    <xf numFmtId="0" fontId="46" fillId="2" borderId="0" xfId="0" applyFont="1" applyFill="1" applyAlignment="1">
      <alignment vertical="center"/>
    </xf>
    <xf numFmtId="0" fontId="46" fillId="0" borderId="0" xfId="0" applyFont="1" applyAlignment="1">
      <alignment vertical="center"/>
    </xf>
    <xf numFmtId="0" fontId="39" fillId="0" borderId="0" xfId="0" applyFont="1" applyAlignment="1">
      <alignment vertical="center"/>
    </xf>
    <xf numFmtId="0" fontId="36" fillId="0" borderId="0" xfId="0" applyFont="1" applyAlignment="1">
      <alignment vertical="center"/>
    </xf>
    <xf numFmtId="0" fontId="36" fillId="0" borderId="0" xfId="0" applyFont="1" applyAlignment="1">
      <alignment horizontal="left" vertical="center"/>
    </xf>
    <xf numFmtId="0" fontId="2" fillId="2" borderId="0" xfId="0" applyFont="1" applyFill="1" applyAlignment="1">
      <alignment horizontal="right" vertical="center"/>
    </xf>
    <xf numFmtId="0" fontId="36" fillId="2" borderId="0" xfId="0" quotePrefix="1" applyFont="1" applyFill="1" applyAlignment="1">
      <alignment horizontal="left" vertical="center" indent="1"/>
    </xf>
    <xf numFmtId="167" fontId="36" fillId="2" borderId="0" xfId="3" applyNumberFormat="1" applyFont="1" applyFill="1" applyBorder="1" applyAlignment="1">
      <alignment horizontal="right" vertical="center"/>
    </xf>
    <xf numFmtId="1" fontId="36" fillId="2" borderId="0" xfId="3" applyNumberFormat="1" applyFont="1" applyFill="1" applyBorder="1" applyAlignment="1">
      <alignment vertical="center"/>
    </xf>
    <xf numFmtId="1" fontId="9" fillId="2" borderId="0" xfId="3" applyNumberFormat="1" applyFont="1" applyFill="1" applyBorder="1" applyAlignment="1">
      <alignment vertical="center"/>
    </xf>
    <xf numFmtId="3" fontId="43" fillId="2" borderId="0" xfId="0" applyNumberFormat="1" applyFont="1" applyFill="1" applyAlignment="1">
      <alignment vertical="center"/>
    </xf>
    <xf numFmtId="9" fontId="36" fillId="2" borderId="0" xfId="3" applyFont="1" applyFill="1" applyBorder="1" applyAlignment="1">
      <alignment horizontal="right" vertical="center"/>
    </xf>
    <xf numFmtId="3" fontId="36" fillId="2" borderId="0" xfId="0" applyNumberFormat="1" applyFont="1" applyFill="1" applyAlignment="1">
      <alignment horizontal="right" vertical="center"/>
    </xf>
    <xf numFmtId="0" fontId="39" fillId="2" borderId="0" xfId="0" applyFont="1" applyFill="1" applyAlignment="1">
      <alignment horizontal="right" vertical="center"/>
    </xf>
    <xf numFmtId="0" fontId="3" fillId="2" borderId="0" xfId="0" applyFont="1" applyFill="1" applyAlignment="1">
      <alignment horizontal="right" vertical="center"/>
    </xf>
    <xf numFmtId="0" fontId="47" fillId="2" borderId="0" xfId="0" applyFont="1" applyFill="1" applyAlignment="1">
      <alignment vertical="center"/>
    </xf>
    <xf numFmtId="0" fontId="49" fillId="2" borderId="0" xfId="0" applyFont="1" applyFill="1" applyAlignment="1">
      <alignment horizontal="right" vertical="center" wrapText="1"/>
    </xf>
    <xf numFmtId="169" fontId="43" fillId="2" borderId="0" xfId="0" applyNumberFormat="1" applyFont="1" applyFill="1" applyAlignment="1">
      <alignment horizontal="right" vertical="center"/>
    </xf>
    <xf numFmtId="3" fontId="36" fillId="2" borderId="0" xfId="3" applyNumberFormat="1" applyFont="1" applyFill="1" applyBorder="1" applyAlignment="1">
      <alignment vertical="center"/>
    </xf>
    <xf numFmtId="167" fontId="36" fillId="2" borderId="0" xfId="3" applyNumberFormat="1" applyFont="1" applyFill="1" applyBorder="1" applyAlignment="1">
      <alignment vertical="center"/>
    </xf>
    <xf numFmtId="169" fontId="43" fillId="2" borderId="0" xfId="0" applyNumberFormat="1" applyFont="1" applyFill="1" applyAlignment="1">
      <alignment vertical="center"/>
    </xf>
    <xf numFmtId="9" fontId="36" fillId="2" borderId="0" xfId="3" applyFont="1" applyFill="1" applyAlignment="1">
      <alignment vertical="center"/>
    </xf>
    <xf numFmtId="167" fontId="2" fillId="2" borderId="0" xfId="3" applyNumberFormat="1" applyFont="1" applyFill="1" applyAlignment="1">
      <alignment vertical="center"/>
    </xf>
    <xf numFmtId="0" fontId="36" fillId="2" borderId="0" xfId="0" applyFont="1" applyFill="1" applyAlignment="1">
      <alignment vertical="center" wrapText="1"/>
    </xf>
    <xf numFmtId="0" fontId="50" fillId="2" borderId="0" xfId="0" applyFont="1" applyFill="1" applyAlignment="1">
      <alignment vertical="center"/>
    </xf>
    <xf numFmtId="167" fontId="36" fillId="2" borderId="0" xfId="3" applyNumberFormat="1" applyFont="1" applyFill="1" applyAlignment="1">
      <alignment vertical="center"/>
    </xf>
    <xf numFmtId="0" fontId="36" fillId="2" borderId="0" xfId="0" applyFont="1" applyFill="1" applyAlignment="1">
      <alignment horizontal="left" vertical="center"/>
    </xf>
    <xf numFmtId="2" fontId="36" fillId="2" borderId="0" xfId="3" applyNumberFormat="1" applyFont="1" applyFill="1" applyBorder="1" applyAlignment="1">
      <alignment vertical="center"/>
    </xf>
    <xf numFmtId="169" fontId="36" fillId="2" borderId="0" xfId="0" applyNumberFormat="1" applyFont="1" applyFill="1" applyAlignment="1">
      <alignment vertical="center"/>
    </xf>
    <xf numFmtId="0" fontId="36" fillId="2" borderId="1" xfId="1" applyFont="1" applyFill="1" applyBorder="1" applyAlignment="1">
      <alignment vertical="center"/>
    </xf>
    <xf numFmtId="0" fontId="36" fillId="2" borderId="0" xfId="0" applyFont="1" applyFill="1"/>
    <xf numFmtId="0" fontId="2" fillId="2" borderId="0" xfId="0" applyFont="1" applyFill="1" applyAlignment="1">
      <alignment horizontal="left" vertical="center" indent="1"/>
    </xf>
    <xf numFmtId="166" fontId="36" fillId="2" borderId="0" xfId="0" applyNumberFormat="1" applyFont="1" applyFill="1"/>
    <xf numFmtId="0" fontId="46" fillId="2" borderId="0" xfId="0" applyFont="1" applyFill="1"/>
    <xf numFmtId="0" fontId="36" fillId="2" borderId="0" xfId="1" applyFont="1" applyFill="1" applyAlignment="1">
      <alignment vertical="center"/>
    </xf>
    <xf numFmtId="0" fontId="46" fillId="2" borderId="0" xfId="1" applyFont="1" applyFill="1" applyAlignment="1">
      <alignment vertical="center"/>
    </xf>
    <xf numFmtId="0" fontId="39" fillId="2" borderId="0" xfId="1" applyFont="1" applyFill="1"/>
    <xf numFmtId="0" fontId="39" fillId="2" borderId="0" xfId="1" applyFont="1" applyFill="1" applyAlignment="1">
      <alignment vertical="center"/>
    </xf>
    <xf numFmtId="0" fontId="36" fillId="2" borderId="0" xfId="1" applyFont="1" applyFill="1"/>
    <xf numFmtId="167" fontId="2" fillId="2" borderId="0" xfId="3" applyNumberFormat="1" applyFont="1" applyFill="1" applyBorder="1" applyAlignment="1">
      <alignment vertical="center"/>
    </xf>
    <xf numFmtId="9" fontId="36" fillId="2" borderId="0" xfId="1" applyNumberFormat="1" applyFont="1" applyFill="1" applyAlignment="1">
      <alignment vertical="center"/>
    </xf>
    <xf numFmtId="164" fontId="36" fillId="2" borderId="0" xfId="161" applyFont="1" applyFill="1" applyAlignment="1">
      <alignment vertical="center"/>
    </xf>
    <xf numFmtId="0" fontId="36" fillId="2" borderId="0" xfId="0" applyFont="1" applyFill="1" applyAlignment="1">
      <alignment horizontal="center" vertical="center"/>
    </xf>
    <xf numFmtId="0" fontId="36" fillId="3" borderId="0" xfId="0" applyFont="1" applyFill="1" applyAlignment="1">
      <alignment horizontal="left" vertical="center" indent="1"/>
    </xf>
    <xf numFmtId="9" fontId="36" fillId="2" borderId="0" xfId="3" applyFont="1" applyFill="1" applyAlignment="1">
      <alignment horizontal="right" vertical="center"/>
    </xf>
    <xf numFmtId="9" fontId="36" fillId="2" borderId="0" xfId="3" applyFont="1" applyFill="1" applyBorder="1" applyAlignment="1">
      <alignment vertical="center"/>
    </xf>
    <xf numFmtId="0" fontId="39" fillId="2" borderId="0" xfId="0" applyFont="1" applyFill="1" applyAlignment="1">
      <alignment horizontal="center" vertical="center"/>
    </xf>
    <xf numFmtId="167" fontId="36" fillId="2" borderId="0" xfId="3" applyNumberFormat="1" applyFont="1" applyFill="1" applyAlignment="1">
      <alignment horizontal="center" vertical="center"/>
    </xf>
    <xf numFmtId="3" fontId="2" fillId="2" borderId="0" xfId="0" applyNumberFormat="1" applyFont="1" applyFill="1" applyAlignment="1">
      <alignment vertical="center"/>
    </xf>
    <xf numFmtId="0" fontId="3" fillId="0" borderId="0" xfId="0" applyFont="1" applyAlignment="1">
      <alignment vertical="center"/>
    </xf>
    <xf numFmtId="167" fontId="9" fillId="2" borderId="0" xfId="3" applyNumberFormat="1" applyFont="1" applyFill="1" applyBorder="1" applyAlignment="1">
      <alignment vertical="center"/>
    </xf>
    <xf numFmtId="9" fontId="9" fillId="2" borderId="0" xfId="3" applyFont="1" applyFill="1" applyBorder="1" applyAlignment="1">
      <alignment vertical="center"/>
    </xf>
    <xf numFmtId="0" fontId="55" fillId="2" borderId="0" xfId="0" applyFont="1" applyFill="1"/>
    <xf numFmtId="166" fontId="43" fillId="2" borderId="0" xfId="0" applyNumberFormat="1" applyFont="1" applyFill="1" applyAlignment="1">
      <alignment vertical="center"/>
    </xf>
    <xf numFmtId="0" fontId="55" fillId="0" borderId="0" xfId="0" applyFont="1"/>
    <xf numFmtId="167" fontId="43" fillId="2" borderId="0" xfId="3" applyNumberFormat="1" applyFont="1" applyFill="1" applyAlignment="1">
      <alignment vertical="center"/>
    </xf>
    <xf numFmtId="3" fontId="36" fillId="35" borderId="0" xfId="0" applyNumberFormat="1" applyFont="1" applyFill="1" applyAlignment="1">
      <alignment horizontal="right" vertical="center"/>
    </xf>
    <xf numFmtId="0" fontId="57" fillId="0" borderId="0" xfId="0" applyFont="1"/>
    <xf numFmtId="0" fontId="36" fillId="0" borderId="0" xfId="0" applyFont="1"/>
    <xf numFmtId="0" fontId="46" fillId="0" borderId="0" xfId="0" applyFont="1"/>
    <xf numFmtId="0" fontId="44" fillId="2" borderId="0" xfId="0" applyFont="1" applyFill="1" applyAlignment="1">
      <alignment vertical="center"/>
    </xf>
    <xf numFmtId="0" fontId="58" fillId="2" borderId="0" xfId="0" applyFont="1" applyFill="1" applyAlignment="1">
      <alignment vertical="center"/>
    </xf>
    <xf numFmtId="3" fontId="58" fillId="2" borderId="0" xfId="0" applyNumberFormat="1" applyFont="1" applyFill="1" applyAlignment="1">
      <alignment vertical="center"/>
    </xf>
    <xf numFmtId="0" fontId="43" fillId="2" borderId="0" xfId="0" applyFont="1" applyFill="1" applyAlignment="1">
      <alignment vertical="center" wrapText="1"/>
    </xf>
    <xf numFmtId="3" fontId="37" fillId="2" borderId="0" xfId="0" applyNumberFormat="1" applyFont="1" applyFill="1" applyAlignment="1">
      <alignment horizontal="right" vertical="center"/>
    </xf>
    <xf numFmtId="0" fontId="43" fillId="2" borderId="0" xfId="1" applyFont="1" applyFill="1"/>
    <xf numFmtId="9" fontId="36" fillId="2" borderId="0" xfId="0" applyNumberFormat="1" applyFont="1" applyFill="1" applyAlignment="1">
      <alignment vertical="center"/>
    </xf>
    <xf numFmtId="166" fontId="36" fillId="2" borderId="0" xfId="1" applyNumberFormat="1" applyFont="1" applyFill="1" applyAlignment="1">
      <alignment vertical="center"/>
    </xf>
    <xf numFmtId="168" fontId="36" fillId="2" borderId="0" xfId="161" applyNumberFormat="1" applyFont="1" applyFill="1"/>
    <xf numFmtId="167" fontId="2" fillId="2" borderId="0" xfId="3" applyNumberFormat="1" applyFont="1" applyFill="1" applyBorder="1" applyAlignment="1">
      <alignment horizontal="right" vertical="center"/>
    </xf>
    <xf numFmtId="0" fontId="60" fillId="2" borderId="0" xfId="0" applyFont="1" applyFill="1" applyAlignment="1">
      <alignment vertical="center"/>
    </xf>
    <xf numFmtId="0" fontId="55" fillId="2" borderId="0" xfId="0" applyFont="1" applyFill="1" applyAlignment="1">
      <alignment vertical="center"/>
    </xf>
    <xf numFmtId="0" fontId="36" fillId="36" borderId="0" xfId="0" applyFont="1" applyFill="1" applyAlignment="1">
      <alignment vertical="center"/>
    </xf>
    <xf numFmtId="0" fontId="45" fillId="37" borderId="0" xfId="0" applyFont="1" applyFill="1" applyAlignment="1">
      <alignment horizontal="right" vertical="center" wrapText="1"/>
    </xf>
    <xf numFmtId="0" fontId="36" fillId="36" borderId="17" xfId="0" applyFont="1" applyFill="1" applyBorder="1" applyAlignment="1">
      <alignment vertical="center"/>
    </xf>
    <xf numFmtId="0" fontId="45" fillId="37" borderId="0" xfId="0" applyFont="1" applyFill="1" applyAlignment="1">
      <alignment vertical="center"/>
    </xf>
    <xf numFmtId="0" fontId="45" fillId="37" borderId="0" xfId="0" applyFont="1" applyFill="1" applyAlignment="1">
      <alignment horizontal="right" vertical="center"/>
    </xf>
    <xf numFmtId="167" fontId="45" fillId="37" borderId="0" xfId="3" applyNumberFormat="1" applyFont="1" applyFill="1" applyBorder="1" applyAlignment="1">
      <alignment horizontal="right" vertical="center"/>
    </xf>
    <xf numFmtId="0" fontId="2" fillId="36" borderId="0" xfId="0" applyFont="1" applyFill="1" applyAlignment="1">
      <alignment vertical="center"/>
    </xf>
    <xf numFmtId="0" fontId="2" fillId="36" borderId="17" xfId="0" applyFont="1" applyFill="1" applyBorder="1" applyAlignment="1">
      <alignment vertical="center"/>
    </xf>
    <xf numFmtId="167" fontId="36" fillId="36" borderId="0" xfId="3" applyNumberFormat="1" applyFont="1" applyFill="1" applyBorder="1" applyAlignment="1">
      <alignment horizontal="right" vertical="center"/>
    </xf>
    <xf numFmtId="0" fontId="45" fillId="37" borderId="0" xfId="0" applyFont="1" applyFill="1" applyAlignment="1">
      <alignment horizontal="left" vertical="center" wrapText="1"/>
    </xf>
    <xf numFmtId="0" fontId="36" fillId="36" borderId="0" xfId="0" applyFont="1" applyFill="1" applyAlignment="1">
      <alignment vertical="center" wrapText="1"/>
    </xf>
    <xf numFmtId="0" fontId="11" fillId="2" borderId="0" xfId="0" applyFont="1" applyFill="1" applyAlignment="1">
      <alignment vertical="center"/>
    </xf>
    <xf numFmtId="0" fontId="12" fillId="2" borderId="0" xfId="0" applyFont="1" applyFill="1" applyAlignment="1">
      <alignment vertical="center"/>
    </xf>
    <xf numFmtId="167" fontId="45" fillId="37" borderId="0" xfId="3" applyNumberFormat="1" applyFont="1" applyFill="1" applyBorder="1" applyAlignment="1">
      <alignment vertical="center"/>
    </xf>
    <xf numFmtId="0" fontId="36" fillId="2" borderId="17" xfId="0" applyFont="1" applyFill="1" applyBorder="1" applyAlignment="1">
      <alignment vertical="center"/>
    </xf>
    <xf numFmtId="0" fontId="1" fillId="2" borderId="0" xfId="0" applyFont="1" applyFill="1" applyAlignment="1">
      <alignment vertical="center"/>
    </xf>
    <xf numFmtId="0" fontId="14" fillId="2" borderId="0" xfId="0" applyFont="1" applyFill="1" applyAlignment="1">
      <alignment vertical="center"/>
    </xf>
    <xf numFmtId="0" fontId="2" fillId="2" borderId="0" xfId="0" applyFont="1" applyFill="1" applyAlignment="1">
      <alignment horizontal="left" vertical="center"/>
    </xf>
    <xf numFmtId="0" fontId="10" fillId="2" borderId="0" xfId="0" applyFont="1" applyFill="1" applyAlignment="1">
      <alignment vertical="center"/>
    </xf>
    <xf numFmtId="167" fontId="2" fillId="36" borderId="0" xfId="3" applyNumberFormat="1" applyFont="1" applyFill="1" applyBorder="1" applyAlignment="1">
      <alignment horizontal="right" vertical="center"/>
    </xf>
    <xf numFmtId="0" fontId="56" fillId="37" borderId="0" xfId="0" applyFont="1" applyFill="1" applyAlignment="1">
      <alignment horizontal="right" vertical="center" wrapText="1"/>
    </xf>
    <xf numFmtId="0" fontId="56" fillId="37" borderId="0" xfId="0" applyFont="1" applyFill="1" applyAlignment="1">
      <alignment vertical="center"/>
    </xf>
    <xf numFmtId="3" fontId="56" fillId="37" borderId="0" xfId="0" applyNumberFormat="1" applyFont="1" applyFill="1" applyAlignment="1">
      <alignment horizontal="right" vertical="center"/>
    </xf>
    <xf numFmtId="3" fontId="36" fillId="36" borderId="0" xfId="0" applyNumberFormat="1" applyFont="1" applyFill="1" applyAlignment="1">
      <alignment horizontal="right" vertical="center"/>
    </xf>
    <xf numFmtId="3" fontId="45" fillId="38" borderId="0" xfId="0" applyNumberFormat="1" applyFont="1" applyFill="1" applyAlignment="1">
      <alignment horizontal="right" vertical="center"/>
    </xf>
    <xf numFmtId="0" fontId="51" fillId="35" borderId="0" xfId="0" applyFont="1" applyFill="1" applyAlignment="1">
      <alignment vertical="center"/>
    </xf>
    <xf numFmtId="3" fontId="9" fillId="35" borderId="0" xfId="0" applyNumberFormat="1" applyFont="1" applyFill="1" applyAlignment="1">
      <alignment horizontal="right" vertical="center"/>
    </xf>
    <xf numFmtId="0" fontId="45" fillId="37" borderId="0" xfId="0" applyFont="1" applyFill="1" applyAlignment="1">
      <alignment horizontal="left" vertical="center"/>
    </xf>
    <xf numFmtId="3" fontId="36" fillId="2" borderId="17" xfId="0" applyNumberFormat="1" applyFont="1" applyFill="1" applyBorder="1" applyAlignment="1">
      <alignment horizontal="right" vertical="center"/>
    </xf>
    <xf numFmtId="0" fontId="36" fillId="36" borderId="0" xfId="0" applyFont="1" applyFill="1" applyAlignment="1">
      <alignment horizontal="left" vertical="center"/>
    </xf>
    <xf numFmtId="3" fontId="45" fillId="37" borderId="0" xfId="0" applyNumberFormat="1" applyFont="1" applyFill="1" applyAlignment="1">
      <alignment vertical="center"/>
    </xf>
    <xf numFmtId="3" fontId="45" fillId="37" borderId="0" xfId="0" applyNumberFormat="1" applyFont="1" applyFill="1" applyAlignment="1">
      <alignment horizontal="right" vertical="center"/>
    </xf>
    <xf numFmtId="0" fontId="2" fillId="2" borderId="0" xfId="0" quotePrefix="1" applyFont="1" applyFill="1" applyAlignment="1">
      <alignment horizontal="left" vertical="center" indent="1"/>
    </xf>
    <xf numFmtId="0" fontId="2" fillId="2" borderId="0" xfId="0" quotePrefix="1" applyFont="1" applyFill="1" applyAlignment="1">
      <alignment horizontal="left" vertical="center"/>
    </xf>
    <xf numFmtId="0" fontId="45" fillId="37" borderId="14" xfId="0" applyFont="1" applyFill="1" applyBorder="1" applyAlignment="1">
      <alignment horizontal="right" vertical="center" wrapText="1"/>
    </xf>
    <xf numFmtId="3" fontId="2" fillId="2" borderId="0" xfId="0" applyNumberFormat="1" applyFont="1" applyFill="1" applyAlignment="1">
      <alignment horizontal="right" vertical="center"/>
    </xf>
    <xf numFmtId="0" fontId="61" fillId="2" borderId="0" xfId="0" applyFont="1" applyFill="1" applyAlignment="1">
      <alignment vertical="center"/>
    </xf>
    <xf numFmtId="169" fontId="45" fillId="37" borderId="0" xfId="0" applyNumberFormat="1" applyFont="1" applyFill="1" applyAlignment="1">
      <alignment vertical="center"/>
    </xf>
    <xf numFmtId="167" fontId="45" fillId="37" borderId="0" xfId="3" applyNumberFormat="1" applyFont="1" applyFill="1" applyBorder="1" applyAlignment="1">
      <alignment horizontal="right" vertical="center" wrapText="1"/>
    </xf>
    <xf numFmtId="167" fontId="2" fillId="36" borderId="0" xfId="3" applyNumberFormat="1" applyFont="1" applyFill="1" applyBorder="1" applyAlignment="1">
      <alignment vertical="center"/>
    </xf>
    <xf numFmtId="0" fontId="45" fillId="38" borderId="0" xfId="0" applyFont="1" applyFill="1" applyAlignment="1">
      <alignment horizontal="left" vertical="center"/>
    </xf>
    <xf numFmtId="169" fontId="36" fillId="36" borderId="0" xfId="0" applyNumberFormat="1" applyFont="1" applyFill="1" applyAlignment="1">
      <alignment vertical="center"/>
    </xf>
    <xf numFmtId="0" fontId="36" fillId="2" borderId="0" xfId="1" applyFont="1" applyFill="1" applyAlignment="1">
      <alignment horizontal="left" vertical="center" indent="1"/>
    </xf>
    <xf numFmtId="0" fontId="52" fillId="36" borderId="0" xfId="0" applyFont="1" applyFill="1" applyAlignment="1">
      <alignment horizontal="left" vertical="center" indent="1"/>
    </xf>
    <xf numFmtId="0" fontId="52" fillId="35" borderId="0" xfId="0" applyFont="1" applyFill="1" applyAlignment="1">
      <alignment horizontal="left" vertical="center" indent="1"/>
    </xf>
    <xf numFmtId="0" fontId="52" fillId="2" borderId="0" xfId="0" applyFont="1" applyFill="1" applyAlignment="1">
      <alignment horizontal="left" vertical="center" indent="1"/>
    </xf>
    <xf numFmtId="0" fontId="45" fillId="38" borderId="0" xfId="0" applyFont="1" applyFill="1" applyAlignment="1">
      <alignment horizontal="left" vertical="center" indent="1"/>
    </xf>
    <xf numFmtId="170" fontId="36" fillId="2" borderId="0" xfId="0" applyNumberFormat="1" applyFont="1" applyFill="1" applyAlignment="1">
      <alignment horizontal="right" vertical="center"/>
    </xf>
    <xf numFmtId="170" fontId="9" fillId="2" borderId="0" xfId="0" applyNumberFormat="1" applyFont="1" applyFill="1" applyAlignment="1">
      <alignment horizontal="right" vertical="center"/>
    </xf>
    <xf numFmtId="0" fontId="2" fillId="2" borderId="0" xfId="0" applyFont="1" applyFill="1" applyAlignment="1">
      <alignment vertical="center" wrapText="1"/>
    </xf>
    <xf numFmtId="0" fontId="2" fillId="36" borderId="0" xfId="0" applyFont="1" applyFill="1" applyAlignment="1">
      <alignment vertical="center" wrapText="1"/>
    </xf>
    <xf numFmtId="0" fontId="62" fillId="2" borderId="0" xfId="0" applyFont="1" applyFill="1" applyAlignment="1">
      <alignment vertical="center"/>
    </xf>
    <xf numFmtId="0" fontId="63" fillId="2" borderId="0" xfId="0" applyFont="1" applyFill="1" applyAlignment="1">
      <alignment vertical="center"/>
    </xf>
    <xf numFmtId="0" fontId="42" fillId="2" borderId="0" xfId="2" applyFill="1" applyBorder="1" applyAlignment="1">
      <alignment vertical="center"/>
    </xf>
    <xf numFmtId="0" fontId="42" fillId="2" borderId="0" xfId="2" applyFill="1" applyBorder="1" applyAlignment="1">
      <alignment horizontal="left" vertical="center" indent="3"/>
    </xf>
    <xf numFmtId="0" fontId="40" fillId="2" borderId="0" xfId="2" applyFont="1" applyFill="1" applyBorder="1" applyAlignment="1">
      <alignment vertical="center"/>
    </xf>
    <xf numFmtId="0" fontId="42" fillId="2" borderId="0" xfId="2" quotePrefix="1" applyFill="1" applyAlignment="1">
      <alignment horizontal="left" vertical="center" indent="3"/>
    </xf>
    <xf numFmtId="0" fontId="2" fillId="2" borderId="17" xfId="0" applyFont="1" applyFill="1" applyBorder="1" applyAlignment="1">
      <alignment vertical="center"/>
    </xf>
    <xf numFmtId="3" fontId="2" fillId="2" borderId="17" xfId="0" applyNumberFormat="1" applyFont="1" applyFill="1" applyBorder="1" applyAlignment="1">
      <alignment horizontal="right" vertical="center"/>
    </xf>
    <xf numFmtId="169" fontId="36" fillId="2" borderId="0" xfId="0" applyNumberFormat="1" applyFont="1" applyFill="1" applyAlignment="1">
      <alignment horizontal="center" vertical="center"/>
    </xf>
    <xf numFmtId="169" fontId="9" fillId="2" borderId="0" xfId="0" applyNumberFormat="1" applyFont="1" applyFill="1" applyAlignment="1">
      <alignment vertical="center"/>
    </xf>
    <xf numFmtId="169" fontId="36" fillId="2" borderId="0" xfId="0" applyNumberFormat="1" applyFont="1" applyFill="1" applyAlignment="1">
      <alignment horizontal="right" vertical="center"/>
    </xf>
    <xf numFmtId="167" fontId="36" fillId="0" borderId="0" xfId="3" applyNumberFormat="1" applyFont="1"/>
    <xf numFmtId="169" fontId="2" fillId="2" borderId="0" xfId="161" applyNumberFormat="1" applyFont="1" applyFill="1" applyBorder="1" applyAlignment="1">
      <alignment horizontal="right" vertical="center"/>
    </xf>
    <xf numFmtId="0" fontId="2" fillId="2" borderId="0" xfId="1" applyFont="1" applyFill="1" applyAlignment="1">
      <alignment vertical="center"/>
    </xf>
    <xf numFmtId="169" fontId="7" fillId="2" borderId="0" xfId="1" applyNumberFormat="1" applyFont="1" applyFill="1" applyAlignment="1">
      <alignment vertical="center"/>
    </xf>
    <xf numFmtId="0" fontId="42" fillId="36" borderId="0" xfId="2" applyFill="1" applyAlignment="1">
      <alignment vertical="center"/>
    </xf>
    <xf numFmtId="0" fontId="45" fillId="37" borderId="0" xfId="162" applyFont="1" applyFill="1" applyAlignment="1">
      <alignment vertical="center"/>
    </xf>
    <xf numFmtId="9" fontId="43" fillId="2" borderId="0" xfId="3" applyFont="1" applyFill="1" applyBorder="1" applyAlignment="1">
      <alignment vertical="center"/>
    </xf>
    <xf numFmtId="0" fontId="2" fillId="36" borderId="1" xfId="0" applyFont="1" applyFill="1" applyBorder="1" applyAlignment="1">
      <alignment vertical="center"/>
    </xf>
    <xf numFmtId="0" fontId="43" fillId="2" borderId="0" xfId="0" quotePrefix="1" applyFont="1" applyFill="1" applyAlignment="1">
      <alignment horizontal="left" vertical="center" indent="1"/>
    </xf>
    <xf numFmtId="0" fontId="64" fillId="2" borderId="0" xfId="1" applyFont="1" applyFill="1" applyAlignment="1">
      <alignment vertical="center"/>
    </xf>
    <xf numFmtId="3" fontId="2" fillId="36" borderId="0" xfId="0" applyNumberFormat="1" applyFont="1" applyFill="1" applyAlignment="1">
      <alignment horizontal="right" vertical="center"/>
    </xf>
    <xf numFmtId="3" fontId="2" fillId="36" borderId="17" xfId="0" applyNumberFormat="1" applyFont="1" applyFill="1" applyBorder="1" applyAlignment="1">
      <alignment horizontal="right" vertical="center"/>
    </xf>
    <xf numFmtId="3" fontId="2" fillId="36" borderId="0" xfId="0" applyNumberFormat="1" applyFont="1" applyFill="1" applyAlignment="1">
      <alignment vertical="center"/>
    </xf>
    <xf numFmtId="0" fontId="11" fillId="2" borderId="0" xfId="0" applyFont="1" applyFill="1" applyAlignment="1">
      <alignment horizontal="left" vertical="center"/>
    </xf>
    <xf numFmtId="0" fontId="12" fillId="2" borderId="0" xfId="0" applyFont="1" applyFill="1" applyAlignment="1">
      <alignment horizontal="left" vertical="center"/>
    </xf>
    <xf numFmtId="0" fontId="6" fillId="2" borderId="0" xfId="0" applyFont="1" applyFill="1" applyAlignment="1">
      <alignment vertical="center"/>
    </xf>
    <xf numFmtId="3" fontId="6" fillId="2" borderId="0" xfId="0" applyNumberFormat="1" applyFont="1" applyFill="1" applyAlignment="1">
      <alignment horizontal="left" vertical="center"/>
    </xf>
    <xf numFmtId="0" fontId="12" fillId="2" borderId="0" xfId="0" quotePrefix="1" applyFont="1" applyFill="1" applyAlignment="1">
      <alignment vertical="center"/>
    </xf>
    <xf numFmtId="3" fontId="6" fillId="2" borderId="0" xfId="0" quotePrefix="1" applyNumberFormat="1" applyFont="1" applyFill="1" applyAlignment="1">
      <alignment vertical="center"/>
    </xf>
    <xf numFmtId="0" fontId="6" fillId="2" borderId="0" xfId="0" quotePrefix="1" applyFont="1" applyFill="1" applyAlignment="1">
      <alignment vertical="center"/>
    </xf>
    <xf numFmtId="0" fontId="11" fillId="2" borderId="0" xfId="0" applyFont="1" applyFill="1" applyAlignment="1">
      <alignment vertical="center" wrapText="1"/>
    </xf>
    <xf numFmtId="0" fontId="35" fillId="2" borderId="0" xfId="0" applyFont="1" applyFill="1" applyAlignment="1">
      <alignment vertical="center" wrapText="1"/>
    </xf>
    <xf numFmtId="3" fontId="36" fillId="36" borderId="0" xfId="0" applyNumberFormat="1" applyFont="1" applyFill="1" applyAlignment="1">
      <alignment vertical="center"/>
    </xf>
    <xf numFmtId="0" fontId="35" fillId="2" borderId="0" xfId="0" applyFont="1" applyFill="1" applyAlignment="1">
      <alignment vertical="center"/>
    </xf>
    <xf numFmtId="0" fontId="11" fillId="2" borderId="0" xfId="0" applyFont="1" applyFill="1" applyAlignment="1">
      <alignment horizontal="right" vertical="center"/>
    </xf>
    <xf numFmtId="3" fontId="12" fillId="2" borderId="0" xfId="0" applyNumberFormat="1" applyFont="1" applyFill="1" applyAlignment="1">
      <alignment vertical="center"/>
    </xf>
    <xf numFmtId="3" fontId="12" fillId="2" borderId="0" xfId="3" applyNumberFormat="1" applyFont="1" applyFill="1" applyAlignment="1">
      <alignment vertical="center"/>
    </xf>
    <xf numFmtId="3" fontId="10" fillId="2" borderId="0" xfId="0" applyNumberFormat="1" applyFont="1" applyFill="1" applyAlignment="1">
      <alignment vertical="center"/>
    </xf>
    <xf numFmtId="3" fontId="6" fillId="2" borderId="0" xfId="0" applyNumberFormat="1" applyFont="1" applyFill="1" applyAlignment="1">
      <alignment vertical="center"/>
    </xf>
    <xf numFmtId="3" fontId="12" fillId="2" borderId="0" xfId="0" applyNumberFormat="1" applyFont="1" applyFill="1" applyAlignment="1">
      <alignment horizontal="right" vertical="center"/>
    </xf>
    <xf numFmtId="3" fontId="6" fillId="2" borderId="0" xfId="0" applyNumberFormat="1" applyFont="1" applyFill="1" applyAlignment="1">
      <alignment horizontal="right" vertical="center"/>
    </xf>
    <xf numFmtId="3" fontId="54" fillId="2" borderId="0" xfId="0" applyNumberFormat="1" applyFont="1" applyFill="1" applyAlignment="1">
      <alignment horizontal="right" vertical="center"/>
    </xf>
    <xf numFmtId="3" fontId="2" fillId="3" borderId="0" xfId="0" applyNumberFormat="1" applyFont="1" applyFill="1" applyAlignment="1">
      <alignment horizontal="right" vertical="center"/>
    </xf>
    <xf numFmtId="3" fontId="54" fillId="3" borderId="0" xfId="0" applyNumberFormat="1" applyFont="1" applyFill="1" applyAlignment="1">
      <alignment horizontal="right" vertical="center"/>
    </xf>
    <xf numFmtId="0" fontId="6" fillId="2" borderId="0" xfId="0" quotePrefix="1" applyFont="1" applyFill="1" applyAlignment="1">
      <alignment horizontal="left" vertical="center"/>
    </xf>
    <xf numFmtId="169" fontId="45" fillId="37" borderId="0" xfId="164" applyNumberFormat="1" applyFont="1" applyFill="1" applyBorder="1" applyAlignment="1">
      <alignment vertical="center"/>
    </xf>
    <xf numFmtId="0" fontId="36" fillId="0" borderId="0" xfId="0" applyFont="1" applyAlignment="1">
      <alignment vertical="center" wrapText="1"/>
    </xf>
    <xf numFmtId="0" fontId="39" fillId="2" borderId="0" xfId="0" applyFont="1" applyFill="1" applyAlignment="1">
      <alignment horizontal="left" vertical="center"/>
    </xf>
    <xf numFmtId="169" fontId="45" fillId="37" borderId="0" xfId="164" applyNumberFormat="1" applyFont="1" applyFill="1" applyBorder="1" applyAlignment="1">
      <alignment horizontal="right" vertical="center" wrapText="1"/>
    </xf>
    <xf numFmtId="169" fontId="2" fillId="36" borderId="0" xfId="164" applyNumberFormat="1" applyFont="1" applyFill="1" applyBorder="1" applyAlignment="1">
      <alignment vertical="center"/>
    </xf>
    <xf numFmtId="169" fontId="2" fillId="2" borderId="0" xfId="164" applyNumberFormat="1" applyFont="1" applyFill="1" applyBorder="1" applyAlignment="1">
      <alignment vertical="center"/>
    </xf>
    <xf numFmtId="169" fontId="2" fillId="2" borderId="0" xfId="164" applyNumberFormat="1" applyFont="1" applyFill="1" applyBorder="1" applyAlignment="1">
      <alignment horizontal="right" vertical="center"/>
    </xf>
    <xf numFmtId="0" fontId="37" fillId="2" borderId="0" xfId="1" applyFont="1" applyFill="1" applyAlignment="1">
      <alignment vertical="center"/>
    </xf>
    <xf numFmtId="0" fontId="2" fillId="2" borderId="0" xfId="1" applyFont="1" applyFill="1"/>
    <xf numFmtId="0" fontId="36" fillId="36" borderId="0" xfId="1" applyFont="1" applyFill="1" applyAlignment="1">
      <alignment vertical="center"/>
    </xf>
    <xf numFmtId="3" fontId="36" fillId="36" borderId="0" xfId="0" applyNumberFormat="1" applyFont="1" applyFill="1" applyAlignment="1">
      <alignment horizontal="left" vertical="center"/>
    </xf>
    <xf numFmtId="0" fontId="2" fillId="2" borderId="0" xfId="0" applyFont="1" applyFill="1"/>
    <xf numFmtId="169" fontId="36" fillId="2" borderId="0" xfId="0" applyNumberFormat="1" applyFont="1" applyFill="1"/>
    <xf numFmtId="0" fontId="2" fillId="36" borderId="0" xfId="0" applyFont="1" applyFill="1" applyAlignment="1">
      <alignment horizontal="left" vertical="center"/>
    </xf>
    <xf numFmtId="169" fontId="2" fillId="36" borderId="0" xfId="164" applyNumberFormat="1" applyFont="1" applyFill="1" applyBorder="1" applyAlignment="1">
      <alignment horizontal="right" vertical="center"/>
    </xf>
    <xf numFmtId="169" fontId="2" fillId="2" borderId="0" xfId="164" applyNumberFormat="1" applyFont="1" applyFill="1" applyAlignment="1">
      <alignment vertical="center"/>
    </xf>
    <xf numFmtId="3" fontId="2" fillId="2" borderId="0" xfId="164" applyNumberFormat="1" applyFont="1" applyFill="1" applyBorder="1" applyAlignment="1">
      <alignment vertical="center"/>
    </xf>
    <xf numFmtId="3" fontId="2" fillId="36" borderId="0" xfId="164" applyNumberFormat="1" applyFont="1" applyFill="1" applyBorder="1" applyAlignment="1">
      <alignment vertical="center"/>
    </xf>
    <xf numFmtId="3" fontId="45" fillId="37" borderId="0" xfId="164" applyNumberFormat="1" applyFont="1" applyFill="1" applyBorder="1" applyAlignment="1">
      <alignment horizontal="right" vertical="center" wrapText="1"/>
    </xf>
    <xf numFmtId="9" fontId="2" fillId="36" borderId="0" xfId="3" applyFont="1" applyFill="1" applyBorder="1" applyAlignment="1">
      <alignment vertical="center"/>
    </xf>
    <xf numFmtId="9" fontId="45" fillId="37" borderId="0" xfId="3" applyFont="1" applyFill="1" applyBorder="1" applyAlignment="1">
      <alignment horizontal="right" vertical="center" wrapText="1"/>
    </xf>
    <xf numFmtId="166" fontId="2" fillId="2" borderId="0" xfId="1" applyNumberFormat="1" applyFont="1" applyFill="1" applyAlignment="1">
      <alignment vertical="center"/>
    </xf>
    <xf numFmtId="166" fontId="2" fillId="36" borderId="0" xfId="0" applyNumberFormat="1" applyFont="1" applyFill="1" applyAlignment="1">
      <alignment horizontal="right" vertical="center"/>
    </xf>
    <xf numFmtId="166" fontId="2" fillId="36" borderId="0" xfId="1" applyNumberFormat="1" applyFont="1" applyFill="1" applyAlignment="1">
      <alignment vertical="center"/>
    </xf>
    <xf numFmtId="166" fontId="2" fillId="2" borderId="1" xfId="1" applyNumberFormat="1" applyFont="1" applyFill="1" applyBorder="1" applyAlignment="1">
      <alignment vertical="center"/>
    </xf>
    <xf numFmtId="0" fontId="66" fillId="2" borderId="0" xfId="2" applyFont="1" applyFill="1" applyAlignment="1">
      <alignment vertical="center"/>
    </xf>
    <xf numFmtId="0" fontId="37" fillId="37" borderId="0" xfId="0" applyFont="1" applyFill="1" applyAlignment="1">
      <alignment horizontal="right" vertical="center" wrapText="1"/>
    </xf>
    <xf numFmtId="9" fontId="2" fillId="2" borderId="0" xfId="3" applyFont="1" applyFill="1" applyAlignment="1">
      <alignment horizontal="left" vertical="center"/>
    </xf>
    <xf numFmtId="0" fontId="2" fillId="36" borderId="17" xfId="0" applyFont="1" applyFill="1" applyBorder="1" applyAlignment="1">
      <alignment vertical="center" wrapText="1"/>
    </xf>
    <xf numFmtId="169" fontId="45" fillId="37" borderId="0" xfId="164" applyNumberFormat="1" applyFont="1" applyFill="1" applyAlignment="1">
      <alignment vertical="center"/>
    </xf>
    <xf numFmtId="169" fontId="2" fillId="36" borderId="0" xfId="0" applyNumberFormat="1" applyFont="1" applyFill="1" applyAlignment="1">
      <alignment vertical="center"/>
    </xf>
    <xf numFmtId="169" fontId="2" fillId="2" borderId="0" xfId="0" applyNumberFormat="1" applyFont="1" applyFill="1" applyAlignment="1">
      <alignment horizontal="right" vertical="center"/>
    </xf>
    <xf numFmtId="169" fontId="45" fillId="37" borderId="0" xfId="0" applyNumberFormat="1" applyFont="1" applyFill="1" applyAlignment="1">
      <alignment horizontal="right" vertical="center" wrapText="1"/>
    </xf>
    <xf numFmtId="3" fontId="36" fillId="2" borderId="0" xfId="1" applyNumberFormat="1" applyFont="1" applyFill="1" applyAlignment="1">
      <alignment vertical="center"/>
    </xf>
    <xf numFmtId="0" fontId="38" fillId="2" borderId="0" xfId="1" applyFont="1" applyFill="1" applyAlignment="1">
      <alignment vertical="center" wrapText="1"/>
    </xf>
    <xf numFmtId="3" fontId="7" fillId="2" borderId="0" xfId="0" applyNumberFormat="1" applyFont="1" applyFill="1" applyAlignment="1">
      <alignment vertical="center"/>
    </xf>
    <xf numFmtId="168" fontId="67" fillId="0" borderId="0" xfId="0" applyNumberFormat="1" applyFont="1"/>
    <xf numFmtId="169" fontId="36" fillId="2" borderId="0" xfId="1" applyNumberFormat="1" applyFont="1" applyFill="1" applyAlignment="1">
      <alignment vertical="center"/>
    </xf>
    <xf numFmtId="169" fontId="45" fillId="37" borderId="0" xfId="0" applyNumberFormat="1" applyFont="1" applyFill="1" applyAlignment="1">
      <alignment horizontal="right" vertical="center"/>
    </xf>
    <xf numFmtId="1" fontId="36" fillId="2" borderId="0" xfId="1" applyNumberFormat="1" applyFont="1" applyFill="1" applyAlignment="1">
      <alignment vertical="center"/>
    </xf>
    <xf numFmtId="0" fontId="45" fillId="37" borderId="0" xfId="1" applyFont="1" applyFill="1" applyAlignment="1">
      <alignment vertical="center"/>
    </xf>
    <xf numFmtId="0" fontId="45" fillId="37" borderId="0" xfId="1" applyFont="1" applyFill="1" applyAlignment="1">
      <alignment horizontal="right" vertical="center"/>
    </xf>
    <xf numFmtId="0" fontId="3" fillId="2" borderId="0" xfId="1" applyFont="1" applyFill="1" applyAlignment="1">
      <alignment vertical="center"/>
    </xf>
    <xf numFmtId="3" fontId="2" fillId="2" borderId="0" xfId="1" applyNumberFormat="1" applyFont="1" applyFill="1" applyAlignment="1">
      <alignment vertical="center"/>
    </xf>
    <xf numFmtId="3" fontId="2" fillId="2" borderId="0" xfId="1" applyNumberFormat="1" applyFont="1" applyFill="1" applyAlignment="1">
      <alignment horizontal="right" vertical="center"/>
    </xf>
    <xf numFmtId="3" fontId="2" fillId="3" borderId="0" xfId="0" applyNumberFormat="1" applyFont="1" applyFill="1" applyAlignment="1">
      <alignment vertical="center"/>
    </xf>
    <xf numFmtId="169" fontId="2" fillId="2" borderId="0" xfId="161" applyNumberFormat="1" applyFont="1" applyFill="1" applyBorder="1" applyAlignment="1">
      <alignment horizontal="right" vertical="center" wrapText="1"/>
    </xf>
    <xf numFmtId="165" fontId="2" fillId="2" borderId="0" xfId="161" applyNumberFormat="1" applyFont="1" applyFill="1" applyBorder="1" applyAlignment="1">
      <alignment horizontal="right" vertical="center"/>
    </xf>
    <xf numFmtId="165" fontId="2" fillId="2" borderId="0" xfId="161" applyNumberFormat="1" applyFont="1" applyFill="1" applyBorder="1" applyAlignment="1">
      <alignment horizontal="right" vertical="center" wrapText="1"/>
    </xf>
    <xf numFmtId="165" fontId="2" fillId="36" borderId="0" xfId="0" applyNumberFormat="1" applyFont="1" applyFill="1" applyAlignment="1">
      <alignment horizontal="right" vertical="center"/>
    </xf>
    <xf numFmtId="165" fontId="2" fillId="36" borderId="0" xfId="0" applyNumberFormat="1" applyFont="1" applyFill="1" applyAlignment="1">
      <alignment vertical="center"/>
    </xf>
    <xf numFmtId="0" fontId="2" fillId="2" borderId="1" xfId="1" applyFont="1" applyFill="1" applyBorder="1" applyAlignment="1">
      <alignment vertical="center"/>
    </xf>
    <xf numFmtId="169" fontId="2" fillId="2" borderId="1" xfId="161" applyNumberFormat="1" applyFont="1" applyFill="1" applyBorder="1" applyAlignment="1">
      <alignment horizontal="right" vertical="center"/>
    </xf>
    <xf numFmtId="0" fontId="2" fillId="2" borderId="0" xfId="0" applyFont="1" applyFill="1" applyAlignment="1">
      <alignment horizontal="left" vertical="center" indent="2"/>
    </xf>
    <xf numFmtId="0" fontId="2" fillId="36" borderId="1" xfId="1" applyFont="1" applyFill="1" applyBorder="1" applyAlignment="1">
      <alignment vertical="center"/>
    </xf>
    <xf numFmtId="169" fontId="2" fillId="36" borderId="1" xfId="161" applyNumberFormat="1" applyFont="1" applyFill="1" applyBorder="1" applyAlignment="1">
      <alignment horizontal="right" vertical="center"/>
    </xf>
    <xf numFmtId="0" fontId="0" fillId="2" borderId="0" xfId="0" applyFill="1"/>
    <xf numFmtId="0" fontId="45" fillId="2" borderId="0" xfId="0" applyFont="1" applyFill="1" applyAlignment="1">
      <alignment horizontal="right" vertical="center" wrapText="1"/>
    </xf>
    <xf numFmtId="0" fontId="45" fillId="38" borderId="0" xfId="0" applyFont="1" applyFill="1" applyAlignment="1">
      <alignment vertical="center"/>
    </xf>
    <xf numFmtId="1" fontId="36" fillId="2" borderId="0" xfId="0" applyNumberFormat="1" applyFont="1" applyFill="1" applyAlignment="1">
      <alignment vertical="center"/>
    </xf>
    <xf numFmtId="1" fontId="9" fillId="2" borderId="0" xfId="0" applyNumberFormat="1" applyFont="1" applyFill="1" applyAlignment="1">
      <alignment vertical="center"/>
    </xf>
    <xf numFmtId="0" fontId="45" fillId="2" borderId="0" xfId="0" applyFont="1" applyFill="1" applyAlignment="1">
      <alignment horizontal="center" vertical="center" wrapText="1"/>
    </xf>
    <xf numFmtId="0" fontId="37" fillId="36" borderId="0" xfId="0" applyFont="1" applyFill="1" applyAlignment="1">
      <alignment vertical="center"/>
    </xf>
    <xf numFmtId="166" fontId="9" fillId="2" borderId="0" xfId="0" applyNumberFormat="1" applyFont="1" applyFill="1" applyAlignment="1">
      <alignment vertical="center"/>
    </xf>
    <xf numFmtId="0" fontId="9" fillId="36" borderId="0" xfId="0" applyFont="1" applyFill="1" applyAlignment="1">
      <alignment vertical="center"/>
    </xf>
    <xf numFmtId="3" fontId="37" fillId="36" borderId="0" xfId="0" applyNumberFormat="1" applyFont="1" applyFill="1" applyAlignment="1">
      <alignment horizontal="right" vertical="center"/>
    </xf>
    <xf numFmtId="0" fontId="36" fillId="36" borderId="0" xfId="0" applyFont="1" applyFill="1" applyAlignment="1">
      <alignment horizontal="left" vertical="center" indent="1"/>
    </xf>
    <xf numFmtId="0" fontId="2" fillId="36" borderId="0" xfId="0" applyFont="1" applyFill="1" applyAlignment="1">
      <alignment horizontal="left" vertical="center" indent="1"/>
    </xf>
    <xf numFmtId="0" fontId="49" fillId="2" borderId="0" xfId="0" applyFont="1" applyFill="1" applyAlignment="1">
      <alignment vertical="center"/>
    </xf>
    <xf numFmtId="0" fontId="6" fillId="2" borderId="0" xfId="0" applyFont="1" applyFill="1" applyAlignment="1">
      <alignment horizontal="left" vertical="center"/>
    </xf>
    <xf numFmtId="0" fontId="35" fillId="2" borderId="0" xfId="0" applyFont="1" applyFill="1" applyAlignment="1">
      <alignment horizontal="left" vertical="center"/>
    </xf>
    <xf numFmtId="0" fontId="12" fillId="2" borderId="0" xfId="0" quotePrefix="1" applyFont="1" applyFill="1" applyAlignment="1">
      <alignment horizontal="left" vertical="center"/>
    </xf>
    <xf numFmtId="169" fontId="12" fillId="2" borderId="0" xfId="0" quotePrefix="1" applyNumberFormat="1" applyFont="1" applyFill="1" applyAlignment="1">
      <alignment vertical="center"/>
    </xf>
    <xf numFmtId="0" fontId="11" fillId="2" borderId="0" xfId="0" applyFont="1" applyFill="1" applyAlignment="1">
      <alignment horizontal="left" vertical="center" wrapText="1"/>
    </xf>
    <xf numFmtId="0" fontId="35" fillId="2" borderId="0" xfId="0" applyFont="1" applyFill="1" applyAlignment="1">
      <alignment horizontal="left" vertical="center" wrapText="1"/>
    </xf>
    <xf numFmtId="169" fontId="6" fillId="2" borderId="0" xfId="0" applyNumberFormat="1" applyFont="1" applyFill="1" applyAlignment="1">
      <alignment horizontal="left" vertical="center"/>
    </xf>
    <xf numFmtId="3" fontId="54" fillId="36" borderId="0" xfId="0" applyNumberFormat="1" applyFont="1" applyFill="1" applyAlignment="1">
      <alignment horizontal="right" vertical="center"/>
    </xf>
    <xf numFmtId="0" fontId="11" fillId="2" borderId="0" xfId="0" quotePrefix="1" applyFont="1" applyFill="1" applyAlignment="1">
      <alignment horizontal="left" vertical="center"/>
    </xf>
    <xf numFmtId="0" fontId="35" fillId="2" borderId="0" xfId="0" quotePrefix="1" applyFont="1" applyFill="1" applyAlignment="1">
      <alignment vertical="center" wrapText="1"/>
    </xf>
    <xf numFmtId="3" fontId="10" fillId="2" borderId="0" xfId="0" applyNumberFormat="1" applyFont="1" applyFill="1" applyAlignment="1">
      <alignment horizontal="right" vertical="center"/>
    </xf>
    <xf numFmtId="0" fontId="12" fillId="2" borderId="0" xfId="0" applyFont="1" applyFill="1" applyAlignment="1">
      <alignment horizontal="left" vertical="center" wrapText="1"/>
    </xf>
    <xf numFmtId="3" fontId="2" fillId="2" borderId="0" xfId="0" quotePrefix="1" applyNumberFormat="1" applyFont="1" applyFill="1" applyAlignment="1">
      <alignment horizontal="right" vertical="center"/>
    </xf>
    <xf numFmtId="9" fontId="12" fillId="2" borderId="0" xfId="3" applyFont="1" applyFill="1" applyBorder="1" applyAlignment="1">
      <alignment vertical="center"/>
    </xf>
    <xf numFmtId="169" fontId="12" fillId="2" borderId="0" xfId="0" applyNumberFormat="1" applyFont="1" applyFill="1" applyAlignment="1">
      <alignment horizontal="left" vertical="center"/>
    </xf>
    <xf numFmtId="167" fontId="36" fillId="2" borderId="0" xfId="3" applyNumberFormat="1" applyFont="1" applyFill="1" applyAlignment="1">
      <alignment horizontal="right" vertical="center"/>
    </xf>
    <xf numFmtId="167" fontId="35" fillId="2" borderId="0" xfId="3" applyNumberFormat="1" applyFont="1" applyFill="1" applyAlignment="1">
      <alignment horizontal="left" vertical="center"/>
    </xf>
    <xf numFmtId="167" fontId="11" fillId="2" borderId="0" xfId="3" applyNumberFormat="1" applyFont="1" applyFill="1" applyAlignment="1">
      <alignment horizontal="left" vertical="center"/>
    </xf>
    <xf numFmtId="171" fontId="35" fillId="2" borderId="0" xfId="160" applyNumberFormat="1" applyFont="1" applyFill="1" applyAlignment="1">
      <alignment horizontal="left" vertical="center"/>
    </xf>
    <xf numFmtId="167" fontId="6" fillId="2" borderId="0" xfId="3" applyNumberFormat="1" applyFont="1" applyFill="1" applyAlignment="1">
      <alignment horizontal="left" vertical="center"/>
    </xf>
    <xf numFmtId="3" fontId="11" fillId="2" borderId="0" xfId="0" applyNumberFormat="1" applyFont="1" applyFill="1" applyAlignment="1">
      <alignment vertical="center"/>
    </xf>
    <xf numFmtId="167" fontId="11" fillId="2" borderId="0" xfId="3" quotePrefix="1" applyNumberFormat="1" applyFont="1" applyFill="1" applyAlignment="1">
      <alignment horizontal="left" vertical="center"/>
    </xf>
    <xf numFmtId="169" fontId="6" fillId="2" borderId="0" xfId="0" applyNumberFormat="1" applyFont="1" applyFill="1" applyAlignment="1">
      <alignment vertical="center"/>
    </xf>
    <xf numFmtId="167" fontId="6" fillId="2" borderId="0" xfId="3" quotePrefix="1" applyNumberFormat="1" applyFont="1" applyFill="1" applyAlignment="1">
      <alignment horizontal="left" vertical="center"/>
    </xf>
    <xf numFmtId="167" fontId="6" fillId="2" borderId="0" xfId="3" applyNumberFormat="1" applyFont="1" applyFill="1" applyAlignment="1">
      <alignment vertical="center"/>
    </xf>
    <xf numFmtId="167" fontId="10" fillId="2" borderId="0" xfId="3" applyNumberFormat="1" applyFont="1" applyFill="1" applyAlignment="1">
      <alignment vertical="center"/>
    </xf>
    <xf numFmtId="0" fontId="2" fillId="0" borderId="0" xfId="0" quotePrefix="1" applyFont="1" applyAlignment="1">
      <alignment horizontal="left" vertical="center" indent="2"/>
    </xf>
    <xf numFmtId="0" fontId="6" fillId="2" borderId="0" xfId="0" applyFont="1" applyFill="1" applyAlignment="1">
      <alignment horizontal="right" vertical="center"/>
    </xf>
    <xf numFmtId="9" fontId="36" fillId="36" borderId="0" xfId="3" applyFont="1" applyFill="1" applyAlignment="1">
      <alignment vertical="center"/>
    </xf>
    <xf numFmtId="9" fontId="2" fillId="2" borderId="0" xfId="3" applyFont="1" applyFill="1" applyAlignment="1">
      <alignment vertical="center"/>
    </xf>
    <xf numFmtId="166" fontId="2" fillId="36" borderId="0" xfId="164" applyNumberFormat="1" applyFont="1" applyFill="1" applyBorder="1" applyAlignment="1">
      <alignment vertical="center"/>
    </xf>
    <xf numFmtId="166" fontId="2" fillId="2" borderId="0" xfId="164" applyNumberFormat="1" applyFont="1" applyFill="1" applyBorder="1" applyAlignment="1">
      <alignment vertical="center"/>
    </xf>
    <xf numFmtId="166" fontId="45" fillId="37" borderId="0" xfId="164" applyNumberFormat="1" applyFont="1" applyFill="1" applyBorder="1" applyAlignment="1">
      <alignment horizontal="right" vertical="center" wrapText="1"/>
    </xf>
    <xf numFmtId="169" fontId="2" fillId="3" borderId="1" xfId="161" applyNumberFormat="1" applyFont="1" applyFill="1" applyBorder="1" applyAlignment="1">
      <alignment horizontal="right" vertical="center"/>
    </xf>
    <xf numFmtId="0" fontId="2" fillId="2" borderId="0" xfId="1" applyFont="1" applyFill="1" applyAlignment="1">
      <alignment vertical="center" wrapText="1"/>
    </xf>
    <xf numFmtId="167" fontId="36" fillId="36" borderId="0" xfId="3" applyNumberFormat="1" applyFont="1" applyFill="1" applyBorder="1" applyAlignment="1">
      <alignment vertical="center"/>
    </xf>
    <xf numFmtId="0" fontId="68" fillId="2" borderId="0" xfId="0" applyFont="1" applyFill="1" applyAlignment="1">
      <alignment horizontal="left" vertical="center" indent="1"/>
    </xf>
    <xf numFmtId="0" fontId="64" fillId="2" borderId="0" xfId="0" quotePrefix="1" applyFont="1" applyFill="1" applyAlignment="1">
      <alignment horizontal="left" vertical="center" indent="1"/>
    </xf>
    <xf numFmtId="0" fontId="64" fillId="2" borderId="0" xfId="0" quotePrefix="1" applyFont="1" applyFill="1" applyAlignment="1">
      <alignment horizontal="left" vertical="center"/>
    </xf>
    <xf numFmtId="3" fontId="37" fillId="2" borderId="0" xfId="1" applyNumberFormat="1" applyFont="1" applyFill="1" applyAlignment="1">
      <alignment horizontal="right" vertical="center"/>
    </xf>
    <xf numFmtId="171" fontId="36" fillId="2" borderId="0" xfId="160" applyNumberFormat="1" applyFont="1" applyFill="1" applyAlignment="1">
      <alignment vertical="center"/>
    </xf>
    <xf numFmtId="171" fontId="36" fillId="36" borderId="0" xfId="160" applyNumberFormat="1" applyFont="1" applyFill="1" applyAlignment="1">
      <alignment vertical="center"/>
    </xf>
    <xf numFmtId="169" fontId="2" fillId="2" borderId="0" xfId="1" applyNumberFormat="1" applyFont="1" applyFill="1" applyAlignment="1">
      <alignment vertical="center" wrapText="1"/>
    </xf>
    <xf numFmtId="169" fontId="12" fillId="2" borderId="0" xfId="0" applyNumberFormat="1" applyFont="1" applyFill="1" applyAlignment="1">
      <alignment vertical="center"/>
    </xf>
    <xf numFmtId="169" fontId="43" fillId="2" borderId="0" xfId="3" applyNumberFormat="1" applyFont="1" applyFill="1" applyAlignment="1">
      <alignment vertical="center"/>
    </xf>
    <xf numFmtId="169" fontId="36" fillId="2" borderId="0" xfId="3" applyNumberFormat="1" applyFont="1" applyFill="1" applyAlignment="1">
      <alignment horizontal="right" vertical="center"/>
    </xf>
    <xf numFmtId="3" fontId="9" fillId="2" borderId="0" xfId="0" applyNumberFormat="1" applyFont="1" applyFill="1" applyAlignment="1">
      <alignment horizontal="right" vertical="center"/>
    </xf>
    <xf numFmtId="3" fontId="9" fillId="36" borderId="0" xfId="0" applyNumberFormat="1" applyFont="1" applyFill="1" applyAlignment="1">
      <alignment horizontal="right" vertical="center"/>
    </xf>
    <xf numFmtId="9" fontId="12" fillId="2" borderId="0" xfId="0" quotePrefix="1" applyNumberFormat="1" applyFont="1" applyFill="1" applyAlignment="1">
      <alignment vertical="center"/>
    </xf>
    <xf numFmtId="9" fontId="6" fillId="2" borderId="0" xfId="0" quotePrefix="1" applyNumberFormat="1" applyFont="1" applyFill="1" applyAlignment="1">
      <alignment horizontal="left" vertical="center"/>
    </xf>
    <xf numFmtId="9" fontId="9" fillId="2" borderId="0" xfId="0" applyNumberFormat="1" applyFont="1" applyFill="1" applyAlignment="1">
      <alignment vertical="center"/>
    </xf>
    <xf numFmtId="169" fontId="36" fillId="2" borderId="0" xfId="3" applyNumberFormat="1" applyFont="1" applyFill="1" applyBorder="1" applyAlignment="1">
      <alignment vertical="center"/>
    </xf>
    <xf numFmtId="9" fontId="12" fillId="2" borderId="0" xfId="0" applyNumberFormat="1" applyFont="1" applyFill="1" applyAlignment="1">
      <alignment horizontal="left" vertical="center"/>
    </xf>
    <xf numFmtId="9" fontId="6" fillId="2" borderId="0" xfId="0" applyNumberFormat="1" applyFont="1" applyFill="1" applyAlignment="1">
      <alignment vertical="center"/>
    </xf>
    <xf numFmtId="9" fontId="43" fillId="2" borderId="0" xfId="0" applyNumberFormat="1" applyFont="1" applyFill="1" applyAlignment="1">
      <alignment vertical="center"/>
    </xf>
    <xf numFmtId="169" fontId="58" fillId="2" borderId="0" xfId="0" applyNumberFormat="1" applyFont="1" applyFill="1" applyAlignment="1">
      <alignment horizontal="center" vertical="center"/>
    </xf>
    <xf numFmtId="9" fontId="45" fillId="37" borderId="0" xfId="3" applyFont="1" applyFill="1" applyAlignment="1">
      <alignment horizontal="right" vertical="center" wrapText="1"/>
    </xf>
    <xf numFmtId="171" fontId="2" fillId="36" borderId="0" xfId="160" applyNumberFormat="1" applyFont="1" applyFill="1" applyAlignment="1">
      <alignment vertical="center"/>
    </xf>
    <xf numFmtId="171" fontId="2" fillId="2" borderId="0" xfId="160" applyNumberFormat="1" applyFont="1" applyFill="1" applyAlignment="1">
      <alignment vertical="center"/>
    </xf>
    <xf numFmtId="3" fontId="12" fillId="2" borderId="0" xfId="0" quotePrefix="1" applyNumberFormat="1" applyFont="1" applyFill="1" applyAlignment="1">
      <alignment vertical="center"/>
    </xf>
    <xf numFmtId="3" fontId="2" fillId="36" borderId="1" xfId="0" applyNumberFormat="1" applyFont="1" applyFill="1" applyBorder="1" applyAlignment="1">
      <alignment horizontal="right" vertical="center"/>
    </xf>
    <xf numFmtId="3" fontId="37" fillId="2" borderId="15" xfId="0" applyNumberFormat="1" applyFont="1" applyFill="1" applyBorder="1" applyAlignment="1">
      <alignment horizontal="right" vertical="center"/>
    </xf>
    <xf numFmtId="3" fontId="2" fillId="2" borderId="15" xfId="0" applyNumberFormat="1" applyFont="1" applyFill="1" applyBorder="1" applyAlignment="1">
      <alignment horizontal="right" vertical="center"/>
    </xf>
    <xf numFmtId="3" fontId="37" fillId="36" borderId="15" xfId="0" applyNumberFormat="1" applyFont="1" applyFill="1" applyBorder="1" applyAlignment="1">
      <alignment horizontal="right" vertical="center"/>
    </xf>
    <xf numFmtId="3" fontId="2" fillId="36" borderId="15" xfId="0" applyNumberFormat="1" applyFont="1" applyFill="1" applyBorder="1" applyAlignment="1">
      <alignment horizontal="right" vertical="center"/>
    </xf>
    <xf numFmtId="3" fontId="45" fillId="38" borderId="15" xfId="0" applyNumberFormat="1" applyFont="1" applyFill="1" applyBorder="1" applyAlignment="1">
      <alignment vertical="center"/>
    </xf>
    <xf numFmtId="3" fontId="45" fillId="38" borderId="0" xfId="0" applyNumberFormat="1" applyFont="1" applyFill="1" applyAlignment="1">
      <alignment vertical="center"/>
    </xf>
    <xf numFmtId="3" fontId="45" fillId="38" borderId="15" xfId="0" applyNumberFormat="1" applyFont="1" applyFill="1" applyBorder="1" applyAlignment="1">
      <alignment horizontal="right" vertical="center"/>
    </xf>
    <xf numFmtId="3" fontId="45" fillId="37" borderId="16" xfId="0" applyNumberFormat="1" applyFont="1" applyFill="1" applyBorder="1" applyAlignment="1">
      <alignment horizontal="right" vertical="center"/>
    </xf>
    <xf numFmtId="15" fontId="45" fillId="37" borderId="0" xfId="0" applyNumberFormat="1" applyFont="1" applyFill="1" applyAlignment="1">
      <alignment horizontal="right" vertical="center"/>
    </xf>
    <xf numFmtId="0" fontId="36" fillId="2" borderId="18" xfId="0" applyFont="1" applyFill="1" applyBorder="1" applyAlignment="1">
      <alignment vertical="center"/>
    </xf>
    <xf numFmtId="9" fontId="12" fillId="2" borderId="0" xfId="3" applyFont="1" applyFill="1" applyAlignment="1">
      <alignment vertical="center"/>
    </xf>
    <xf numFmtId="3" fontId="36" fillId="2" borderId="0" xfId="0" applyNumberFormat="1" applyFont="1" applyFill="1"/>
    <xf numFmtId="167" fontId="12" fillId="2" borderId="0" xfId="3" applyNumberFormat="1" applyFont="1" applyFill="1" applyAlignment="1">
      <alignment horizontal="left" vertical="center"/>
    </xf>
    <xf numFmtId="167" fontId="12" fillId="2" borderId="0" xfId="3" applyNumberFormat="1" applyFont="1" applyFill="1" applyAlignment="1">
      <alignment vertical="center"/>
    </xf>
    <xf numFmtId="172" fontId="36" fillId="2" borderId="0" xfId="0" applyNumberFormat="1" applyFont="1" applyFill="1" applyAlignment="1">
      <alignment vertical="center"/>
    </xf>
    <xf numFmtId="173" fontId="36" fillId="2" borderId="0" xfId="0" applyNumberFormat="1" applyFont="1" applyFill="1" applyAlignment="1">
      <alignment horizontal="left" vertical="center"/>
    </xf>
    <xf numFmtId="173" fontId="36" fillId="36" borderId="0" xfId="0" applyNumberFormat="1" applyFont="1" applyFill="1" applyAlignment="1">
      <alignment horizontal="left" vertical="center"/>
    </xf>
    <xf numFmtId="173" fontId="36" fillId="2" borderId="17" xfId="0" applyNumberFormat="1" applyFont="1" applyFill="1" applyBorder="1" applyAlignment="1">
      <alignment horizontal="left" vertical="center"/>
    </xf>
    <xf numFmtId="173" fontId="36" fillId="0" borderId="0" xfId="0" applyNumberFormat="1" applyFont="1"/>
    <xf numFmtId="49" fontId="45" fillId="37" borderId="0" xfId="0" applyNumberFormat="1" applyFont="1" applyFill="1" applyAlignment="1">
      <alignment horizontal="right" vertical="center" wrapText="1"/>
    </xf>
    <xf numFmtId="0" fontId="45" fillId="40" borderId="0" xfId="0" applyFont="1" applyFill="1" applyAlignment="1">
      <alignment vertical="center"/>
    </xf>
    <xf numFmtId="49" fontId="45" fillId="40" borderId="0" xfId="0" applyNumberFormat="1" applyFont="1" applyFill="1" applyAlignment="1">
      <alignment horizontal="right" vertical="center" wrapText="1"/>
    </xf>
    <xf numFmtId="49" fontId="45" fillId="2" borderId="0" xfId="0" applyNumberFormat="1" applyFont="1" applyFill="1" applyAlignment="1">
      <alignment horizontal="right" vertical="center" wrapText="1"/>
    </xf>
    <xf numFmtId="0" fontId="2" fillId="41" borderId="0" xfId="0" applyFont="1" applyFill="1" applyAlignment="1">
      <alignment vertical="center"/>
    </xf>
    <xf numFmtId="0" fontId="2" fillId="41" borderId="19" xfId="0" applyFont="1" applyFill="1" applyBorder="1" applyAlignment="1">
      <alignment vertical="center"/>
    </xf>
    <xf numFmtId="0" fontId="13" fillId="2" borderId="0" xfId="0" applyFont="1" applyFill="1" applyAlignment="1">
      <alignment vertical="center"/>
    </xf>
    <xf numFmtId="0" fontId="14" fillId="2" borderId="0" xfId="0" applyFont="1" applyFill="1" applyAlignment="1">
      <alignment horizontal="right" vertical="center" wrapText="1"/>
    </xf>
    <xf numFmtId="0" fontId="42" fillId="0" borderId="0" xfId="2" applyAlignment="1" applyProtection="1"/>
    <xf numFmtId="49" fontId="16" fillId="2" borderId="0" xfId="2" applyNumberFormat="1" applyFont="1" applyFill="1" applyAlignment="1" applyProtection="1">
      <alignment horizontal="right" vertical="center"/>
    </xf>
    <xf numFmtId="0" fontId="14" fillId="2" borderId="0" xfId="0" applyFont="1" applyFill="1" applyAlignment="1">
      <alignment horizontal="right" vertical="center"/>
    </xf>
    <xf numFmtId="0" fontId="42" fillId="36" borderId="17" xfId="2" applyFill="1" applyBorder="1" applyAlignment="1">
      <alignment vertical="center"/>
    </xf>
    <xf numFmtId="167" fontId="12" fillId="2" borderId="0" xfId="3" quotePrefix="1" applyNumberFormat="1" applyFont="1" applyFill="1" applyAlignment="1">
      <alignment vertical="center"/>
    </xf>
    <xf numFmtId="167" fontId="36" fillId="2" borderId="0" xfId="3" applyNumberFormat="1" applyFont="1" applyFill="1"/>
    <xf numFmtId="3" fontId="35" fillId="2" borderId="0" xfId="0" applyNumberFormat="1" applyFont="1" applyFill="1" applyAlignment="1">
      <alignment horizontal="left" vertical="center"/>
    </xf>
    <xf numFmtId="9" fontId="11" fillId="2" borderId="0" xfId="3" applyFont="1" applyFill="1" applyAlignment="1">
      <alignment horizontal="left" vertical="center"/>
    </xf>
    <xf numFmtId="171" fontId="6" fillId="2" borderId="0" xfId="160" applyNumberFormat="1" applyFont="1" applyFill="1" applyAlignment="1">
      <alignment horizontal="left" vertical="center"/>
    </xf>
    <xf numFmtId="171" fontId="36" fillId="2" borderId="0" xfId="160" applyNumberFormat="1" applyFont="1" applyFill="1"/>
    <xf numFmtId="0" fontId="9" fillId="0" borderId="0" xfId="0" applyFont="1" applyAlignment="1">
      <alignment vertical="center" wrapText="1"/>
    </xf>
    <xf numFmtId="0" fontId="42" fillId="0" borderId="0" xfId="2" applyAlignment="1">
      <alignment vertical="center" wrapText="1"/>
    </xf>
    <xf numFmtId="0" fontId="36" fillId="0" borderId="0" xfId="0" applyFont="1" applyAlignment="1">
      <alignment horizontal="right" vertical="center" wrapText="1"/>
    </xf>
    <xf numFmtId="0" fontId="52" fillId="36" borderId="0" xfId="0" applyFont="1" applyFill="1" applyAlignment="1">
      <alignment vertical="center" wrapText="1"/>
    </xf>
    <xf numFmtId="0" fontId="51" fillId="36" borderId="0" xfId="0" applyFont="1" applyFill="1" applyAlignment="1">
      <alignment vertical="center" wrapText="1"/>
    </xf>
    <xf numFmtId="0" fontId="36" fillId="36" borderId="0" xfId="0" applyFont="1" applyFill="1" applyAlignment="1">
      <alignment horizontal="right" vertical="center" wrapText="1"/>
    </xf>
    <xf numFmtId="0" fontId="9" fillId="36" borderId="0" xfId="0" applyFont="1" applyFill="1" applyAlignment="1">
      <alignment vertical="center" wrapText="1"/>
    </xf>
    <xf numFmtId="0" fontId="51" fillId="36" borderId="20" xfId="0" applyFont="1" applyFill="1" applyBorder="1" applyAlignment="1">
      <alignment vertical="center" wrapText="1"/>
    </xf>
    <xf numFmtId="170" fontId="52" fillId="36" borderId="0" xfId="0" applyNumberFormat="1" applyFont="1" applyFill="1" applyAlignment="1">
      <alignment horizontal="right" vertical="center" wrapText="1"/>
    </xf>
    <xf numFmtId="165" fontId="36" fillId="0" borderId="0" xfId="0" applyNumberFormat="1" applyFont="1" applyAlignment="1">
      <alignment horizontal="right" vertical="center" wrapText="1"/>
    </xf>
    <xf numFmtId="170" fontId="9" fillId="0" borderId="0" xfId="0" applyNumberFormat="1" applyFont="1" applyAlignment="1">
      <alignment horizontal="right" vertical="center" wrapText="1"/>
    </xf>
    <xf numFmtId="170" fontId="51" fillId="36" borderId="20" xfId="0" applyNumberFormat="1" applyFont="1" applyFill="1" applyBorder="1" applyAlignment="1">
      <alignment horizontal="right" vertical="center" wrapText="1"/>
    </xf>
    <xf numFmtId="170" fontId="36" fillId="2" borderId="0" xfId="0" applyNumberFormat="1" applyFont="1" applyFill="1" applyAlignment="1">
      <alignment vertical="center"/>
    </xf>
    <xf numFmtId="3" fontId="6" fillId="2" borderId="0" xfId="0" quotePrefix="1" applyNumberFormat="1" applyFont="1" applyFill="1" applyAlignment="1">
      <alignment horizontal="left" vertical="center"/>
    </xf>
    <xf numFmtId="167" fontId="36" fillId="36" borderId="0" xfId="3" applyNumberFormat="1" applyFont="1" applyFill="1" applyAlignment="1">
      <alignment vertical="center"/>
    </xf>
    <xf numFmtId="167" fontId="45" fillId="37" borderId="0" xfId="3" applyNumberFormat="1" applyFont="1" applyFill="1" applyAlignment="1">
      <alignment vertical="center"/>
    </xf>
    <xf numFmtId="49" fontId="2" fillId="2" borderId="0" xfId="0" applyNumberFormat="1" applyFont="1" applyFill="1" applyAlignment="1">
      <alignment horizontal="right" vertical="center"/>
    </xf>
    <xf numFmtId="0" fontId="9" fillId="0" borderId="0" xfId="0" applyFont="1" applyAlignment="1">
      <alignment vertical="center"/>
    </xf>
    <xf numFmtId="0" fontId="36" fillId="2" borderId="0" xfId="0" quotePrefix="1" applyFont="1" applyFill="1" applyAlignment="1">
      <alignment vertical="center"/>
    </xf>
    <xf numFmtId="0" fontId="2" fillId="0" borderId="0" xfId="0" applyFont="1" applyAlignment="1">
      <alignment horizontal="left" vertical="center" indent="1"/>
    </xf>
    <xf numFmtId="0" fontId="36" fillId="0" borderId="0" xfId="0" applyFont="1" applyAlignment="1">
      <alignment horizontal="right" vertical="center"/>
    </xf>
    <xf numFmtId="3" fontId="12" fillId="2" borderId="0" xfId="0" quotePrefix="1" applyNumberFormat="1" applyFont="1" applyFill="1" applyAlignment="1">
      <alignment horizontal="left" vertical="center"/>
    </xf>
    <xf numFmtId="3" fontId="2" fillId="2" borderId="0" xfId="160" applyNumberFormat="1" applyFont="1" applyFill="1" applyAlignment="1">
      <alignment horizontal="right" vertical="center"/>
    </xf>
    <xf numFmtId="3" fontId="2" fillId="36" borderId="0" xfId="160" applyNumberFormat="1" applyFont="1" applyFill="1" applyAlignment="1">
      <alignment horizontal="right" vertical="center"/>
    </xf>
    <xf numFmtId="3" fontId="2" fillId="2" borderId="18" xfId="164" applyNumberFormat="1" applyFont="1" applyFill="1" applyBorder="1" applyAlignment="1">
      <alignment vertical="center"/>
    </xf>
    <xf numFmtId="0" fontId="43" fillId="2" borderId="0" xfId="1" applyFont="1" applyFill="1" applyAlignment="1">
      <alignment vertical="center"/>
    </xf>
    <xf numFmtId="164" fontId="36" fillId="2" borderId="0" xfId="167" applyFont="1" applyFill="1" applyAlignment="1">
      <alignment vertical="center"/>
    </xf>
    <xf numFmtId="0" fontId="2" fillId="36" borderId="0" xfId="1" applyFont="1" applyFill="1" applyAlignment="1">
      <alignment vertical="center" wrapText="1"/>
    </xf>
    <xf numFmtId="169" fontId="2" fillId="36" borderId="0" xfId="1" applyNumberFormat="1" applyFont="1" applyFill="1" applyAlignment="1">
      <alignment vertical="center" wrapText="1"/>
    </xf>
    <xf numFmtId="169" fontId="45" fillId="37" borderId="0" xfId="167" applyNumberFormat="1" applyFont="1" applyFill="1" applyBorder="1" applyAlignment="1">
      <alignment vertical="center" wrapText="1"/>
    </xf>
    <xf numFmtId="3" fontId="45" fillId="37" borderId="0" xfId="167" applyNumberFormat="1" applyFont="1" applyFill="1" applyBorder="1" applyAlignment="1">
      <alignment vertical="center" wrapText="1"/>
    </xf>
    <xf numFmtId="3" fontId="45" fillId="37" borderId="0" xfId="0" applyNumberFormat="1" applyFont="1" applyFill="1" applyAlignment="1">
      <alignment vertical="center" wrapText="1"/>
    </xf>
    <xf numFmtId="3" fontId="45" fillId="37" borderId="0" xfId="167" applyNumberFormat="1" applyFont="1" applyFill="1" applyBorder="1" applyAlignment="1">
      <alignment horizontal="right" vertical="center" wrapText="1"/>
    </xf>
    <xf numFmtId="168" fontId="2" fillId="2" borderId="0" xfId="167" applyNumberFormat="1" applyFont="1" applyFill="1" applyBorder="1" applyAlignment="1">
      <alignment horizontal="right" vertical="center"/>
    </xf>
    <xf numFmtId="164" fontId="36" fillId="2" borderId="0" xfId="0" applyNumberFormat="1" applyFont="1" applyFill="1" applyAlignment="1">
      <alignment vertical="center"/>
    </xf>
    <xf numFmtId="3" fontId="2" fillId="36" borderId="0" xfId="1" applyNumberFormat="1" applyFont="1" applyFill="1" applyAlignment="1">
      <alignment vertical="center"/>
    </xf>
    <xf numFmtId="0" fontId="43" fillId="2" borderId="0" xfId="0" applyFont="1" applyFill="1" applyAlignment="1">
      <alignment horizontal="left" vertical="top"/>
    </xf>
    <xf numFmtId="0" fontId="69" fillId="2" borderId="0" xfId="0" applyFont="1" applyFill="1" applyAlignment="1">
      <alignment vertical="center"/>
    </xf>
    <xf numFmtId="0" fontId="43" fillId="2" borderId="0" xfId="0" applyFont="1" applyFill="1" applyAlignment="1">
      <alignment horizontal="left" vertical="center"/>
    </xf>
    <xf numFmtId="171" fontId="36" fillId="2" borderId="0" xfId="1" applyNumberFormat="1" applyFont="1" applyFill="1" applyAlignment="1">
      <alignment vertical="center"/>
    </xf>
    <xf numFmtId="164" fontId="12" fillId="2" borderId="0" xfId="160" quotePrefix="1" applyFont="1" applyFill="1" applyAlignment="1">
      <alignment vertical="center"/>
    </xf>
    <xf numFmtId="9" fontId="11" fillId="2" borderId="0" xfId="3" applyFont="1" applyFill="1" applyAlignment="1">
      <alignment horizontal="right" vertical="center"/>
    </xf>
    <xf numFmtId="10" fontId="12" fillId="2" borderId="0" xfId="3" quotePrefix="1" applyNumberFormat="1" applyFont="1" applyFill="1" applyAlignment="1">
      <alignment horizontal="left" vertical="center"/>
    </xf>
    <xf numFmtId="3" fontId="69" fillId="2" borderId="0" xfId="0" applyNumberFormat="1" applyFont="1" applyFill="1" applyAlignment="1">
      <alignment vertical="center"/>
    </xf>
    <xf numFmtId="167" fontId="55" fillId="0" borderId="0" xfId="3" applyNumberFormat="1" applyFont="1"/>
    <xf numFmtId="3" fontId="71" fillId="2" borderId="0" xfId="0" applyNumberFormat="1" applyFont="1" applyFill="1" applyAlignment="1">
      <alignment vertical="center"/>
    </xf>
    <xf numFmtId="9" fontId="71" fillId="2" borderId="0" xfId="3" applyFont="1" applyFill="1" applyAlignment="1">
      <alignment horizontal="left" vertical="center"/>
    </xf>
    <xf numFmtId="3" fontId="12" fillId="2" borderId="0" xfId="0" applyNumberFormat="1" applyFont="1" applyFill="1" applyAlignment="1">
      <alignment horizontal="left" vertical="center"/>
    </xf>
    <xf numFmtId="165" fontId="36" fillId="2" borderId="0" xfId="1" applyNumberFormat="1" applyFont="1" applyFill="1" applyAlignment="1">
      <alignment vertical="center"/>
    </xf>
    <xf numFmtId="41" fontId="2" fillId="2" borderId="0" xfId="160" applyNumberFormat="1" applyFont="1" applyFill="1" applyAlignment="1">
      <alignment horizontal="right" vertical="center"/>
    </xf>
    <xf numFmtId="41" fontId="37" fillId="2" borderId="0" xfId="160" applyNumberFormat="1" applyFont="1" applyFill="1" applyAlignment="1">
      <alignment horizontal="right" vertical="center"/>
    </xf>
    <xf numFmtId="41" fontId="2" fillId="41" borderId="0" xfId="160" applyNumberFormat="1" applyFont="1" applyFill="1" applyAlignment="1">
      <alignment horizontal="right" vertical="center"/>
    </xf>
    <xf numFmtId="41" fontId="37" fillId="41" borderId="0" xfId="160" applyNumberFormat="1" applyFont="1" applyFill="1" applyAlignment="1">
      <alignment horizontal="right" vertical="center"/>
    </xf>
    <xf numFmtId="41" fontId="2" fillId="41" borderId="19" xfId="160" applyNumberFormat="1" applyFont="1" applyFill="1" applyBorder="1" applyAlignment="1">
      <alignment horizontal="right" vertical="center"/>
    </xf>
    <xf numFmtId="41" fontId="37" fillId="41" borderId="19" xfId="160" applyNumberFormat="1" applyFont="1" applyFill="1" applyBorder="1" applyAlignment="1">
      <alignment horizontal="right" vertical="center"/>
    </xf>
    <xf numFmtId="0" fontId="0" fillId="0" borderId="0" xfId="0" applyAlignment="1">
      <alignment horizontal="center"/>
    </xf>
    <xf numFmtId="49" fontId="45" fillId="40" borderId="0" xfId="0" applyNumberFormat="1" applyFont="1" applyFill="1" applyAlignment="1">
      <alignment horizontal="center" vertical="center" wrapText="1"/>
    </xf>
    <xf numFmtId="41" fontId="2" fillId="2" borderId="0" xfId="160" applyNumberFormat="1" applyFont="1" applyFill="1" applyAlignment="1">
      <alignment horizontal="center" vertical="center"/>
    </xf>
    <xf numFmtId="41" fontId="2" fillId="41" borderId="0" xfId="160" applyNumberFormat="1" applyFont="1" applyFill="1" applyAlignment="1">
      <alignment horizontal="center" vertical="center"/>
    </xf>
    <xf numFmtId="41" fontId="2" fillId="41" borderId="19" xfId="160" applyNumberFormat="1" applyFont="1" applyFill="1" applyBorder="1" applyAlignment="1">
      <alignment horizontal="center" vertical="center"/>
    </xf>
    <xf numFmtId="41" fontId="37" fillId="2" borderId="0" xfId="160" applyNumberFormat="1" applyFont="1" applyFill="1" applyAlignment="1">
      <alignment horizontal="center" vertical="center"/>
    </xf>
    <xf numFmtId="0" fontId="2" fillId="2" borderId="0" xfId="0" applyFont="1" applyFill="1" applyAlignment="1">
      <alignment horizontal="center" vertical="center"/>
    </xf>
    <xf numFmtId="0" fontId="36" fillId="0" borderId="0" xfId="0" applyFont="1" applyAlignment="1">
      <alignment horizontal="center" vertical="center" wrapText="1"/>
    </xf>
    <xf numFmtId="0" fontId="36" fillId="36" borderId="0" xfId="0" applyFont="1" applyFill="1" applyAlignment="1">
      <alignment horizontal="center" vertical="center" wrapText="1"/>
    </xf>
    <xf numFmtId="0" fontId="52" fillId="36" borderId="0" xfId="0" applyFont="1" applyFill="1" applyAlignment="1">
      <alignment horizontal="center" vertical="center" wrapText="1"/>
    </xf>
    <xf numFmtId="0" fontId="36" fillId="36" borderId="20" xfId="0" applyFont="1" applyFill="1" applyBorder="1" applyAlignment="1">
      <alignment horizontal="center" vertical="center" wrapText="1"/>
    </xf>
    <xf numFmtId="3" fontId="55" fillId="0" borderId="0" xfId="0" applyNumberFormat="1" applyFont="1"/>
    <xf numFmtId="164" fontId="12" fillId="2" borderId="0" xfId="160" applyFont="1" applyFill="1" applyAlignment="1">
      <alignment horizontal="left" vertical="center"/>
    </xf>
    <xf numFmtId="9" fontId="6" fillId="2" borderId="0" xfId="3" applyFont="1" applyFill="1" applyAlignment="1">
      <alignment horizontal="left" vertical="center"/>
    </xf>
    <xf numFmtId="171" fontId="12" fillId="2" borderId="0" xfId="160" applyNumberFormat="1" applyFont="1" applyFill="1" applyAlignment="1">
      <alignment vertical="center"/>
    </xf>
    <xf numFmtId="9" fontId="12" fillId="2" borderId="0" xfId="3" quotePrefix="1" applyFont="1" applyFill="1" applyAlignment="1">
      <alignment vertical="center"/>
    </xf>
    <xf numFmtId="5" fontId="2" fillId="2" borderId="0" xfId="1" applyNumberFormat="1" applyFont="1" applyFill="1" applyAlignment="1">
      <alignment vertical="center"/>
    </xf>
    <xf numFmtId="6" fontId="2" fillId="2" borderId="1" xfId="1" applyNumberFormat="1" applyFont="1" applyFill="1" applyBorder="1" applyAlignment="1">
      <alignment vertical="center"/>
    </xf>
    <xf numFmtId="171" fontId="2" fillId="2" borderId="0" xfId="160" applyNumberFormat="1" applyFont="1" applyFill="1" applyBorder="1" applyAlignment="1">
      <alignment vertical="center"/>
    </xf>
    <xf numFmtId="171" fontId="2" fillId="36" borderId="0" xfId="160" applyNumberFormat="1" applyFont="1" applyFill="1" applyBorder="1" applyAlignment="1">
      <alignment vertical="center"/>
    </xf>
    <xf numFmtId="171" fontId="12" fillId="2" borderId="0" xfId="160" applyNumberFormat="1" applyFont="1" applyFill="1" applyAlignment="1">
      <alignment horizontal="left" vertical="center"/>
    </xf>
    <xf numFmtId="3" fontId="43" fillId="2" borderId="0" xfId="3" applyNumberFormat="1" applyFont="1" applyFill="1" applyAlignment="1">
      <alignment vertical="center"/>
    </xf>
    <xf numFmtId="167" fontId="43" fillId="2" borderId="0" xfId="0" applyNumberFormat="1" applyFont="1" applyFill="1" applyAlignment="1">
      <alignment vertical="center"/>
    </xf>
    <xf numFmtId="3" fontId="36" fillId="2" borderId="0" xfId="3" applyNumberFormat="1" applyFont="1" applyFill="1" applyAlignment="1">
      <alignment horizontal="right" vertical="center"/>
    </xf>
    <xf numFmtId="3" fontId="36" fillId="2" borderId="0" xfId="160" applyNumberFormat="1" applyFont="1" applyFill="1" applyAlignment="1">
      <alignment horizontal="right" vertical="center"/>
    </xf>
    <xf numFmtId="167" fontId="36" fillId="2" borderId="0" xfId="0" applyNumberFormat="1" applyFont="1" applyFill="1" applyAlignment="1">
      <alignment vertical="center"/>
    </xf>
    <xf numFmtId="171" fontId="70" fillId="2" borderId="0" xfId="160" applyNumberFormat="1" applyFont="1" applyFill="1" applyAlignment="1">
      <alignment horizontal="left" vertical="center"/>
    </xf>
    <xf numFmtId="0" fontId="36" fillId="2" borderId="0" xfId="1" applyFont="1" applyFill="1" applyAlignment="1">
      <alignment vertical="center" wrapText="1"/>
    </xf>
    <xf numFmtId="0" fontId="36" fillId="0" borderId="0" xfId="1" applyFont="1" applyAlignment="1">
      <alignment vertical="center"/>
    </xf>
    <xf numFmtId="164" fontId="36" fillId="2" borderId="0" xfId="160" applyFont="1" applyFill="1" applyAlignment="1">
      <alignment vertical="center"/>
    </xf>
    <xf numFmtId="171" fontId="36" fillId="2" borderId="0" xfId="0" applyNumberFormat="1" applyFont="1" applyFill="1" applyAlignment="1">
      <alignment vertical="center"/>
    </xf>
    <xf numFmtId="0" fontId="47" fillId="2" borderId="0" xfId="1" applyFont="1" applyFill="1"/>
    <xf numFmtId="167" fontId="36" fillId="2" borderId="0" xfId="1" applyNumberFormat="1" applyFont="1" applyFill="1"/>
    <xf numFmtId="0" fontId="47" fillId="2" borderId="0" xfId="1" applyFont="1" applyFill="1" applyAlignment="1">
      <alignment vertical="center"/>
    </xf>
    <xf numFmtId="0" fontId="36" fillId="0" borderId="0" xfId="1" applyFont="1" applyAlignment="1">
      <alignment horizontal="center" vertical="center" wrapText="1"/>
    </xf>
    <xf numFmtId="169" fontId="2" fillId="36" borderId="0" xfId="160" applyNumberFormat="1" applyFont="1" applyFill="1" applyAlignment="1">
      <alignment vertical="center"/>
    </xf>
    <xf numFmtId="9" fontId="2" fillId="36" borderId="0" xfId="3" applyFont="1" applyFill="1" applyAlignment="1">
      <alignment vertical="center"/>
    </xf>
    <xf numFmtId="169" fontId="2" fillId="2" borderId="0" xfId="160" applyNumberFormat="1" applyFont="1" applyFill="1" applyAlignment="1">
      <alignment vertical="center"/>
    </xf>
    <xf numFmtId="169" fontId="7" fillId="2" borderId="0" xfId="0" applyNumberFormat="1" applyFont="1" applyFill="1" applyAlignment="1">
      <alignment vertical="center"/>
    </xf>
    <xf numFmtId="0" fontId="37" fillId="2" borderId="0" xfId="1" applyFont="1" applyFill="1" applyAlignment="1">
      <alignment horizontal="left" vertical="center" indent="1"/>
    </xf>
    <xf numFmtId="0" fontId="2" fillId="2" borderId="0" xfId="1" applyFont="1" applyFill="1" applyAlignment="1">
      <alignment horizontal="left" vertical="center" indent="1"/>
    </xf>
    <xf numFmtId="43" fontId="36" fillId="2" borderId="0" xfId="1" applyNumberFormat="1" applyFont="1" applyFill="1" applyAlignment="1">
      <alignment vertical="center"/>
    </xf>
    <xf numFmtId="0" fontId="36" fillId="2" borderId="0" xfId="0" quotePrefix="1" applyFont="1" applyFill="1" applyAlignment="1">
      <alignment horizontal="left" vertical="center"/>
    </xf>
    <xf numFmtId="0" fontId="36" fillId="36" borderId="0" xfId="166" applyFont="1" applyFill="1" applyAlignment="1">
      <alignment vertical="center"/>
    </xf>
    <xf numFmtId="174" fontId="43" fillId="2" borderId="0" xfId="1" applyNumberFormat="1" applyFont="1" applyFill="1" applyAlignment="1">
      <alignment vertical="center"/>
    </xf>
    <xf numFmtId="0" fontId="36" fillId="2" borderId="0" xfId="166" applyFont="1" applyFill="1" applyAlignment="1">
      <alignment vertical="center"/>
    </xf>
    <xf numFmtId="168" fontId="36" fillId="2" borderId="0" xfId="0" applyNumberFormat="1" applyFont="1" applyFill="1" applyAlignment="1">
      <alignment vertical="center"/>
    </xf>
    <xf numFmtId="0" fontId="43" fillId="2" borderId="0" xfId="0" applyFont="1" applyFill="1" applyAlignment="1">
      <alignment horizontal="center" vertical="center"/>
    </xf>
    <xf numFmtId="0" fontId="43" fillId="36" borderId="0" xfId="0" applyFont="1" applyFill="1" applyAlignment="1">
      <alignment vertical="center"/>
    </xf>
    <xf numFmtId="0" fontId="37" fillId="0" borderId="0" xfId="1" applyFont="1" applyAlignment="1">
      <alignment horizontal="center" vertical="center"/>
    </xf>
    <xf numFmtId="0" fontId="36" fillId="0" borderId="0" xfId="1" applyFont="1" applyAlignment="1">
      <alignment horizontal="left" vertical="center"/>
    </xf>
    <xf numFmtId="0" fontId="3" fillId="2" borderId="0" xfId="0" applyFont="1" applyFill="1" applyAlignment="1">
      <alignment horizontal="left" vertical="center"/>
    </xf>
    <xf numFmtId="0" fontId="2" fillId="2" borderId="0" xfId="0" applyFont="1" applyFill="1" applyAlignment="1">
      <alignment horizontal="left" vertical="center"/>
    </xf>
    <xf numFmtId="0" fontId="2" fillId="2" borderId="0" xfId="0" applyFont="1" applyFill="1" applyAlignment="1">
      <alignment horizontal="left" vertical="center" wrapText="1"/>
    </xf>
    <xf numFmtId="0" fontId="56" fillId="37" borderId="0" xfId="0" applyFont="1" applyFill="1" applyAlignment="1">
      <alignment vertical="center" wrapText="1"/>
    </xf>
    <xf numFmtId="0" fontId="56" fillId="37" borderId="0" xfId="0" applyFont="1" applyFill="1" applyAlignment="1">
      <alignment horizontal="center" vertical="center" wrapText="1"/>
    </xf>
  </cellXfs>
  <cellStyles count="168">
    <cellStyle name="%" xfId="153" xr:uid="{00000000-0005-0000-0000-000000000000}"/>
    <cellStyle name="% 2" xfId="162" xr:uid="{00000000-0005-0000-0000-000001000000}"/>
    <cellStyle name="20% - Accent1 2" xfId="12" xr:uid="{00000000-0005-0000-0000-000002000000}"/>
    <cellStyle name="20% - Accent1 2 2" xfId="63" xr:uid="{00000000-0005-0000-0000-000003000000}"/>
    <cellStyle name="20% - Accent2 2" xfId="13" xr:uid="{00000000-0005-0000-0000-000004000000}"/>
    <cellStyle name="20% - Accent2 2 2" xfId="64" xr:uid="{00000000-0005-0000-0000-000005000000}"/>
    <cellStyle name="20% - Accent3 2" xfId="14" xr:uid="{00000000-0005-0000-0000-000006000000}"/>
    <cellStyle name="20% - Accent3 2 2" xfId="65" xr:uid="{00000000-0005-0000-0000-000007000000}"/>
    <cellStyle name="20% - Accent4 2" xfId="15" xr:uid="{00000000-0005-0000-0000-000008000000}"/>
    <cellStyle name="20% - Accent4 2 2" xfId="66" xr:uid="{00000000-0005-0000-0000-000009000000}"/>
    <cellStyle name="20% - Accent5 2" xfId="16" xr:uid="{00000000-0005-0000-0000-00000A000000}"/>
    <cellStyle name="20% - Accent5 2 2" xfId="67" xr:uid="{00000000-0005-0000-0000-00000B000000}"/>
    <cellStyle name="20% - Accent6 2" xfId="17" xr:uid="{00000000-0005-0000-0000-00000C000000}"/>
    <cellStyle name="20% - Accent6 2 2" xfId="68" xr:uid="{00000000-0005-0000-0000-00000D000000}"/>
    <cellStyle name="40% - Accent1 2" xfId="18" xr:uid="{00000000-0005-0000-0000-00000E000000}"/>
    <cellStyle name="40% - Accent1 2 2" xfId="69" xr:uid="{00000000-0005-0000-0000-00000F000000}"/>
    <cellStyle name="40% - Accent2 2" xfId="19" xr:uid="{00000000-0005-0000-0000-000010000000}"/>
    <cellStyle name="40% - Accent2 2 2" xfId="70" xr:uid="{00000000-0005-0000-0000-000011000000}"/>
    <cellStyle name="40% - Accent3 2" xfId="20" xr:uid="{00000000-0005-0000-0000-000012000000}"/>
    <cellStyle name="40% - Accent3 2 2" xfId="71" xr:uid="{00000000-0005-0000-0000-000013000000}"/>
    <cellStyle name="40% - Accent4 2" xfId="21" xr:uid="{00000000-0005-0000-0000-000014000000}"/>
    <cellStyle name="40% - Accent4 2 2" xfId="72" xr:uid="{00000000-0005-0000-0000-000015000000}"/>
    <cellStyle name="40% - Accent5 2" xfId="22" xr:uid="{00000000-0005-0000-0000-000016000000}"/>
    <cellStyle name="40% - Accent5 2 2" xfId="73" xr:uid="{00000000-0005-0000-0000-000017000000}"/>
    <cellStyle name="40% - Accent6 2" xfId="23" xr:uid="{00000000-0005-0000-0000-000018000000}"/>
    <cellStyle name="40% - Accent6 2 2" xfId="74" xr:uid="{00000000-0005-0000-0000-000019000000}"/>
    <cellStyle name="60% - Accent1 2" xfId="24" xr:uid="{00000000-0005-0000-0000-00001A000000}"/>
    <cellStyle name="60% - Accent2 2" xfId="25" xr:uid="{00000000-0005-0000-0000-00001B000000}"/>
    <cellStyle name="60% - Accent3 2" xfId="26" xr:uid="{00000000-0005-0000-0000-00001C000000}"/>
    <cellStyle name="60% - Accent4 2" xfId="27" xr:uid="{00000000-0005-0000-0000-00001D000000}"/>
    <cellStyle name="60% - Accent5 2" xfId="28" xr:uid="{00000000-0005-0000-0000-00001E000000}"/>
    <cellStyle name="60% - Accent6 2" xfId="29" xr:uid="{00000000-0005-0000-0000-00001F000000}"/>
    <cellStyle name="Accent1 2" xfId="30" xr:uid="{00000000-0005-0000-0000-000020000000}"/>
    <cellStyle name="Accent2 2" xfId="31" xr:uid="{00000000-0005-0000-0000-000021000000}"/>
    <cellStyle name="Accent3 2" xfId="32" xr:uid="{00000000-0005-0000-0000-000022000000}"/>
    <cellStyle name="Accent4 2" xfId="33" xr:uid="{00000000-0005-0000-0000-000023000000}"/>
    <cellStyle name="Accent5 2" xfId="34" xr:uid="{00000000-0005-0000-0000-000024000000}"/>
    <cellStyle name="Accent6 2" xfId="35" xr:uid="{00000000-0005-0000-0000-000025000000}"/>
    <cellStyle name="Bad 2" xfId="36" xr:uid="{00000000-0005-0000-0000-000026000000}"/>
    <cellStyle name="Calculation 2" xfId="37" xr:uid="{00000000-0005-0000-0000-000027000000}"/>
    <cellStyle name="cells" xfId="127" xr:uid="{00000000-0005-0000-0000-000028000000}"/>
    <cellStyle name="Check Cell 2" xfId="38" xr:uid="{00000000-0005-0000-0000-000029000000}"/>
    <cellStyle name="column field" xfId="128" xr:uid="{00000000-0005-0000-0000-00002A000000}"/>
    <cellStyle name="Comma" xfId="160" builtinId="3"/>
    <cellStyle name="Comma 10" xfId="164" xr:uid="{7C6FE536-886F-4892-81CA-6A91464423F8}"/>
    <cellStyle name="Comma 10 2" xfId="167" xr:uid="{B86965CB-EA99-4E2B-A570-5085B795B41D}"/>
    <cellStyle name="Comma 2" xfId="7" xr:uid="{00000000-0005-0000-0000-00002C000000}"/>
    <cellStyle name="Comma 2 2" xfId="75" xr:uid="{00000000-0005-0000-0000-00002D000000}"/>
    <cellStyle name="Comma 2 2 2" xfId="165" xr:uid="{8D3AEF38-C32B-4323-85BD-3DA340D23AAE}"/>
    <cellStyle name="Comma 2 3" xfId="142" xr:uid="{00000000-0005-0000-0000-00002E000000}"/>
    <cellStyle name="Comma 3" xfId="39" xr:uid="{00000000-0005-0000-0000-00002F000000}"/>
    <cellStyle name="Comma 3 2" xfId="159" xr:uid="{00000000-0005-0000-0000-000030000000}"/>
    <cellStyle name="Comma 4" xfId="76" xr:uid="{00000000-0005-0000-0000-000031000000}"/>
    <cellStyle name="Comma 4 2" xfId="77" xr:uid="{00000000-0005-0000-0000-000032000000}"/>
    <cellStyle name="Comma 5" xfId="78" xr:uid="{00000000-0005-0000-0000-000033000000}"/>
    <cellStyle name="Comma 5 2" xfId="79" xr:uid="{00000000-0005-0000-0000-000034000000}"/>
    <cellStyle name="Comma 6" xfId="80" xr:uid="{00000000-0005-0000-0000-000035000000}"/>
    <cellStyle name="Comma 6 2" xfId="81" xr:uid="{00000000-0005-0000-0000-000036000000}"/>
    <cellStyle name="Comma 7" xfId="129" xr:uid="{00000000-0005-0000-0000-000037000000}"/>
    <cellStyle name="Comma 8" xfId="6" xr:uid="{00000000-0005-0000-0000-000038000000}"/>
    <cellStyle name="Comma 9" xfId="161" xr:uid="{00000000-0005-0000-0000-000039000000}"/>
    <cellStyle name="Explanatory Text 2" xfId="40" xr:uid="{00000000-0005-0000-0000-00003A000000}"/>
    <cellStyle name="field names" xfId="130" xr:uid="{00000000-0005-0000-0000-00003B000000}"/>
    <cellStyle name="Followed Hyperlink" xfId="163" builtinId="9" customBuiltin="1"/>
    <cellStyle name="Good" xfId="166" builtinId="26"/>
    <cellStyle name="Good 2" xfId="41" xr:uid="{00000000-0005-0000-0000-00003D000000}"/>
    <cellStyle name="Heading 1 2" xfId="42" xr:uid="{00000000-0005-0000-0000-00003E000000}"/>
    <cellStyle name="Heading 2 2" xfId="43" xr:uid="{00000000-0005-0000-0000-00003F000000}"/>
    <cellStyle name="Heading 3 2" xfId="44" xr:uid="{00000000-0005-0000-0000-000040000000}"/>
    <cellStyle name="Heading 4 2" xfId="45" xr:uid="{00000000-0005-0000-0000-000041000000}"/>
    <cellStyle name="Headings" xfId="82" xr:uid="{00000000-0005-0000-0000-000042000000}"/>
    <cellStyle name="Hyperlink" xfId="2" builtinId="8" customBuiltin="1"/>
    <cellStyle name="Hyperlink 2" xfId="9" xr:uid="{00000000-0005-0000-0000-000044000000}"/>
    <cellStyle name="Hyperlink 2 2" xfId="83" xr:uid="{00000000-0005-0000-0000-000045000000}"/>
    <cellStyle name="Hyperlink 3" xfId="84" xr:uid="{00000000-0005-0000-0000-000046000000}"/>
    <cellStyle name="Hyperlink 3 2" xfId="85" xr:uid="{00000000-0005-0000-0000-000047000000}"/>
    <cellStyle name="Hyperlink 4" xfId="8" xr:uid="{00000000-0005-0000-0000-000048000000}"/>
    <cellStyle name="Input 2" xfId="46" xr:uid="{00000000-0005-0000-0000-000049000000}"/>
    <cellStyle name="Linked Cell 2" xfId="47" xr:uid="{00000000-0005-0000-0000-00004A000000}"/>
    <cellStyle name="Neutral 2" xfId="48" xr:uid="{00000000-0005-0000-0000-00004B000000}"/>
    <cellStyle name="Normal" xfId="0" builtinId="0"/>
    <cellStyle name="Normal 10" xfId="131" xr:uid="{00000000-0005-0000-0000-00004D000000}"/>
    <cellStyle name="Normal 11" xfId="141" xr:uid="{00000000-0005-0000-0000-00004E000000}"/>
    <cellStyle name="Normal 12" xfId="5" xr:uid="{00000000-0005-0000-0000-00004F000000}"/>
    <cellStyle name="Normal 13" xfId="148" xr:uid="{00000000-0005-0000-0000-000050000000}"/>
    <cellStyle name="Normal 2" xfId="1" xr:uid="{00000000-0005-0000-0000-000051000000}"/>
    <cellStyle name="Normal 2 2" xfId="50" xr:uid="{00000000-0005-0000-0000-000052000000}"/>
    <cellStyle name="Normal 2 2 2" xfId="86" xr:uid="{00000000-0005-0000-0000-000053000000}"/>
    <cellStyle name="Normal 2 2 2 2" xfId="87" xr:uid="{00000000-0005-0000-0000-000054000000}"/>
    <cellStyle name="Normal 2 2 2 2 2" xfId="126" xr:uid="{00000000-0005-0000-0000-000055000000}"/>
    <cellStyle name="Normal 2 2 2 2 2 2" xfId="147" xr:uid="{00000000-0005-0000-0000-000056000000}"/>
    <cellStyle name="Normal 2 2 2 2 2 2 2" xfId="158" xr:uid="{00000000-0005-0000-0000-000057000000}"/>
    <cellStyle name="Normal 2 2 2 2 2 3" xfId="152" xr:uid="{00000000-0005-0000-0000-000058000000}"/>
    <cellStyle name="Normal 2 2 2 2 3" xfId="132" xr:uid="{00000000-0005-0000-0000-000059000000}"/>
    <cellStyle name="Normal 2 2 2 2 3 2" xfId="133" xr:uid="{00000000-0005-0000-0000-00005A000000}"/>
    <cellStyle name="Normal 2 2 2 3" xfId="88" xr:uid="{00000000-0005-0000-0000-00005B000000}"/>
    <cellStyle name="Normal 2 2 2 4" xfId="134" xr:uid="{00000000-0005-0000-0000-00005C000000}"/>
    <cellStyle name="Normal 2 2 2 5" xfId="156" xr:uid="{00000000-0005-0000-0000-00005D000000}"/>
    <cellStyle name="Normal 2 2 3" xfId="89" xr:uid="{00000000-0005-0000-0000-00005E000000}"/>
    <cellStyle name="Normal 2 2 4" xfId="90" xr:uid="{00000000-0005-0000-0000-00005F000000}"/>
    <cellStyle name="Normal 2 2 5" xfId="145" xr:uid="{00000000-0005-0000-0000-000060000000}"/>
    <cellStyle name="Normal 2 2 6" xfId="150" xr:uid="{00000000-0005-0000-0000-000061000000}"/>
    <cellStyle name="Normal 2 3" xfId="51" xr:uid="{00000000-0005-0000-0000-000062000000}"/>
    <cellStyle name="Normal 2 3 2" xfId="155" xr:uid="{00000000-0005-0000-0000-000063000000}"/>
    <cellStyle name="Normal 2 4" xfId="143" xr:uid="{00000000-0005-0000-0000-000064000000}"/>
    <cellStyle name="Normal 2 5" xfId="49" xr:uid="{00000000-0005-0000-0000-000065000000}"/>
    <cellStyle name="Normal 2 6" xfId="149" xr:uid="{00000000-0005-0000-0000-000066000000}"/>
    <cellStyle name="Normal 3" xfId="52" xr:uid="{00000000-0005-0000-0000-000067000000}"/>
    <cellStyle name="Normal 3 2" xfId="53" xr:uid="{00000000-0005-0000-0000-000068000000}"/>
    <cellStyle name="Normal 3 3" xfId="91" xr:uid="{00000000-0005-0000-0000-000069000000}"/>
    <cellStyle name="Normal 3 3 2" xfId="92" xr:uid="{00000000-0005-0000-0000-00006A000000}"/>
    <cellStyle name="Normal 3 4" xfId="93" xr:uid="{00000000-0005-0000-0000-00006B000000}"/>
    <cellStyle name="Normal 3 4 2" xfId="94" xr:uid="{00000000-0005-0000-0000-00006C000000}"/>
    <cellStyle name="Normal 3 5" xfId="95" xr:uid="{00000000-0005-0000-0000-00006D000000}"/>
    <cellStyle name="Normal 3 6" xfId="135" xr:uid="{00000000-0005-0000-0000-00006E000000}"/>
    <cellStyle name="Normal 3 7" xfId="144" xr:uid="{00000000-0005-0000-0000-00006F000000}"/>
    <cellStyle name="Normal 4" xfId="54" xr:uid="{00000000-0005-0000-0000-000070000000}"/>
    <cellStyle name="Normal 4 2" xfId="96" xr:uid="{00000000-0005-0000-0000-000071000000}"/>
    <cellStyle name="Normal 4 2 2" xfId="97" xr:uid="{00000000-0005-0000-0000-000072000000}"/>
    <cellStyle name="Normal 4 2 3" xfId="157" xr:uid="{00000000-0005-0000-0000-000073000000}"/>
    <cellStyle name="Normal 4 3" xfId="98" xr:uid="{00000000-0005-0000-0000-000074000000}"/>
    <cellStyle name="Normal 4 3 2" xfId="136" xr:uid="{00000000-0005-0000-0000-000075000000}"/>
    <cellStyle name="Normal 4 3 2 2" xfId="137" xr:uid="{00000000-0005-0000-0000-000076000000}"/>
    <cellStyle name="Normal 4 4" xfId="146" xr:uid="{00000000-0005-0000-0000-000077000000}"/>
    <cellStyle name="Normal 4 5" xfId="151" xr:uid="{00000000-0005-0000-0000-000078000000}"/>
    <cellStyle name="Normal 5" xfId="99" xr:uid="{00000000-0005-0000-0000-000079000000}"/>
    <cellStyle name="Normal 5 2" xfId="100" xr:uid="{00000000-0005-0000-0000-00007A000000}"/>
    <cellStyle name="Normal 6" xfId="101" xr:uid="{00000000-0005-0000-0000-00007B000000}"/>
    <cellStyle name="Normal 6 2" xfId="102" xr:uid="{00000000-0005-0000-0000-00007C000000}"/>
    <cellStyle name="Normal 7" xfId="103" xr:uid="{00000000-0005-0000-0000-00007D000000}"/>
    <cellStyle name="Normal 8" xfId="104" xr:uid="{00000000-0005-0000-0000-00007E000000}"/>
    <cellStyle name="Normal 8 2" xfId="138" xr:uid="{00000000-0005-0000-0000-00007F000000}"/>
    <cellStyle name="Normal 9" xfId="125" xr:uid="{00000000-0005-0000-0000-000080000000}"/>
    <cellStyle name="Normal10" xfId="10" xr:uid="{00000000-0005-0000-0000-000081000000}"/>
    <cellStyle name="Normal10 2" xfId="11" xr:uid="{00000000-0005-0000-0000-000082000000}"/>
    <cellStyle name="Normal10 3" xfId="105" xr:uid="{00000000-0005-0000-0000-000083000000}"/>
    <cellStyle name="Note 2" xfId="55" xr:uid="{00000000-0005-0000-0000-000084000000}"/>
    <cellStyle name="Note 2 2" xfId="106" xr:uid="{00000000-0005-0000-0000-000085000000}"/>
    <cellStyle name="Note 3" xfId="139" xr:uid="{00000000-0005-0000-0000-000086000000}"/>
    <cellStyle name="Output 2" xfId="56" xr:uid="{00000000-0005-0000-0000-000087000000}"/>
    <cellStyle name="Per cent" xfId="3" builtinId="5"/>
    <cellStyle name="Percent 2" xfId="57" xr:uid="{00000000-0005-0000-0000-000089000000}"/>
    <cellStyle name="Percent 2 2" xfId="107" xr:uid="{00000000-0005-0000-0000-00008A000000}"/>
    <cellStyle name="Percent 2 3" xfId="154" xr:uid="{00000000-0005-0000-0000-00008B000000}"/>
    <cellStyle name="Percent 3" xfId="108" xr:uid="{00000000-0005-0000-0000-00008C000000}"/>
    <cellStyle name="Percent 3 2" xfId="109" xr:uid="{00000000-0005-0000-0000-00008D000000}"/>
    <cellStyle name="Percent 3 2 2" xfId="110" xr:uid="{00000000-0005-0000-0000-00008E000000}"/>
    <cellStyle name="Percent 3 3" xfId="111" xr:uid="{00000000-0005-0000-0000-00008F000000}"/>
    <cellStyle name="Percent 4" xfId="112" xr:uid="{00000000-0005-0000-0000-000090000000}"/>
    <cellStyle name="Percent 5" xfId="113" xr:uid="{00000000-0005-0000-0000-000091000000}"/>
    <cellStyle name="Percent 5 2" xfId="114" xr:uid="{00000000-0005-0000-0000-000092000000}"/>
    <cellStyle name="Percent 6" xfId="115" xr:uid="{00000000-0005-0000-0000-000093000000}"/>
    <cellStyle name="rowfield" xfId="140" xr:uid="{00000000-0005-0000-0000-000094000000}"/>
    <cellStyle name="Style 1" xfId="4" xr:uid="{00000000-0005-0000-0000-000095000000}"/>
    <cellStyle name="Style1" xfId="116" xr:uid="{00000000-0005-0000-0000-000096000000}"/>
    <cellStyle name="Style2" xfId="117" xr:uid="{00000000-0005-0000-0000-000097000000}"/>
    <cellStyle name="Style3" xfId="118" xr:uid="{00000000-0005-0000-0000-000098000000}"/>
    <cellStyle name="Style4" xfId="119" xr:uid="{00000000-0005-0000-0000-000099000000}"/>
    <cellStyle name="Style5" xfId="120" xr:uid="{00000000-0005-0000-0000-00009A000000}"/>
    <cellStyle name="Style6" xfId="121" xr:uid="{00000000-0005-0000-0000-00009B000000}"/>
    <cellStyle name="Style7" xfId="122" xr:uid="{00000000-0005-0000-0000-00009C000000}"/>
    <cellStyle name="Title 2" xfId="58" xr:uid="{00000000-0005-0000-0000-00009D000000}"/>
    <cellStyle name="Total 2" xfId="59" xr:uid="{00000000-0005-0000-0000-00009E000000}"/>
    <cellStyle name="Warning Text 2" xfId="60" xr:uid="{00000000-0005-0000-0000-00009F000000}"/>
    <cellStyle name="whole number" xfId="61" xr:uid="{00000000-0005-0000-0000-0000A0000000}"/>
    <cellStyle name="whole number 2" xfId="62" xr:uid="{00000000-0005-0000-0000-0000A1000000}"/>
    <cellStyle name="whole number 2 2" xfId="123" xr:uid="{00000000-0005-0000-0000-0000A2000000}"/>
    <cellStyle name="whole number 3" xfId="124" xr:uid="{00000000-0005-0000-0000-0000A3000000}"/>
  </cellStyles>
  <dxfs count="0"/>
  <tableStyles count="0" defaultTableStyle="TableStyleMedium2" defaultPivotStyle="PivotStyleLight16"/>
  <colors>
    <mruColors>
      <color rgb="FF767171"/>
      <color rgb="FF183C5C"/>
      <color rgb="FF2C486E"/>
      <color rgb="FFDDE5F1"/>
      <color rgb="FFEEF2F8"/>
      <color rgb="FF789AC8"/>
      <color rgb="FF5C85BC"/>
      <color rgb="FFABC0DD"/>
      <color rgb="FFA8BEDC"/>
      <color rgb="FFB5C8E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styles" Target="styles.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theme" Target="theme/theme1.xml"/><Relationship Id="rId8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0.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7.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8.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19.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0.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1.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2.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3.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4.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Ex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6.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44510185934553598"/>
          <c:y val="2.0390277302293734E-2"/>
          <c:w val="0.54816413511066309"/>
          <c:h val="0.9722563985865732"/>
        </c:manualLayout>
      </c:layout>
      <c:barChart>
        <c:barDir val="bar"/>
        <c:grouping val="clustered"/>
        <c:varyColors val="0"/>
        <c:ser>
          <c:idx val="0"/>
          <c:order val="0"/>
          <c:spPr>
            <a:solidFill>
              <a:srgbClr val="2C486E"/>
            </a:solidFill>
            <a:ln>
              <a:solidFill>
                <a:srgbClr val="2C486E"/>
              </a:solidFill>
            </a:ln>
            <a:effectLst/>
          </c:spPr>
          <c:invertIfNegative val="0"/>
          <c:dLbls>
            <c:dLbl>
              <c:idx val="0"/>
              <c:numFmt formatCode="&quot;£&quot;#,##0&quot;m&quot;"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AE3-464D-99B5-B097BEAC2C79}"/>
                </c:ext>
              </c:extLst>
            </c:dLbl>
            <c:dLbl>
              <c:idx val="1"/>
              <c:numFmt formatCode="&quot;£&quot;#,##0&quot;m&quot;"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AE3-464D-99B5-B097BEAC2C79}"/>
                </c:ext>
              </c:extLst>
            </c:dLbl>
            <c:dLbl>
              <c:idx val="8"/>
              <c:layout>
                <c:manualLayout>
                  <c:x val="-9.8230473999738721E-2"/>
                  <c:y val="3.0430978736353608E-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AE3-464D-99B5-B097BEAC2C79}"/>
                </c:ext>
              </c:extLst>
            </c:dLbl>
            <c:dLbl>
              <c:idx val="9"/>
              <c:layout>
                <c:manualLayout>
                  <c:x val="-0.15409309791332254"/>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AE3-464D-99B5-B097BEAC2C79}"/>
                </c:ext>
              </c:extLst>
            </c:dLbl>
            <c:numFmt formatCode="&quot;£&quot;#,##0&quot;m&quot;"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95000"/>
                        <a:lumOff val="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'Chart 2.1'!$A$7:$A$16</c:f>
              <c:strCache>
                <c:ptCount val="10"/>
                <c:pt idx="0">
                  <c:v>Education Services</c:v>
                </c:pt>
                <c:pt idx="1">
                  <c:v>Social Work Services</c:v>
                </c:pt>
                <c:pt idx="2">
                  <c:v>Environmental Services</c:v>
                </c:pt>
                <c:pt idx="3">
                  <c:v>Culture and Related Services</c:v>
                </c:pt>
                <c:pt idx="4">
                  <c:v>Roads and Transport</c:v>
                </c:pt>
                <c:pt idx="5">
                  <c:v>Central Services</c:v>
                </c:pt>
                <c:pt idx="6">
                  <c:v>Non-HRA Housing</c:v>
                </c:pt>
                <c:pt idx="7">
                  <c:v>Building, Planning &amp; Development</c:v>
                </c:pt>
                <c:pt idx="8">
                  <c:v>Trading Services</c:v>
                </c:pt>
                <c:pt idx="9">
                  <c:v>HRA</c:v>
                </c:pt>
              </c:strCache>
            </c:strRef>
          </c:cat>
          <c:val>
            <c:numRef>
              <c:f>'Chart 2.1'!$B$7:$B$16</c:f>
              <c:numCache>
                <c:formatCode>#,##0</c:formatCode>
                <c:ptCount val="10"/>
                <c:pt idx="0">
                  <c:v>7777.9960000000001</c:v>
                </c:pt>
                <c:pt idx="1">
                  <c:v>4873.13</c:v>
                </c:pt>
                <c:pt idx="2">
                  <c:v>798.16499999999996</c:v>
                </c:pt>
                <c:pt idx="3">
                  <c:v>650.74199999999996</c:v>
                </c:pt>
                <c:pt idx="4">
                  <c:v>440.74900000000002</c:v>
                </c:pt>
                <c:pt idx="5">
                  <c:v>400.565</c:v>
                </c:pt>
                <c:pt idx="6">
                  <c:v>327.904</c:v>
                </c:pt>
                <c:pt idx="7">
                  <c:v>208.04599999999999</c:v>
                </c:pt>
                <c:pt idx="8">
                  <c:v>-52.209000000000003</c:v>
                </c:pt>
                <c:pt idx="9">
                  <c:v>-538.33699999999999</c:v>
                </c:pt>
              </c:numCache>
            </c:numRef>
          </c:val>
          <c:extLst>
            <c:ext xmlns:c16="http://schemas.microsoft.com/office/drawing/2014/chart" uri="{C3380CC4-5D6E-409C-BE32-E72D297353CC}">
              <c16:uniqueId val="{00000000-B67B-4475-A05C-8EF64A32A3C1}"/>
            </c:ext>
          </c:extLst>
        </c:ser>
        <c:dLbls>
          <c:dLblPos val="outEnd"/>
          <c:showLegendKey val="0"/>
          <c:showVal val="1"/>
          <c:showCatName val="0"/>
          <c:showSerName val="0"/>
          <c:showPercent val="0"/>
          <c:showBubbleSize val="0"/>
        </c:dLbls>
        <c:gapWidth val="25"/>
        <c:axId val="225393256"/>
        <c:axId val="225400472"/>
      </c:barChart>
      <c:catAx>
        <c:axId val="225393256"/>
        <c:scaling>
          <c:orientation val="maxMin"/>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225400472"/>
        <c:crosses val="autoZero"/>
        <c:auto val="0"/>
        <c:lblAlgn val="ctr"/>
        <c:lblOffset val="0"/>
        <c:noMultiLvlLbl val="0"/>
      </c:catAx>
      <c:valAx>
        <c:axId val="225400472"/>
        <c:scaling>
          <c:orientation val="minMax"/>
          <c:min val="-1000"/>
        </c:scaling>
        <c:delete val="1"/>
        <c:axPos val="t"/>
        <c:majorGridlines>
          <c:spPr>
            <a:ln w="9525" cap="flat" cmpd="sng" algn="ctr">
              <a:solidFill>
                <a:schemeClr val="bg1">
                  <a:lumMod val="95000"/>
                </a:schemeClr>
              </a:solidFill>
              <a:round/>
            </a:ln>
            <a:effectLst/>
          </c:spPr>
        </c:majorGridlines>
        <c:numFmt formatCode="#,##0" sourceLinked="1"/>
        <c:majorTickMark val="out"/>
        <c:minorTickMark val="none"/>
        <c:tickLblPos val="nextTo"/>
        <c:crossAx val="225393256"/>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1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889790346397472"/>
          <c:y val="1.1658154032357317E-2"/>
          <c:w val="0.73840566528519935"/>
          <c:h val="0.97985101817838449"/>
        </c:manualLayout>
      </c:layout>
      <c:barChart>
        <c:barDir val="bar"/>
        <c:grouping val="clustered"/>
        <c:varyColors val="0"/>
        <c:ser>
          <c:idx val="0"/>
          <c:order val="0"/>
          <c:tx>
            <c:strRef>
              <c:f>'Chart 2.2'!$D$6</c:f>
              <c:strCache>
                <c:ptCount val="1"/>
                <c:pt idx="0">
                  <c:v>Net Revenue Expenditure,
£ per person</c:v>
                </c:pt>
              </c:strCache>
            </c:strRef>
          </c:tx>
          <c:spPr>
            <a:solidFill>
              <a:srgbClr val="DDE5F1"/>
            </a:solidFill>
            <a:ln>
              <a:solidFill>
                <a:srgbClr val="183C5C"/>
              </a:solidFill>
            </a:ln>
            <a:effectLst/>
          </c:spPr>
          <c:invertIfNegative val="0"/>
          <c:dPt>
            <c:idx val="1"/>
            <c:invertIfNegative val="0"/>
            <c:bubble3D val="0"/>
            <c:spPr>
              <a:solidFill>
                <a:srgbClr val="DDE5F1"/>
              </a:solidFill>
              <a:ln>
                <a:solidFill>
                  <a:srgbClr val="183C5C"/>
                </a:solidFill>
              </a:ln>
              <a:effectLst/>
            </c:spPr>
            <c:extLst>
              <c:ext xmlns:c16="http://schemas.microsoft.com/office/drawing/2014/chart" uri="{C3380CC4-5D6E-409C-BE32-E72D297353CC}">
                <c16:uniqueId val="{00000001-A15A-4D37-894F-016243A72FB9}"/>
              </c:ext>
            </c:extLst>
          </c:dPt>
          <c:dPt>
            <c:idx val="11"/>
            <c:invertIfNegative val="0"/>
            <c:bubble3D val="0"/>
            <c:spPr>
              <a:solidFill>
                <a:srgbClr val="DDE5F1"/>
              </a:solidFill>
              <a:ln>
                <a:solidFill>
                  <a:srgbClr val="183C5C"/>
                </a:solidFill>
              </a:ln>
              <a:effectLst/>
            </c:spPr>
            <c:extLst>
              <c:ext xmlns:c16="http://schemas.microsoft.com/office/drawing/2014/chart" uri="{C3380CC4-5D6E-409C-BE32-E72D297353CC}">
                <c16:uniqueId val="{00000003-A15A-4D37-894F-016243A72FB9}"/>
              </c:ext>
            </c:extLst>
          </c:dPt>
          <c:dPt>
            <c:idx val="22"/>
            <c:invertIfNegative val="0"/>
            <c:bubble3D val="0"/>
            <c:spPr>
              <a:solidFill>
                <a:srgbClr val="183C5C"/>
              </a:solidFill>
              <a:ln>
                <a:solidFill>
                  <a:srgbClr val="183C5C"/>
                </a:solidFill>
              </a:ln>
              <a:effectLst/>
            </c:spPr>
            <c:extLst>
              <c:ext xmlns:c16="http://schemas.microsoft.com/office/drawing/2014/chart" uri="{C3380CC4-5D6E-409C-BE32-E72D297353CC}">
                <c16:uniqueId val="{00000005-639A-409F-8CEF-4638437C8131}"/>
              </c:ext>
            </c:extLst>
          </c:dPt>
          <c:dLbls>
            <c:dLbl>
              <c:idx val="11"/>
              <c:numFmt formatCode="&quot;£&quot;#,##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inBase"/>
              <c:showLegendKey val="0"/>
              <c:showVal val="1"/>
              <c:showCatName val="0"/>
              <c:showSerName val="0"/>
              <c:showPercent val="0"/>
              <c:showBubbleSize val="0"/>
              <c:extLst>
                <c:ext xmlns:c16="http://schemas.microsoft.com/office/drawing/2014/chart" uri="{C3380CC4-5D6E-409C-BE32-E72D297353CC}">
                  <c16:uniqueId val="{00000003-A15A-4D37-894F-016243A72FB9}"/>
                </c:ext>
              </c:extLst>
            </c:dLbl>
            <c:dLbl>
              <c:idx val="22"/>
              <c:numFmt formatCode="&quot;£&quot;#,##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inBase"/>
              <c:showLegendKey val="0"/>
              <c:showVal val="1"/>
              <c:showCatName val="0"/>
              <c:showSerName val="0"/>
              <c:showPercent val="0"/>
              <c:showBubbleSize val="0"/>
              <c:extLst>
                <c:ext xmlns:c16="http://schemas.microsoft.com/office/drawing/2014/chart" uri="{C3380CC4-5D6E-409C-BE32-E72D297353CC}">
                  <c16:uniqueId val="{00000005-639A-409F-8CEF-4638437C8131}"/>
                </c:ext>
              </c:extLst>
            </c:dLbl>
            <c:numFmt formatCode="&quot;£&quot;#,##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 2.2'!$A$7:$A$39</c:f>
              <c:strCache>
                <c:ptCount val="33"/>
                <c:pt idx="0">
                  <c:v>Shetland Islands</c:v>
                </c:pt>
                <c:pt idx="1">
                  <c:v>Orkney Islands</c:v>
                </c:pt>
                <c:pt idx="2">
                  <c:v>Na h-Eileanan Siar</c:v>
                </c:pt>
                <c:pt idx="3">
                  <c:v>Argyll &amp; Bute</c:v>
                </c:pt>
                <c:pt idx="4">
                  <c:v>North Ayrshire</c:v>
                </c:pt>
                <c:pt idx="5">
                  <c:v>Dumfries &amp; Galloway</c:v>
                </c:pt>
                <c:pt idx="6">
                  <c:v>West Dunbartonshire</c:v>
                </c:pt>
                <c:pt idx="7">
                  <c:v>Highland</c:v>
                </c:pt>
                <c:pt idx="8">
                  <c:v>Midlothian</c:v>
                </c:pt>
                <c:pt idx="9">
                  <c:v>Stirling</c:v>
                </c:pt>
                <c:pt idx="10">
                  <c:v>Inverclyde</c:v>
                </c:pt>
                <c:pt idx="11">
                  <c:v>East Renfrewshire</c:v>
                </c:pt>
                <c:pt idx="12">
                  <c:v>Clackmannanshire</c:v>
                </c:pt>
                <c:pt idx="13">
                  <c:v>East Dunbartonshire</c:v>
                </c:pt>
                <c:pt idx="14">
                  <c:v>Scottish Borders</c:v>
                </c:pt>
                <c:pt idx="15">
                  <c:v>South Ayrshire</c:v>
                </c:pt>
                <c:pt idx="16">
                  <c:v>Dundee City</c:v>
                </c:pt>
                <c:pt idx="17">
                  <c:v>Angus</c:v>
                </c:pt>
                <c:pt idx="18">
                  <c:v>Perth &amp; Kinross</c:v>
                </c:pt>
                <c:pt idx="19">
                  <c:v>Fife</c:v>
                </c:pt>
                <c:pt idx="20">
                  <c:v>Falkirk</c:v>
                </c:pt>
                <c:pt idx="21">
                  <c:v>Aberdeenshire</c:v>
                </c:pt>
                <c:pt idx="22">
                  <c:v>ALL COUNCILS</c:v>
                </c:pt>
                <c:pt idx="23">
                  <c:v>East Ayrshire</c:v>
                </c:pt>
                <c:pt idx="24">
                  <c:v>Moray</c:v>
                </c:pt>
                <c:pt idx="25">
                  <c:v>Glasgow City</c:v>
                </c:pt>
                <c:pt idx="26">
                  <c:v>North Lanarkshire</c:v>
                </c:pt>
                <c:pt idx="27">
                  <c:v>West Lothian</c:v>
                </c:pt>
                <c:pt idx="28">
                  <c:v>Renfrewshire</c:v>
                </c:pt>
                <c:pt idx="29">
                  <c:v>South Lanarkshire</c:v>
                </c:pt>
                <c:pt idx="30">
                  <c:v>East Lothian</c:v>
                </c:pt>
                <c:pt idx="31">
                  <c:v>City of Edinburgh</c:v>
                </c:pt>
                <c:pt idx="32">
                  <c:v>Aberdeen City</c:v>
                </c:pt>
              </c:strCache>
            </c:strRef>
          </c:cat>
          <c:val>
            <c:numRef>
              <c:f>'Chart 2.2'!$D$7:$D$39</c:f>
              <c:numCache>
                <c:formatCode>#,##0</c:formatCode>
                <c:ptCount val="33"/>
                <c:pt idx="0">
                  <c:v>5307.8050884001696</c:v>
                </c:pt>
                <c:pt idx="1">
                  <c:v>4916.5304268846503</c:v>
                </c:pt>
                <c:pt idx="2">
                  <c:v>4495.6187548039998</c:v>
                </c:pt>
                <c:pt idx="3">
                  <c:v>3391.3901243015198</c:v>
                </c:pt>
                <c:pt idx="4">
                  <c:v>3032.5050369375399</c:v>
                </c:pt>
                <c:pt idx="5">
                  <c:v>3031.6399286987498</c:v>
                </c:pt>
                <c:pt idx="6">
                  <c:v>3018.21140035907</c:v>
                </c:pt>
                <c:pt idx="7">
                  <c:v>3009.4904968603801</c:v>
                </c:pt>
                <c:pt idx="8">
                  <c:v>2972.0364437324802</c:v>
                </c:pt>
                <c:pt idx="9">
                  <c:v>2956.3422142023101</c:v>
                </c:pt>
                <c:pt idx="10">
                  <c:v>2942.4822515213</c:v>
                </c:pt>
                <c:pt idx="11">
                  <c:v>2941.8711810077102</c:v>
                </c:pt>
                <c:pt idx="12">
                  <c:v>2934.2160813663399</c:v>
                </c:pt>
                <c:pt idx="13">
                  <c:v>2917.5775211421301</c:v>
                </c:pt>
                <c:pt idx="14">
                  <c:v>2915.23337322619</c:v>
                </c:pt>
                <c:pt idx="15">
                  <c:v>2904.5430251202602</c:v>
                </c:pt>
                <c:pt idx="16">
                  <c:v>2872.0509741126202</c:v>
                </c:pt>
                <c:pt idx="17">
                  <c:v>2857.9479139447799</c:v>
                </c:pt>
                <c:pt idx="18">
                  <c:v>2816.1701852091701</c:v>
                </c:pt>
                <c:pt idx="19">
                  <c:v>2813.1097235564098</c:v>
                </c:pt>
                <c:pt idx="20">
                  <c:v>2800.1062367204099</c:v>
                </c:pt>
                <c:pt idx="21">
                  <c:v>2782.2959106684798</c:v>
                </c:pt>
                <c:pt idx="22">
                  <c:v>2780.38363770755</c:v>
                </c:pt>
                <c:pt idx="23">
                  <c:v>2780.2271978926601</c:v>
                </c:pt>
                <c:pt idx="24">
                  <c:v>2770.5399431638798</c:v>
                </c:pt>
                <c:pt idx="25">
                  <c:v>2768.0055359065</c:v>
                </c:pt>
                <c:pt idx="26">
                  <c:v>2702.0897428455301</c:v>
                </c:pt>
                <c:pt idx="27">
                  <c:v>2641.5522420081502</c:v>
                </c:pt>
                <c:pt idx="28">
                  <c:v>2640.1014960088801</c:v>
                </c:pt>
                <c:pt idx="29">
                  <c:v>2608.2148310031998</c:v>
                </c:pt>
                <c:pt idx="30">
                  <c:v>2594.3740232679302</c:v>
                </c:pt>
                <c:pt idx="31">
                  <c:v>2340.3576543302902</c:v>
                </c:pt>
                <c:pt idx="32">
                  <c:v>2303.43429113815</c:v>
                </c:pt>
              </c:numCache>
            </c:numRef>
          </c:val>
          <c:extLst>
            <c:ext xmlns:c16="http://schemas.microsoft.com/office/drawing/2014/chart" uri="{C3380CC4-5D6E-409C-BE32-E72D297353CC}">
              <c16:uniqueId val="{00000000-D1B8-486E-95D3-C421D79B2ADF}"/>
            </c:ext>
          </c:extLst>
        </c:ser>
        <c:dLbls>
          <c:dLblPos val="inBase"/>
          <c:showLegendKey val="0"/>
          <c:showVal val="1"/>
          <c:showCatName val="0"/>
          <c:showSerName val="0"/>
          <c:showPercent val="0"/>
          <c:showBubbleSize val="0"/>
        </c:dLbls>
        <c:gapWidth val="25"/>
        <c:axId val="700225096"/>
        <c:axId val="700226736"/>
      </c:barChart>
      <c:catAx>
        <c:axId val="70022509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00226736"/>
        <c:crosses val="autoZero"/>
        <c:auto val="1"/>
        <c:lblAlgn val="ctr"/>
        <c:lblOffset val="100"/>
        <c:noMultiLvlLbl val="0"/>
      </c:catAx>
      <c:valAx>
        <c:axId val="700226736"/>
        <c:scaling>
          <c:orientation val="minMax"/>
          <c:min val="0"/>
        </c:scaling>
        <c:delete val="1"/>
        <c:axPos val="b"/>
        <c:majorGridlines>
          <c:spPr>
            <a:ln w="9525" cap="flat" cmpd="sng" algn="ctr">
              <a:solidFill>
                <a:schemeClr val="bg1">
                  <a:lumMod val="95000"/>
                </a:schemeClr>
              </a:solidFill>
              <a:round/>
            </a:ln>
            <a:effectLst/>
          </c:spPr>
        </c:majorGridlines>
        <c:numFmt formatCode="&quot;£&quot;#,##0" sourceLinked="0"/>
        <c:majorTickMark val="out"/>
        <c:minorTickMark val="none"/>
        <c:tickLblPos val="nextTo"/>
        <c:crossAx val="700225096"/>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1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3034600455964902"/>
          <c:y val="1.8171876242742385E-2"/>
          <c:w val="0.63415441341167145"/>
          <c:h val="0.78517419135557698"/>
        </c:manualLayout>
      </c:layout>
      <c:barChart>
        <c:barDir val="bar"/>
        <c:grouping val="stacked"/>
        <c:varyColors val="0"/>
        <c:ser>
          <c:idx val="4"/>
          <c:order val="0"/>
          <c:tx>
            <c:v>Adjustment for Intra / Inter Authority Transfers</c:v>
          </c:tx>
          <c:spPr>
            <a:solidFill>
              <a:srgbClr val="789AC8"/>
            </a:solidFill>
            <a:ln>
              <a:solidFill>
                <a:srgbClr val="2C486E"/>
              </a:solidFill>
            </a:ln>
            <a:effectLst/>
          </c:spPr>
          <c:invertIfNegative val="0"/>
          <c:cat>
            <c:strRef>
              <c:f>'Chart 2.3'!$A$8:$A$15</c:f>
              <c:strCache>
                <c:ptCount val="8"/>
                <c:pt idx="0">
                  <c:v>Social Work</c:v>
                </c:pt>
                <c:pt idx="1">
                  <c:v>Education</c:v>
                </c:pt>
                <c:pt idx="2">
                  <c:v>Non-HRA Housing</c:v>
                </c:pt>
                <c:pt idx="3">
                  <c:v>Other</c:v>
                </c:pt>
                <c:pt idx="4">
                  <c:v>HRA</c:v>
                </c:pt>
                <c:pt idx="5">
                  <c:v>Environmental Services</c:v>
                </c:pt>
                <c:pt idx="6">
                  <c:v>Roads &amp; Transport</c:v>
                </c:pt>
                <c:pt idx="7">
                  <c:v>Culture &amp; Related Services</c:v>
                </c:pt>
              </c:strCache>
            </c:strRef>
          </c:cat>
          <c:val>
            <c:numRef>
              <c:f>'Chart 2.3'!$F$8:$F$15</c:f>
              <c:numCache>
                <c:formatCode>#,##0</c:formatCode>
                <c:ptCount val="8"/>
                <c:pt idx="0">
                  <c:v>-44.667000000000002</c:v>
                </c:pt>
                <c:pt idx="1">
                  <c:v>-100.91500000000001</c:v>
                </c:pt>
                <c:pt idx="2">
                  <c:v>-112.461</c:v>
                </c:pt>
                <c:pt idx="3">
                  <c:v>-699.86199999999997</c:v>
                </c:pt>
                <c:pt idx="4">
                  <c:v>-16.837</c:v>
                </c:pt>
                <c:pt idx="5">
                  <c:v>-84.748999999999995</c:v>
                </c:pt>
                <c:pt idx="6">
                  <c:v>-232.64699999999999</c:v>
                </c:pt>
                <c:pt idx="7">
                  <c:v>-47.911999999999999</c:v>
                </c:pt>
              </c:numCache>
            </c:numRef>
          </c:val>
          <c:extLst>
            <c:ext xmlns:c16="http://schemas.microsoft.com/office/drawing/2014/chart" uri="{C3380CC4-5D6E-409C-BE32-E72D297353CC}">
              <c16:uniqueId val="{00000004-224E-4BEE-A593-37EF0F7B3B3A}"/>
            </c:ext>
          </c:extLst>
        </c:ser>
        <c:ser>
          <c:idx val="0"/>
          <c:order val="1"/>
          <c:tx>
            <c:strRef>
              <c:f>'Chart 2.3'!$B$7</c:f>
              <c:strCache>
                <c:ptCount val="1"/>
                <c:pt idx="0">
                  <c:v>Employee 
Costs</c:v>
                </c:pt>
              </c:strCache>
            </c:strRef>
          </c:tx>
          <c:spPr>
            <a:solidFill>
              <a:srgbClr val="2C486E"/>
            </a:solidFill>
            <a:ln>
              <a:solidFill>
                <a:srgbClr val="2C486E"/>
              </a:solidFill>
            </a:ln>
            <a:effectLst/>
          </c:spPr>
          <c:invertIfNegative val="0"/>
          <c:cat>
            <c:strRef>
              <c:f>'Chart 2.3'!$A$8:$A$15</c:f>
              <c:strCache>
                <c:ptCount val="8"/>
                <c:pt idx="0">
                  <c:v>Social Work</c:v>
                </c:pt>
                <c:pt idx="1">
                  <c:v>Education</c:v>
                </c:pt>
                <c:pt idx="2">
                  <c:v>Non-HRA Housing</c:v>
                </c:pt>
                <c:pt idx="3">
                  <c:v>Other</c:v>
                </c:pt>
                <c:pt idx="4">
                  <c:v>HRA</c:v>
                </c:pt>
                <c:pt idx="5">
                  <c:v>Environmental Services</c:v>
                </c:pt>
                <c:pt idx="6">
                  <c:v>Roads &amp; Transport</c:v>
                </c:pt>
                <c:pt idx="7">
                  <c:v>Culture &amp; Related Services</c:v>
                </c:pt>
              </c:strCache>
            </c:strRef>
          </c:cat>
          <c:val>
            <c:numRef>
              <c:f>'Chart 2.3'!$B$8:$B$15</c:f>
              <c:numCache>
                <c:formatCode>#,##0</c:formatCode>
                <c:ptCount val="8"/>
                <c:pt idx="0">
                  <c:v>2000.2840000000001</c:v>
                </c:pt>
                <c:pt idx="1">
                  <c:v>5846.5020000000004</c:v>
                </c:pt>
                <c:pt idx="2">
                  <c:v>188.26</c:v>
                </c:pt>
                <c:pt idx="3">
                  <c:v>870.08199999999999</c:v>
                </c:pt>
                <c:pt idx="4">
                  <c:v>226.34800000000001</c:v>
                </c:pt>
                <c:pt idx="5">
                  <c:v>474.26100000000002</c:v>
                </c:pt>
                <c:pt idx="6">
                  <c:v>311.34100000000001</c:v>
                </c:pt>
                <c:pt idx="7">
                  <c:v>293.43700000000001</c:v>
                </c:pt>
              </c:numCache>
            </c:numRef>
          </c:val>
          <c:extLst>
            <c:ext xmlns:c16="http://schemas.microsoft.com/office/drawing/2014/chart" uri="{C3380CC4-5D6E-409C-BE32-E72D297353CC}">
              <c16:uniqueId val="{00000000-224E-4BEE-A593-37EF0F7B3B3A}"/>
            </c:ext>
          </c:extLst>
        </c:ser>
        <c:ser>
          <c:idx val="1"/>
          <c:order val="2"/>
          <c:tx>
            <c:strRef>
              <c:f>'Chart 2.3'!$C$7</c:f>
              <c:strCache>
                <c:ptCount val="1"/>
                <c:pt idx="0">
                  <c:v>Operating 
Costs</c:v>
                </c:pt>
              </c:strCache>
            </c:strRef>
          </c:tx>
          <c:spPr>
            <a:solidFill>
              <a:srgbClr val="ABC0DD"/>
            </a:solidFill>
            <a:ln>
              <a:solidFill>
                <a:srgbClr val="2C486E"/>
              </a:solidFill>
            </a:ln>
            <a:effectLst/>
          </c:spPr>
          <c:invertIfNegative val="0"/>
          <c:cat>
            <c:strRef>
              <c:f>'Chart 2.3'!$A$8:$A$15</c:f>
              <c:strCache>
                <c:ptCount val="8"/>
                <c:pt idx="0">
                  <c:v>Social Work</c:v>
                </c:pt>
                <c:pt idx="1">
                  <c:v>Education</c:v>
                </c:pt>
                <c:pt idx="2">
                  <c:v>Non-HRA Housing</c:v>
                </c:pt>
                <c:pt idx="3">
                  <c:v>Other</c:v>
                </c:pt>
                <c:pt idx="4">
                  <c:v>HRA</c:v>
                </c:pt>
                <c:pt idx="5">
                  <c:v>Environmental Services</c:v>
                </c:pt>
                <c:pt idx="6">
                  <c:v>Roads &amp; Transport</c:v>
                </c:pt>
                <c:pt idx="7">
                  <c:v>Culture &amp; Related Services</c:v>
                </c:pt>
              </c:strCache>
            </c:strRef>
          </c:cat>
          <c:val>
            <c:numRef>
              <c:f>'Chart 2.3'!$C$8:$C$15</c:f>
              <c:numCache>
                <c:formatCode>#,##0</c:formatCode>
                <c:ptCount val="8"/>
                <c:pt idx="0">
                  <c:v>3919.3220000000001</c:v>
                </c:pt>
                <c:pt idx="1">
                  <c:v>2144.3890000000001</c:v>
                </c:pt>
                <c:pt idx="2">
                  <c:v>536.78399999999999</c:v>
                </c:pt>
                <c:pt idx="3">
                  <c:v>1062.557</c:v>
                </c:pt>
                <c:pt idx="4">
                  <c:v>738.12</c:v>
                </c:pt>
                <c:pt idx="5">
                  <c:v>551.63300000000004</c:v>
                </c:pt>
                <c:pt idx="6">
                  <c:v>717.61500000000001</c:v>
                </c:pt>
                <c:pt idx="7">
                  <c:v>493.88499999999999</c:v>
                </c:pt>
              </c:numCache>
            </c:numRef>
          </c:val>
          <c:extLst>
            <c:ext xmlns:c16="http://schemas.microsoft.com/office/drawing/2014/chart" uri="{C3380CC4-5D6E-409C-BE32-E72D297353CC}">
              <c16:uniqueId val="{00000001-224E-4BEE-A593-37EF0F7B3B3A}"/>
            </c:ext>
          </c:extLst>
        </c:ser>
        <c:ser>
          <c:idx val="2"/>
          <c:order val="3"/>
          <c:tx>
            <c:strRef>
              <c:f>'Chart 2.3'!$D$7</c:f>
              <c:strCache>
                <c:ptCount val="1"/>
                <c:pt idx="0">
                  <c:v>Transfer 
Payments</c:v>
                </c:pt>
              </c:strCache>
            </c:strRef>
          </c:tx>
          <c:spPr>
            <a:solidFill>
              <a:srgbClr val="4774B1"/>
            </a:solidFill>
            <a:ln>
              <a:solidFill>
                <a:srgbClr val="2C486E"/>
              </a:solidFill>
            </a:ln>
            <a:effectLst/>
          </c:spPr>
          <c:invertIfNegative val="0"/>
          <c:cat>
            <c:strRef>
              <c:f>'Chart 2.3'!$A$8:$A$15</c:f>
              <c:strCache>
                <c:ptCount val="8"/>
                <c:pt idx="0">
                  <c:v>Social Work</c:v>
                </c:pt>
                <c:pt idx="1">
                  <c:v>Education</c:v>
                </c:pt>
                <c:pt idx="2">
                  <c:v>Non-HRA Housing</c:v>
                </c:pt>
                <c:pt idx="3">
                  <c:v>Other</c:v>
                </c:pt>
                <c:pt idx="4">
                  <c:v>HRA</c:v>
                </c:pt>
                <c:pt idx="5">
                  <c:v>Environmental Services</c:v>
                </c:pt>
                <c:pt idx="6">
                  <c:v>Roads &amp; Transport</c:v>
                </c:pt>
                <c:pt idx="7">
                  <c:v>Culture &amp; Related Services</c:v>
                </c:pt>
              </c:strCache>
            </c:strRef>
          </c:cat>
          <c:val>
            <c:numRef>
              <c:f>'Chart 2.3'!$D$8:$D$15</c:f>
              <c:numCache>
                <c:formatCode>#,##0</c:formatCode>
                <c:ptCount val="8"/>
                <c:pt idx="0">
                  <c:v>4160.6019999999999</c:v>
                </c:pt>
                <c:pt idx="1">
                  <c:v>77.180000000000007</c:v>
                </c:pt>
                <c:pt idx="2">
                  <c:v>1495.944</c:v>
                </c:pt>
                <c:pt idx="3">
                  <c:v>123.32899999999999</c:v>
                </c:pt>
                <c:pt idx="4">
                  <c:v>14.715999999999999</c:v>
                </c:pt>
                <c:pt idx="5">
                  <c:v>1.2430000000000001</c:v>
                </c:pt>
                <c:pt idx="6">
                  <c:v>21.757999999999999</c:v>
                </c:pt>
                <c:pt idx="7">
                  <c:v>12.686999999999999</c:v>
                </c:pt>
              </c:numCache>
            </c:numRef>
          </c:val>
          <c:extLst>
            <c:ext xmlns:c16="http://schemas.microsoft.com/office/drawing/2014/chart" uri="{C3380CC4-5D6E-409C-BE32-E72D297353CC}">
              <c16:uniqueId val="{00000002-224E-4BEE-A593-37EF0F7B3B3A}"/>
            </c:ext>
          </c:extLst>
        </c:ser>
        <c:ser>
          <c:idx val="3"/>
          <c:order val="4"/>
          <c:tx>
            <c:strRef>
              <c:f>'Chart 2.3'!$E$7</c:f>
              <c:strCache>
                <c:ptCount val="1"/>
                <c:pt idx="0">
                  <c:v>Support 
Services</c:v>
                </c:pt>
              </c:strCache>
            </c:strRef>
          </c:tx>
          <c:spPr>
            <a:solidFill>
              <a:srgbClr val="DDE5F1"/>
            </a:solidFill>
            <a:ln>
              <a:solidFill>
                <a:srgbClr val="2C486E"/>
              </a:solidFill>
            </a:ln>
            <a:effectLst/>
          </c:spPr>
          <c:invertIfNegative val="0"/>
          <c:cat>
            <c:strRef>
              <c:f>'Chart 2.3'!$A$8:$A$15</c:f>
              <c:strCache>
                <c:ptCount val="8"/>
                <c:pt idx="0">
                  <c:v>Social Work</c:v>
                </c:pt>
                <c:pt idx="1">
                  <c:v>Education</c:v>
                </c:pt>
                <c:pt idx="2">
                  <c:v>Non-HRA Housing</c:v>
                </c:pt>
                <c:pt idx="3">
                  <c:v>Other</c:v>
                </c:pt>
                <c:pt idx="4">
                  <c:v>HRA</c:v>
                </c:pt>
                <c:pt idx="5">
                  <c:v>Environmental Services</c:v>
                </c:pt>
                <c:pt idx="6">
                  <c:v>Roads &amp; Transport</c:v>
                </c:pt>
                <c:pt idx="7">
                  <c:v>Culture &amp; Related Services</c:v>
                </c:pt>
              </c:strCache>
            </c:strRef>
          </c:cat>
          <c:val>
            <c:numRef>
              <c:f>'Chart 2.3'!$E$8:$E$15</c:f>
              <c:numCache>
                <c:formatCode>#,##0</c:formatCode>
                <c:ptCount val="8"/>
                <c:pt idx="0">
                  <c:v>195.22499999999999</c:v>
                </c:pt>
                <c:pt idx="1">
                  <c:v>288.06299999999999</c:v>
                </c:pt>
                <c:pt idx="2">
                  <c:v>44.707999999999998</c:v>
                </c:pt>
                <c:pt idx="3">
                  <c:v>178.952</c:v>
                </c:pt>
                <c:pt idx="4">
                  <c:v>60.323</c:v>
                </c:pt>
                <c:pt idx="5">
                  <c:v>57.216000000000001</c:v>
                </c:pt>
                <c:pt idx="6">
                  <c:v>47.883000000000003</c:v>
                </c:pt>
                <c:pt idx="7">
                  <c:v>37.274999999999999</c:v>
                </c:pt>
              </c:numCache>
            </c:numRef>
          </c:val>
          <c:extLst>
            <c:ext xmlns:c16="http://schemas.microsoft.com/office/drawing/2014/chart" uri="{C3380CC4-5D6E-409C-BE32-E72D297353CC}">
              <c16:uniqueId val="{00000003-224E-4BEE-A593-37EF0F7B3B3A}"/>
            </c:ext>
          </c:extLst>
        </c:ser>
        <c:dLbls>
          <c:showLegendKey val="0"/>
          <c:showVal val="0"/>
          <c:showCatName val="0"/>
          <c:showSerName val="0"/>
          <c:showPercent val="0"/>
          <c:showBubbleSize val="0"/>
        </c:dLbls>
        <c:gapWidth val="25"/>
        <c:overlap val="100"/>
        <c:axId val="439039720"/>
        <c:axId val="439034144"/>
      </c:barChart>
      <c:catAx>
        <c:axId val="439039720"/>
        <c:scaling>
          <c:orientation val="maxMin"/>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39034144"/>
        <c:crosses val="autoZero"/>
        <c:auto val="1"/>
        <c:lblAlgn val="ctr"/>
        <c:lblOffset val="100"/>
        <c:noMultiLvlLbl val="0"/>
      </c:catAx>
      <c:valAx>
        <c:axId val="439034144"/>
        <c:scaling>
          <c:orientation val="minMax"/>
          <c:max val="10000"/>
          <c:min val="-1000"/>
        </c:scaling>
        <c:delete val="0"/>
        <c:axPos val="t"/>
        <c:majorGridlines>
          <c:spPr>
            <a:ln w="9525" cap="flat" cmpd="sng" algn="ctr">
              <a:solidFill>
                <a:schemeClr val="bg1">
                  <a:lumMod val="95000"/>
                </a:schemeClr>
              </a:solidFill>
              <a:round/>
            </a:ln>
            <a:effectLst/>
          </c:spPr>
        </c:majorGridlines>
        <c:numFmt formatCode="&quot;£&quot;#,##0&quot;m&quot;" sourceLinked="0"/>
        <c:majorTickMark val="none"/>
        <c:minorTickMark val="none"/>
        <c:tickLblPos val="high"/>
        <c:spPr>
          <a:noFill/>
          <a:ln>
            <a:noFill/>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39039720"/>
        <c:crosses val="autoZero"/>
        <c:crossBetween val="between"/>
        <c:majorUnit val="2500"/>
      </c:valAx>
      <c:spPr>
        <a:noFill/>
        <a:ln>
          <a:noFill/>
        </a:ln>
        <a:effectLst/>
      </c:spPr>
    </c:plotArea>
    <c:legend>
      <c:legendPos val="b"/>
      <c:layout>
        <c:manualLayout>
          <c:xMode val="edge"/>
          <c:yMode val="edge"/>
          <c:x val="4.2840605622987082E-2"/>
          <c:y val="0.8929316775511954"/>
          <c:w val="0.93501087199986221"/>
          <c:h val="7.9926255130469706E-2"/>
        </c:manualLayout>
      </c:layout>
      <c:overlay val="1"/>
      <c:spPr>
        <a:solidFill>
          <a:schemeClr val="bg1"/>
        </a:solidFill>
        <a:ln>
          <a:solidFill>
            <a:schemeClr val="bg1">
              <a:lumMod val="95000"/>
            </a:schemeClr>
          </a:solidFill>
        </a:ln>
        <a:effectLst/>
      </c:spPr>
      <c:txPr>
        <a:bodyPr rot="0" spcFirstLastPara="1" vertOverflow="ellipsis" vert="horz" wrap="square" anchor="ctr" anchorCtr="1"/>
        <a:lstStyle/>
        <a:p>
          <a:pPr>
            <a:defRPr sz="14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bg1"/>
      </a:solidFill>
      <a:round/>
    </a:ln>
    <a:effectLst/>
  </c:spPr>
  <c:txPr>
    <a:bodyPr/>
    <a:lstStyle/>
    <a:p>
      <a:pPr>
        <a:defRPr sz="11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9933987301866596"/>
          <c:y val="1.3639173810763365E-2"/>
          <c:w val="0.73665846456692918"/>
          <c:h val="0.78188139240568655"/>
        </c:manualLayout>
      </c:layout>
      <c:barChart>
        <c:barDir val="bar"/>
        <c:grouping val="stacked"/>
        <c:varyColors val="0"/>
        <c:ser>
          <c:idx val="0"/>
          <c:order val="0"/>
          <c:tx>
            <c:strRef>
              <c:f>'Chart 2.4'!$B$8</c:f>
              <c:strCache>
                <c:ptCount val="1"/>
                <c:pt idx="0">
                  <c:v>Government 
Grants</c:v>
                </c:pt>
              </c:strCache>
            </c:strRef>
          </c:tx>
          <c:spPr>
            <a:solidFill>
              <a:srgbClr val="2C486E"/>
            </a:solidFill>
            <a:ln>
              <a:solidFill>
                <a:srgbClr val="2C486E"/>
              </a:solidFill>
            </a:ln>
            <a:effectLst/>
          </c:spPr>
          <c:invertIfNegative val="0"/>
          <c:cat>
            <c:strRef>
              <c:f>'Chart 2.4'!$A$9:$A$16</c:f>
              <c:strCache>
                <c:ptCount val="8"/>
                <c:pt idx="0">
                  <c:v>Social Work 
Services</c:v>
                </c:pt>
                <c:pt idx="1">
                  <c:v>Non-HRA 
Housing</c:v>
                </c:pt>
                <c:pt idx="2">
                  <c:v>HRA</c:v>
                </c:pt>
                <c:pt idx="3">
                  <c:v>Other</c:v>
                </c:pt>
                <c:pt idx="4">
                  <c:v>Education 
Services</c:v>
                </c:pt>
                <c:pt idx="5">
                  <c:v>Roads and Transport</c:v>
                </c:pt>
                <c:pt idx="6">
                  <c:v>Environmental 
Services</c:v>
                </c:pt>
                <c:pt idx="7">
                  <c:v>Culture and 
Related 
Services</c:v>
                </c:pt>
              </c:strCache>
            </c:strRef>
          </c:cat>
          <c:val>
            <c:numRef>
              <c:f>'Chart 2.4'!$B$9:$B$16</c:f>
              <c:numCache>
                <c:formatCode>#,##0</c:formatCode>
                <c:ptCount val="8"/>
                <c:pt idx="0">
                  <c:v>201.04900000000001</c:v>
                </c:pt>
                <c:pt idx="1">
                  <c:v>1322.114</c:v>
                </c:pt>
                <c:pt idx="2">
                  <c:v>6.8860000000000001</c:v>
                </c:pt>
                <c:pt idx="3">
                  <c:v>301.53300000000002</c:v>
                </c:pt>
                <c:pt idx="4">
                  <c:v>297.62</c:v>
                </c:pt>
                <c:pt idx="5">
                  <c:v>119.233</c:v>
                </c:pt>
                <c:pt idx="6">
                  <c:v>7.7839999999999998</c:v>
                </c:pt>
                <c:pt idx="7">
                  <c:v>13.943</c:v>
                </c:pt>
              </c:numCache>
            </c:numRef>
          </c:val>
          <c:extLst>
            <c:ext xmlns:c16="http://schemas.microsoft.com/office/drawing/2014/chart" uri="{C3380CC4-5D6E-409C-BE32-E72D297353CC}">
              <c16:uniqueId val="{00000000-0725-464D-89FC-4D1E82833560}"/>
            </c:ext>
          </c:extLst>
        </c:ser>
        <c:ser>
          <c:idx val="1"/>
          <c:order val="1"/>
          <c:tx>
            <c:strRef>
              <c:f>'Chart 2.4'!$C$8</c:f>
              <c:strCache>
                <c:ptCount val="1"/>
                <c:pt idx="0">
                  <c:v>Other Grants, 
Reimbursements 
&amp; Contributions</c:v>
                </c:pt>
              </c:strCache>
            </c:strRef>
          </c:tx>
          <c:spPr>
            <a:solidFill>
              <a:srgbClr val="789AC8"/>
            </a:solidFill>
            <a:ln>
              <a:solidFill>
                <a:srgbClr val="2C486E"/>
              </a:solidFill>
            </a:ln>
            <a:effectLst/>
          </c:spPr>
          <c:invertIfNegative val="0"/>
          <c:cat>
            <c:strRef>
              <c:f>'Chart 2.4'!$A$9:$A$16</c:f>
              <c:strCache>
                <c:ptCount val="8"/>
                <c:pt idx="0">
                  <c:v>Social Work 
Services</c:v>
                </c:pt>
                <c:pt idx="1">
                  <c:v>Non-HRA 
Housing</c:v>
                </c:pt>
                <c:pt idx="2">
                  <c:v>HRA</c:v>
                </c:pt>
                <c:pt idx="3">
                  <c:v>Other</c:v>
                </c:pt>
                <c:pt idx="4">
                  <c:v>Education 
Services</c:v>
                </c:pt>
                <c:pt idx="5">
                  <c:v>Roads and Transport</c:v>
                </c:pt>
                <c:pt idx="6">
                  <c:v>Environmental 
Services</c:v>
                </c:pt>
                <c:pt idx="7">
                  <c:v>Culture and 
Related 
Services</c:v>
                </c:pt>
              </c:strCache>
            </c:strRef>
          </c:cat>
          <c:val>
            <c:numRef>
              <c:f>'Chart 2.4'!$C$9:$C$16</c:f>
              <c:numCache>
                <c:formatCode>#,##0</c:formatCode>
                <c:ptCount val="8"/>
                <c:pt idx="0">
                  <c:v>4789.0349999999999</c:v>
                </c:pt>
                <c:pt idx="1">
                  <c:v>211.739</c:v>
                </c:pt>
                <c:pt idx="2">
                  <c:v>16.170000000000002</c:v>
                </c:pt>
                <c:pt idx="3">
                  <c:v>100.79300000000001</c:v>
                </c:pt>
                <c:pt idx="4">
                  <c:v>73.106999999999999</c:v>
                </c:pt>
                <c:pt idx="5">
                  <c:v>26.469000000000001</c:v>
                </c:pt>
                <c:pt idx="6">
                  <c:v>9.5890000000000004</c:v>
                </c:pt>
                <c:pt idx="7">
                  <c:v>17.922999999999998</c:v>
                </c:pt>
              </c:numCache>
            </c:numRef>
          </c:val>
          <c:extLst>
            <c:ext xmlns:c16="http://schemas.microsoft.com/office/drawing/2014/chart" uri="{C3380CC4-5D6E-409C-BE32-E72D297353CC}">
              <c16:uniqueId val="{00000001-0725-464D-89FC-4D1E82833560}"/>
            </c:ext>
          </c:extLst>
        </c:ser>
        <c:ser>
          <c:idx val="2"/>
          <c:order val="2"/>
          <c:tx>
            <c:strRef>
              <c:f>'Chart 2.4'!$D$8</c:f>
              <c:strCache>
                <c:ptCount val="1"/>
                <c:pt idx="0">
                  <c:v>Customer and 
Client Receipts</c:v>
                </c:pt>
              </c:strCache>
            </c:strRef>
          </c:tx>
          <c:spPr>
            <a:solidFill>
              <a:srgbClr val="DDE5F1"/>
            </a:solidFill>
            <a:ln>
              <a:solidFill>
                <a:srgbClr val="2C486E"/>
              </a:solidFill>
            </a:ln>
            <a:effectLst/>
          </c:spPr>
          <c:invertIfNegative val="0"/>
          <c:cat>
            <c:strRef>
              <c:f>'Chart 2.4'!$A$9:$A$16</c:f>
              <c:strCache>
                <c:ptCount val="8"/>
                <c:pt idx="0">
                  <c:v>Social Work 
Services</c:v>
                </c:pt>
                <c:pt idx="1">
                  <c:v>Non-HRA 
Housing</c:v>
                </c:pt>
                <c:pt idx="2">
                  <c:v>HRA</c:v>
                </c:pt>
                <c:pt idx="3">
                  <c:v>Other</c:v>
                </c:pt>
                <c:pt idx="4">
                  <c:v>Education 
Services</c:v>
                </c:pt>
                <c:pt idx="5">
                  <c:v>Roads and Transport</c:v>
                </c:pt>
                <c:pt idx="6">
                  <c:v>Environmental 
Services</c:v>
                </c:pt>
                <c:pt idx="7">
                  <c:v>Culture and 
Related 
Services</c:v>
                </c:pt>
              </c:strCache>
            </c:strRef>
          </c:cat>
          <c:val>
            <c:numRef>
              <c:f>'Chart 2.4'!$D$9:$D$16</c:f>
              <c:numCache>
                <c:formatCode>#,##0</c:formatCode>
                <c:ptCount val="8"/>
                <c:pt idx="0">
                  <c:v>367.55200000000002</c:v>
                </c:pt>
                <c:pt idx="1">
                  <c:v>291.47800000000001</c:v>
                </c:pt>
                <c:pt idx="2">
                  <c:v>1537.951</c:v>
                </c:pt>
                <c:pt idx="3">
                  <c:v>576.33000000000004</c:v>
                </c:pt>
                <c:pt idx="4">
                  <c:v>106.496</c:v>
                </c:pt>
                <c:pt idx="5">
                  <c:v>279.49900000000002</c:v>
                </c:pt>
                <c:pt idx="6">
                  <c:v>184.066</c:v>
                </c:pt>
                <c:pt idx="7">
                  <c:v>106.764</c:v>
                </c:pt>
              </c:numCache>
            </c:numRef>
          </c:val>
          <c:extLst>
            <c:ext xmlns:c16="http://schemas.microsoft.com/office/drawing/2014/chart" uri="{C3380CC4-5D6E-409C-BE32-E72D297353CC}">
              <c16:uniqueId val="{00000002-0725-464D-89FC-4D1E82833560}"/>
            </c:ext>
          </c:extLst>
        </c:ser>
        <c:dLbls>
          <c:showLegendKey val="0"/>
          <c:showVal val="0"/>
          <c:showCatName val="0"/>
          <c:showSerName val="0"/>
          <c:showPercent val="0"/>
          <c:showBubbleSize val="0"/>
        </c:dLbls>
        <c:gapWidth val="50"/>
        <c:overlap val="100"/>
        <c:axId val="439039720"/>
        <c:axId val="439034144"/>
      </c:barChart>
      <c:catAx>
        <c:axId val="439039720"/>
        <c:scaling>
          <c:orientation val="maxMin"/>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39034144"/>
        <c:crosses val="autoZero"/>
        <c:auto val="1"/>
        <c:lblAlgn val="ctr"/>
        <c:lblOffset val="100"/>
        <c:noMultiLvlLbl val="0"/>
      </c:catAx>
      <c:valAx>
        <c:axId val="439034144"/>
        <c:scaling>
          <c:orientation val="minMax"/>
        </c:scaling>
        <c:delete val="0"/>
        <c:axPos val="t"/>
        <c:majorGridlines>
          <c:spPr>
            <a:ln w="9525" cap="flat" cmpd="sng" algn="ctr">
              <a:solidFill>
                <a:schemeClr val="bg1">
                  <a:lumMod val="95000"/>
                </a:schemeClr>
              </a:solidFill>
              <a:round/>
            </a:ln>
            <a:effectLst/>
          </c:spPr>
        </c:majorGridlines>
        <c:numFmt formatCode="&quot;£&quot;#,##0&quot;m&quot;" sourceLinked="0"/>
        <c:majorTickMark val="none"/>
        <c:minorTickMark val="none"/>
        <c:tickLblPos val="high"/>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39039720"/>
        <c:crosses val="autoZero"/>
        <c:crossBetween val="between"/>
        <c:majorUnit val="1000"/>
      </c:valAx>
      <c:spPr>
        <a:noFill/>
        <a:ln>
          <a:noFill/>
        </a:ln>
        <a:effectLst/>
      </c:spPr>
    </c:plotArea>
    <c:legend>
      <c:legendPos val="b"/>
      <c:layout>
        <c:manualLayout>
          <c:xMode val="edge"/>
          <c:yMode val="edge"/>
          <c:x val="4.0733689538807641E-2"/>
          <c:y val="0.87034967720967338"/>
          <c:w val="0.92388962317210344"/>
          <c:h val="0.11464094192728723"/>
        </c:manualLayout>
      </c:layout>
      <c:overlay val="1"/>
      <c:spPr>
        <a:solidFill>
          <a:schemeClr val="bg1"/>
        </a:solidFill>
        <a:ln>
          <a:solidFill>
            <a:schemeClr val="bg1">
              <a:lumMod val="95000"/>
            </a:schemeClr>
          </a:solid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sz="14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3971997792657396"/>
          <c:y val="5.4470457079152733E-2"/>
          <c:w val="0.69755037895746164"/>
          <c:h val="0.80626924081471874"/>
        </c:manualLayout>
      </c:layout>
      <c:barChart>
        <c:barDir val="bar"/>
        <c:grouping val="stacked"/>
        <c:varyColors val="0"/>
        <c:ser>
          <c:idx val="0"/>
          <c:order val="0"/>
          <c:tx>
            <c:strRef>
              <c:f>'Chart 2.5'!$D$6</c:f>
              <c:strCache>
                <c:ptCount val="1"/>
                <c:pt idx="0">
                  <c:v>Service Expenditure 
met by Service 
Income</c:v>
                </c:pt>
              </c:strCache>
            </c:strRef>
          </c:tx>
          <c:spPr>
            <a:solidFill>
              <a:srgbClr val="2C486E"/>
            </a:solidFill>
            <a:ln>
              <a:solidFill>
                <a:srgbClr val="2C486E"/>
              </a:solidFill>
            </a:ln>
            <a:effectLst/>
          </c:spPr>
          <c:invertIfNegative val="0"/>
          <c:cat>
            <c:strRef>
              <c:f>'Chart 2.5'!$A$7:$A$16</c:f>
              <c:strCache>
                <c:ptCount val="10"/>
                <c:pt idx="0">
                  <c:v>Social Work 
Services</c:v>
                </c:pt>
                <c:pt idx="1">
                  <c:v>Education 
Services</c:v>
                </c:pt>
                <c:pt idx="2">
                  <c:v>Non-HRA 
Housing</c:v>
                </c:pt>
                <c:pt idx="3">
                  <c:v>HRA</c:v>
                </c:pt>
                <c:pt idx="4">
                  <c:v>Environmental 
Services</c:v>
                </c:pt>
                <c:pt idx="5">
                  <c:v>Roads and Transport</c:v>
                </c:pt>
                <c:pt idx="6">
                  <c:v>Culture and 
Related 
Services</c:v>
                </c:pt>
                <c:pt idx="7">
                  <c:v>Central 
Services</c:v>
                </c:pt>
                <c:pt idx="8">
                  <c:v>Building, 
Planning &amp; 
Development</c:v>
                </c:pt>
                <c:pt idx="9">
                  <c:v>Trading Services</c:v>
                </c:pt>
              </c:strCache>
            </c:strRef>
          </c:cat>
          <c:val>
            <c:numRef>
              <c:f>'Chart 2.5'!$D$7:$D$16</c:f>
              <c:numCache>
                <c:formatCode>#,##0</c:formatCode>
                <c:ptCount val="10"/>
                <c:pt idx="0">
                  <c:v>5357.6360000000004</c:v>
                </c:pt>
                <c:pt idx="1">
                  <c:v>477.22300000000001</c:v>
                </c:pt>
                <c:pt idx="2">
                  <c:v>1825.3309999999999</c:v>
                </c:pt>
                <c:pt idx="3">
                  <c:v>1022.67</c:v>
                </c:pt>
                <c:pt idx="4">
                  <c:v>201.43899999999999</c:v>
                </c:pt>
                <c:pt idx="5">
                  <c:v>425.20100000000002</c:v>
                </c:pt>
                <c:pt idx="6">
                  <c:v>138.63</c:v>
                </c:pt>
                <c:pt idx="7">
                  <c:v>348.07299999999998</c:v>
                </c:pt>
                <c:pt idx="8">
                  <c:v>503.149</c:v>
                </c:pt>
                <c:pt idx="9">
                  <c:v>75.224999999999994</c:v>
                </c:pt>
              </c:numCache>
            </c:numRef>
          </c:val>
          <c:extLst>
            <c:ext xmlns:c16="http://schemas.microsoft.com/office/drawing/2014/chart" uri="{C3380CC4-5D6E-409C-BE32-E72D297353CC}">
              <c16:uniqueId val="{00000000-8844-4A68-A17A-C555A445C9E4}"/>
            </c:ext>
          </c:extLst>
        </c:ser>
        <c:ser>
          <c:idx val="1"/>
          <c:order val="1"/>
          <c:tx>
            <c:strRef>
              <c:f>'Chart 2.5'!$E$6</c:f>
              <c:strCache>
                <c:ptCount val="1"/>
                <c:pt idx="0">
                  <c:v>Service Expenditure
NOT met by 
Service Income</c:v>
                </c:pt>
              </c:strCache>
            </c:strRef>
          </c:tx>
          <c:spPr>
            <a:solidFill>
              <a:srgbClr val="EAEAEA"/>
            </a:solidFill>
            <a:ln>
              <a:solidFill>
                <a:srgbClr val="2C486E"/>
              </a:solidFill>
            </a:ln>
            <a:effectLst/>
          </c:spPr>
          <c:invertIfNegative val="0"/>
          <c:cat>
            <c:strRef>
              <c:f>'Chart 2.5'!$A$7:$A$16</c:f>
              <c:strCache>
                <c:ptCount val="10"/>
                <c:pt idx="0">
                  <c:v>Social Work 
Services</c:v>
                </c:pt>
                <c:pt idx="1">
                  <c:v>Education 
Services</c:v>
                </c:pt>
                <c:pt idx="2">
                  <c:v>Non-HRA 
Housing</c:v>
                </c:pt>
                <c:pt idx="3">
                  <c:v>HRA</c:v>
                </c:pt>
                <c:pt idx="4">
                  <c:v>Environmental 
Services</c:v>
                </c:pt>
                <c:pt idx="5">
                  <c:v>Roads and Transport</c:v>
                </c:pt>
                <c:pt idx="6">
                  <c:v>Culture and 
Related 
Services</c:v>
                </c:pt>
                <c:pt idx="7">
                  <c:v>Central 
Services</c:v>
                </c:pt>
                <c:pt idx="8">
                  <c:v>Building, 
Planning &amp; 
Development</c:v>
                </c:pt>
                <c:pt idx="9">
                  <c:v>Trading Services</c:v>
                </c:pt>
              </c:strCache>
            </c:strRef>
          </c:cat>
          <c:val>
            <c:numRef>
              <c:f>'Chart 2.5'!$E$7:$E$16</c:f>
              <c:numCache>
                <c:formatCode>#,##0</c:formatCode>
                <c:ptCount val="10"/>
                <c:pt idx="0">
                  <c:v>4873.13</c:v>
                </c:pt>
                <c:pt idx="1">
                  <c:v>7777.9960000000001</c:v>
                </c:pt>
                <c:pt idx="2">
                  <c:v>327.904</c:v>
                </c:pt>
                <c:pt idx="3">
                  <c:v>0</c:v>
                </c:pt>
                <c:pt idx="4">
                  <c:v>798.16499999999996</c:v>
                </c:pt>
                <c:pt idx="5">
                  <c:v>440.74900000000002</c:v>
                </c:pt>
                <c:pt idx="6">
                  <c:v>650.74199999999996</c:v>
                </c:pt>
                <c:pt idx="7">
                  <c:v>400.565</c:v>
                </c:pt>
                <c:pt idx="8">
                  <c:v>208.04599999999999</c:v>
                </c:pt>
                <c:pt idx="9">
                  <c:v>0</c:v>
                </c:pt>
              </c:numCache>
            </c:numRef>
          </c:val>
          <c:extLst>
            <c:ext xmlns:c16="http://schemas.microsoft.com/office/drawing/2014/chart" uri="{C3380CC4-5D6E-409C-BE32-E72D297353CC}">
              <c16:uniqueId val="{00000001-8844-4A68-A17A-C555A445C9E4}"/>
            </c:ext>
          </c:extLst>
        </c:ser>
        <c:ser>
          <c:idx val="2"/>
          <c:order val="2"/>
          <c:tx>
            <c:strRef>
              <c:f>'Chart 2.5'!$F$6</c:f>
              <c:strCache>
                <c:ptCount val="1"/>
                <c:pt idx="0">
                  <c:v>Service Income 
in excess of 
Service Expenditure</c:v>
                </c:pt>
              </c:strCache>
            </c:strRef>
          </c:tx>
          <c:spPr>
            <a:solidFill>
              <a:srgbClr val="789AC8"/>
            </a:solidFill>
            <a:ln>
              <a:solidFill>
                <a:srgbClr val="2C486E"/>
              </a:solidFill>
            </a:ln>
            <a:effectLst/>
          </c:spPr>
          <c:invertIfNegative val="0"/>
          <c:cat>
            <c:strRef>
              <c:f>'Chart 2.5'!$A$7:$A$16</c:f>
              <c:strCache>
                <c:ptCount val="10"/>
                <c:pt idx="0">
                  <c:v>Social Work 
Services</c:v>
                </c:pt>
                <c:pt idx="1">
                  <c:v>Education 
Services</c:v>
                </c:pt>
                <c:pt idx="2">
                  <c:v>Non-HRA 
Housing</c:v>
                </c:pt>
                <c:pt idx="3">
                  <c:v>HRA</c:v>
                </c:pt>
                <c:pt idx="4">
                  <c:v>Environmental 
Services</c:v>
                </c:pt>
                <c:pt idx="5">
                  <c:v>Roads and Transport</c:v>
                </c:pt>
                <c:pt idx="6">
                  <c:v>Culture and 
Related 
Services</c:v>
                </c:pt>
                <c:pt idx="7">
                  <c:v>Central 
Services</c:v>
                </c:pt>
                <c:pt idx="8">
                  <c:v>Building, 
Planning &amp; 
Development</c:v>
                </c:pt>
                <c:pt idx="9">
                  <c:v>Trading Services</c:v>
                </c:pt>
              </c:strCache>
            </c:strRef>
          </c:cat>
          <c:val>
            <c:numRef>
              <c:f>'Chart 2.5'!$F$7:$F$16</c:f>
              <c:numCache>
                <c:formatCode>#,##0</c:formatCode>
                <c:ptCount val="10"/>
                <c:pt idx="0">
                  <c:v>0</c:v>
                </c:pt>
                <c:pt idx="1">
                  <c:v>0</c:v>
                </c:pt>
                <c:pt idx="2">
                  <c:v>0</c:v>
                </c:pt>
                <c:pt idx="3">
                  <c:v>538.33699999999999</c:v>
                </c:pt>
                <c:pt idx="4">
                  <c:v>0</c:v>
                </c:pt>
                <c:pt idx="5">
                  <c:v>0</c:v>
                </c:pt>
                <c:pt idx="6">
                  <c:v>0</c:v>
                </c:pt>
                <c:pt idx="7">
                  <c:v>0</c:v>
                </c:pt>
                <c:pt idx="8">
                  <c:v>0</c:v>
                </c:pt>
                <c:pt idx="9">
                  <c:v>52.209000000000003</c:v>
                </c:pt>
              </c:numCache>
            </c:numRef>
          </c:val>
          <c:extLst>
            <c:ext xmlns:c16="http://schemas.microsoft.com/office/drawing/2014/chart" uri="{C3380CC4-5D6E-409C-BE32-E72D297353CC}">
              <c16:uniqueId val="{00000002-8844-4A68-A17A-C555A445C9E4}"/>
            </c:ext>
          </c:extLst>
        </c:ser>
        <c:dLbls>
          <c:showLegendKey val="0"/>
          <c:showVal val="0"/>
          <c:showCatName val="0"/>
          <c:showSerName val="0"/>
          <c:showPercent val="0"/>
          <c:showBubbleSize val="0"/>
        </c:dLbls>
        <c:gapWidth val="50"/>
        <c:overlap val="100"/>
        <c:axId val="521347712"/>
        <c:axId val="521348368"/>
      </c:barChart>
      <c:catAx>
        <c:axId val="52134771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521348368"/>
        <c:crosses val="autoZero"/>
        <c:auto val="1"/>
        <c:lblAlgn val="ctr"/>
        <c:lblOffset val="100"/>
        <c:noMultiLvlLbl val="0"/>
      </c:catAx>
      <c:valAx>
        <c:axId val="521348368"/>
        <c:scaling>
          <c:orientation val="minMax"/>
          <c:max val="12000"/>
          <c:min val="0"/>
        </c:scaling>
        <c:delete val="0"/>
        <c:axPos val="t"/>
        <c:majorGridlines>
          <c:spPr>
            <a:ln w="9525" cap="flat" cmpd="sng" algn="ctr">
              <a:solidFill>
                <a:srgbClr val="F2F2F2"/>
              </a:solidFill>
              <a:round/>
            </a:ln>
            <a:effectLst/>
          </c:spPr>
        </c:majorGridlines>
        <c:numFmt formatCode="&quot;£&quot;#,##0&quot;m&quot;"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521347712"/>
        <c:crosses val="autoZero"/>
        <c:crossBetween val="between"/>
        <c:majorUnit val="2000"/>
      </c:valAx>
      <c:spPr>
        <a:noFill/>
        <a:ln>
          <a:noFill/>
        </a:ln>
        <a:effectLst/>
      </c:spPr>
    </c:plotArea>
    <c:legend>
      <c:legendPos val="b"/>
      <c:layout>
        <c:manualLayout>
          <c:xMode val="edge"/>
          <c:yMode val="edge"/>
          <c:x val="3.0323396273568587E-2"/>
          <c:y val="0.86443128540416947"/>
          <c:w val="0.96799105748475445"/>
          <c:h val="0.11604915423307938"/>
        </c:manualLayout>
      </c:layout>
      <c:overlay val="1"/>
      <c:spPr>
        <a:solidFill>
          <a:schemeClr val="bg1"/>
        </a:solidFill>
        <a:ln>
          <a:solidFill>
            <a:schemeClr val="bg1">
              <a:lumMod val="95000"/>
            </a:schemeClr>
          </a:solidFill>
        </a:ln>
        <a:effectLst/>
      </c:spPr>
      <c:txPr>
        <a:bodyPr rot="0" spcFirstLastPara="1" vertOverflow="ellipsis" vert="horz" wrap="square" anchor="ctr" anchorCtr="1"/>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29887514060742409"/>
          <c:y val="3.0505999320174344E-2"/>
          <c:w val="0.69054284881056527"/>
          <c:h val="0.94480289642251314"/>
        </c:manualLayout>
      </c:layout>
      <c:barChart>
        <c:barDir val="bar"/>
        <c:grouping val="clustered"/>
        <c:varyColors val="0"/>
        <c:ser>
          <c:idx val="0"/>
          <c:order val="0"/>
          <c:spPr>
            <a:solidFill>
              <a:srgbClr val="2C486E"/>
            </a:solidFill>
            <a:ln w="19050">
              <a:solidFill>
                <a:srgbClr val="2C486E"/>
              </a:solidFill>
            </a:ln>
            <a:effectLst/>
          </c:spPr>
          <c:invertIfNegative val="0"/>
          <c:dLbls>
            <c:dLbl>
              <c:idx val="0"/>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19B-493B-BCD0-0F731E88585A}"/>
                </c:ext>
              </c:extLst>
            </c:dLbl>
            <c:dLbl>
              <c:idx val="1"/>
              <c:numFmt formatCode="&quot;£&quot;#,##0&quot;m&quot;"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19B-493B-BCD0-0F731E88585A}"/>
                </c:ext>
              </c:extLst>
            </c:dLbl>
            <c:dLbl>
              <c:idx val="2"/>
              <c:numFmt formatCode="&quot;£&quot;#,##0&quot;m&quot;"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19B-493B-BCD0-0F731E88585A}"/>
                </c:ext>
              </c:extLst>
            </c:dLbl>
            <c:dLbl>
              <c:idx val="3"/>
              <c:numFmt formatCode="&quot;£&quot;#,##0&quot;m&quot;"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404040"/>
                      </a:solidFill>
                      <a:latin typeface="Arial" panose="020B0604020202020204" pitchFamily="34" charset="0"/>
                      <a:ea typeface="+mn-ea"/>
                      <a:cs typeface="Arial" panose="020B0604020202020204" pitchFamily="34" charset="0"/>
                    </a:defRPr>
                  </a:pPr>
                  <a:endParaRPr lang="en-US"/>
                </a:p>
              </c:txPr>
              <c:dLblPos val="inBase"/>
              <c:showLegendKey val="0"/>
              <c:showVal val="1"/>
              <c:showCatName val="0"/>
              <c:showSerName val="0"/>
              <c:showPercent val="0"/>
              <c:showBubbleSize val="0"/>
              <c:extLst>
                <c:ext xmlns:c16="http://schemas.microsoft.com/office/drawing/2014/chart" uri="{C3380CC4-5D6E-409C-BE32-E72D297353CC}">
                  <c16:uniqueId val="{00000000-703E-4112-BF2A-1177A632455B}"/>
                </c:ext>
              </c:extLst>
            </c:dLbl>
            <c:numFmt formatCode="&quot;£&quot;#,##0&quot;m&quot;"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'Chart 2.6'!$A$8:$A$11</c:f>
              <c:strCache>
                <c:ptCount val="4"/>
                <c:pt idx="0">
                  <c:v>General Revenue Grant (GRG)</c:v>
                </c:pt>
                <c:pt idx="1">
                  <c:v>NDR Distributable Amount</c:v>
                </c:pt>
                <c:pt idx="2">
                  <c:v>Council Tax</c:v>
                </c:pt>
                <c:pt idx="3">
                  <c:v>Other Funding</c:v>
                </c:pt>
              </c:strCache>
            </c:strRef>
          </c:cat>
          <c:val>
            <c:numRef>
              <c:f>'Chart 2.6'!$B$8:$B$11</c:f>
              <c:numCache>
                <c:formatCode>#,##0</c:formatCode>
                <c:ptCount val="4"/>
                <c:pt idx="0">
                  <c:v>10337.276</c:v>
                </c:pt>
                <c:pt idx="1">
                  <c:v>3067.607</c:v>
                </c:pt>
                <c:pt idx="2">
                  <c:v>2996.8490000000002</c:v>
                </c:pt>
                <c:pt idx="3">
                  <c:v>10.700000000000699</c:v>
                </c:pt>
              </c:numCache>
            </c:numRef>
          </c:val>
          <c:extLst>
            <c:ext xmlns:c16="http://schemas.microsoft.com/office/drawing/2014/chart" uri="{C3380CC4-5D6E-409C-BE32-E72D297353CC}">
              <c16:uniqueId val="{00000000-C267-49EC-9D11-DFAB5403590B}"/>
            </c:ext>
          </c:extLst>
        </c:ser>
        <c:dLbls>
          <c:dLblPos val="inEnd"/>
          <c:showLegendKey val="0"/>
          <c:showVal val="0"/>
          <c:showCatName val="1"/>
          <c:showSerName val="0"/>
          <c:showPercent val="0"/>
          <c:showBubbleSize val="0"/>
        </c:dLbls>
        <c:gapWidth val="50"/>
        <c:axId val="792501080"/>
        <c:axId val="792504688"/>
      </c:barChart>
      <c:catAx>
        <c:axId val="792501080"/>
        <c:scaling>
          <c:orientation val="maxMin"/>
        </c:scaling>
        <c:delete val="0"/>
        <c:axPos val="l"/>
        <c:numFmt formatCode="General" sourceLinked="1"/>
        <c:majorTickMark val="none"/>
        <c:minorTickMark val="none"/>
        <c:tickLblPos val="nextTo"/>
        <c:spPr>
          <a:noFill/>
          <a:ln w="9525" cap="flat" cmpd="sng" algn="ctr">
            <a:solidFill>
              <a:srgbClr val="D9D9D9"/>
            </a:solidFill>
            <a:round/>
          </a:ln>
          <a:effectLst/>
        </c:spPr>
        <c:txPr>
          <a:bodyPr rot="-60000000" spcFirstLastPara="1" vertOverflow="ellipsis" vert="horz" wrap="square" anchor="ctr" anchorCtr="1"/>
          <a:lstStyle/>
          <a:p>
            <a:pPr>
              <a:defRPr sz="1200" b="0" i="0" u="none" strike="noStrike"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92504688"/>
        <c:crosses val="autoZero"/>
        <c:auto val="1"/>
        <c:lblAlgn val="ctr"/>
        <c:lblOffset val="100"/>
        <c:noMultiLvlLbl val="0"/>
      </c:catAx>
      <c:valAx>
        <c:axId val="792504688"/>
        <c:scaling>
          <c:orientation val="minMax"/>
          <c:min val="0"/>
        </c:scaling>
        <c:delete val="1"/>
        <c:axPos val="t"/>
        <c:majorGridlines>
          <c:spPr>
            <a:ln w="9525" cap="flat" cmpd="sng" algn="ctr">
              <a:solidFill>
                <a:schemeClr val="bg1">
                  <a:lumMod val="95000"/>
                </a:schemeClr>
              </a:solidFill>
              <a:round/>
            </a:ln>
            <a:effectLst/>
          </c:spPr>
        </c:majorGridlines>
        <c:numFmt formatCode="#,##0" sourceLinked="1"/>
        <c:majorTickMark val="out"/>
        <c:minorTickMark val="none"/>
        <c:tickLblPos val="nextTo"/>
        <c:crossAx val="792501080"/>
        <c:crosses val="autoZero"/>
        <c:crossBetween val="between"/>
        <c:majorUnit val="2000"/>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1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11"/>
    </mc:Choice>
    <mc:Fallback>
      <c:style val="11"/>
    </mc:Fallback>
  </mc:AlternateContent>
  <c:chart>
    <c:autoTitleDeleted val="0"/>
    <c:plotArea>
      <c:layout>
        <c:manualLayout>
          <c:layoutTarget val="inner"/>
          <c:xMode val="edge"/>
          <c:yMode val="edge"/>
          <c:x val="0.10241521133277226"/>
          <c:y val="3.3117135525844506E-2"/>
          <c:w val="0.89123201333803614"/>
          <c:h val="0.89726713200151276"/>
        </c:manualLayout>
      </c:layout>
      <c:barChart>
        <c:barDir val="col"/>
        <c:grouping val="stacked"/>
        <c:varyColors val="0"/>
        <c:ser>
          <c:idx val="0"/>
          <c:order val="0"/>
          <c:tx>
            <c:v>CT Billed</c:v>
          </c:tx>
          <c:spPr>
            <a:solidFill>
              <a:srgbClr val="2C486E"/>
            </a:solidFill>
            <a:ln>
              <a:solidFill>
                <a:srgbClr val="2C486E"/>
              </a:solidFill>
            </a:ln>
          </c:spPr>
          <c:invertIfNegative val="0"/>
          <c:cat>
            <c:strRef>
              <c:f>'Chart 2.7'!$B$6:$I$6</c:f>
              <c:strCache>
                <c:ptCount val="8"/>
                <c:pt idx="0">
                  <c:v>Band A</c:v>
                </c:pt>
                <c:pt idx="1">
                  <c:v>Band B</c:v>
                </c:pt>
                <c:pt idx="2">
                  <c:v>Band C</c:v>
                </c:pt>
                <c:pt idx="3">
                  <c:v>Band D</c:v>
                </c:pt>
                <c:pt idx="4">
                  <c:v>Band E</c:v>
                </c:pt>
                <c:pt idx="5">
                  <c:v>Band F</c:v>
                </c:pt>
                <c:pt idx="6">
                  <c:v>Band G</c:v>
                </c:pt>
                <c:pt idx="7">
                  <c:v>Band H</c:v>
                </c:pt>
              </c:strCache>
            </c:strRef>
          </c:cat>
          <c:val>
            <c:numRef>
              <c:f>'Chart 2.7'!$B$7:$I$7</c:f>
              <c:numCache>
                <c:formatCode>#,##0;\-#,##0;\-</c:formatCode>
                <c:ptCount val="8"/>
                <c:pt idx="0">
                  <c:v>257.78479961975671</c:v>
                </c:pt>
                <c:pt idx="1">
                  <c:v>430.48582171441461</c:v>
                </c:pt>
                <c:pt idx="2">
                  <c:v>397.11780028764178</c:v>
                </c:pt>
                <c:pt idx="3">
                  <c:v>429.10249915490795</c:v>
                </c:pt>
                <c:pt idx="4">
                  <c:v>596.75538360248697</c:v>
                </c:pt>
                <c:pt idx="5">
                  <c:v>460.81447797227389</c:v>
                </c:pt>
                <c:pt idx="6">
                  <c:v>363.02186068651781</c:v>
                </c:pt>
                <c:pt idx="7">
                  <c:v>46.58477300674339</c:v>
                </c:pt>
              </c:numCache>
            </c:numRef>
          </c:val>
          <c:extLst>
            <c:ext xmlns:c16="http://schemas.microsoft.com/office/drawing/2014/chart" uri="{C3380CC4-5D6E-409C-BE32-E72D297353CC}">
              <c16:uniqueId val="{00000000-4483-4E91-AD6B-81D03A91724E}"/>
            </c:ext>
          </c:extLst>
        </c:ser>
        <c:ser>
          <c:idx val="1"/>
          <c:order val="1"/>
          <c:tx>
            <c:v>CTR</c:v>
          </c:tx>
          <c:spPr>
            <a:solidFill>
              <a:srgbClr val="ABC0DD"/>
            </a:solidFill>
            <a:ln>
              <a:solidFill>
                <a:srgbClr val="2C486E"/>
              </a:solidFill>
            </a:ln>
          </c:spPr>
          <c:invertIfNegative val="0"/>
          <c:cat>
            <c:strRef>
              <c:f>'Chart 2.7'!$B$6:$I$6</c:f>
              <c:strCache>
                <c:ptCount val="8"/>
                <c:pt idx="0">
                  <c:v>Band A</c:v>
                </c:pt>
                <c:pt idx="1">
                  <c:v>Band B</c:v>
                </c:pt>
                <c:pt idx="2">
                  <c:v>Band C</c:v>
                </c:pt>
                <c:pt idx="3">
                  <c:v>Band D</c:v>
                </c:pt>
                <c:pt idx="4">
                  <c:v>Band E</c:v>
                </c:pt>
                <c:pt idx="5">
                  <c:v>Band F</c:v>
                </c:pt>
                <c:pt idx="6">
                  <c:v>Band G</c:v>
                </c:pt>
                <c:pt idx="7">
                  <c:v>Band H</c:v>
                </c:pt>
              </c:strCache>
            </c:strRef>
          </c:cat>
          <c:val>
            <c:numRef>
              <c:f>'Chart 2.7'!$B$8:$I$8</c:f>
              <c:numCache>
                <c:formatCode>#,##0;\-#,##0;\-</c:formatCode>
                <c:ptCount val="8"/>
                <c:pt idx="0">
                  <c:v>129.88024840302114</c:v>
                </c:pt>
                <c:pt idx="1">
                  <c:v>119.99540114669657</c:v>
                </c:pt>
                <c:pt idx="2">
                  <c:v>71.744622070135904</c:v>
                </c:pt>
                <c:pt idx="3">
                  <c:v>36.055502715092096</c:v>
                </c:pt>
                <c:pt idx="4">
                  <c:v>21.087466714818625</c:v>
                </c:pt>
                <c:pt idx="5">
                  <c:v>7.9794454867884363</c:v>
                </c:pt>
                <c:pt idx="6">
                  <c:v>3.4014414524405998</c:v>
                </c:pt>
                <c:pt idx="7">
                  <c:v>0.15853198100660087</c:v>
                </c:pt>
              </c:numCache>
            </c:numRef>
          </c:val>
          <c:extLst>
            <c:ext xmlns:c16="http://schemas.microsoft.com/office/drawing/2014/chart" uri="{C3380CC4-5D6E-409C-BE32-E72D297353CC}">
              <c16:uniqueId val="{00000001-4483-4E91-AD6B-81D03A91724E}"/>
            </c:ext>
          </c:extLst>
        </c:ser>
        <c:ser>
          <c:idx val="2"/>
          <c:order val="2"/>
          <c:tx>
            <c:v>Single Person Discount</c:v>
          </c:tx>
          <c:spPr>
            <a:solidFill>
              <a:srgbClr val="4774B1"/>
            </a:solidFill>
            <a:ln>
              <a:solidFill>
                <a:srgbClr val="2C486E"/>
              </a:solidFill>
            </a:ln>
          </c:spPr>
          <c:invertIfNegative val="0"/>
          <c:cat>
            <c:strRef>
              <c:f>'Chart 2.7'!$B$6:$I$6</c:f>
              <c:strCache>
                <c:ptCount val="8"/>
                <c:pt idx="0">
                  <c:v>Band A</c:v>
                </c:pt>
                <c:pt idx="1">
                  <c:v>Band B</c:v>
                </c:pt>
                <c:pt idx="2">
                  <c:v>Band C</c:v>
                </c:pt>
                <c:pt idx="3">
                  <c:v>Band D</c:v>
                </c:pt>
                <c:pt idx="4">
                  <c:v>Band E</c:v>
                </c:pt>
                <c:pt idx="5">
                  <c:v>Band F</c:v>
                </c:pt>
                <c:pt idx="6">
                  <c:v>Band G</c:v>
                </c:pt>
                <c:pt idx="7">
                  <c:v>Band H</c:v>
                </c:pt>
              </c:strCache>
            </c:strRef>
          </c:cat>
          <c:val>
            <c:numRef>
              <c:f>'Chart 2.7'!$B$9:$I$9</c:f>
              <c:numCache>
                <c:formatCode>#,##0;\-#,##0;\-</c:formatCode>
                <c:ptCount val="8"/>
                <c:pt idx="0">
                  <c:v>70.924462338333342</c:v>
                </c:pt>
                <c:pt idx="1">
                  <c:v>79.126668677777801</c:v>
                </c:pt>
                <c:pt idx="2">
                  <c:v>56.938358944444438</c:v>
                </c:pt>
                <c:pt idx="3">
                  <c:v>44.967119810000007</c:v>
                </c:pt>
                <c:pt idx="4">
                  <c:v>44.514750569513893</c:v>
                </c:pt>
                <c:pt idx="5">
                  <c:v>24.465192257187496</c:v>
                </c:pt>
                <c:pt idx="6">
                  <c:v>15.504144191666667</c:v>
                </c:pt>
                <c:pt idx="7">
                  <c:v>1.5361088154999998</c:v>
                </c:pt>
              </c:numCache>
            </c:numRef>
          </c:val>
          <c:extLst>
            <c:ext xmlns:c16="http://schemas.microsoft.com/office/drawing/2014/chart" uri="{C3380CC4-5D6E-409C-BE32-E72D297353CC}">
              <c16:uniqueId val="{00000002-4483-4E91-AD6B-81D03A91724E}"/>
            </c:ext>
          </c:extLst>
        </c:ser>
        <c:ser>
          <c:idx val="3"/>
          <c:order val="3"/>
          <c:tx>
            <c:v>Exempt Dwellings</c:v>
          </c:tx>
          <c:spPr>
            <a:solidFill>
              <a:srgbClr val="DDE5F1"/>
            </a:solidFill>
            <a:ln>
              <a:solidFill>
                <a:srgbClr val="2C486E"/>
              </a:solidFill>
            </a:ln>
          </c:spPr>
          <c:invertIfNegative val="0"/>
          <c:cat>
            <c:strRef>
              <c:f>'Chart 2.7'!$B$6:$I$6</c:f>
              <c:strCache>
                <c:ptCount val="8"/>
                <c:pt idx="0">
                  <c:v>Band A</c:v>
                </c:pt>
                <c:pt idx="1">
                  <c:v>Band B</c:v>
                </c:pt>
                <c:pt idx="2">
                  <c:v>Band C</c:v>
                </c:pt>
                <c:pt idx="3">
                  <c:v>Band D</c:v>
                </c:pt>
                <c:pt idx="4">
                  <c:v>Band E</c:v>
                </c:pt>
                <c:pt idx="5">
                  <c:v>Band F</c:v>
                </c:pt>
                <c:pt idx="6">
                  <c:v>Band G</c:v>
                </c:pt>
                <c:pt idx="7">
                  <c:v>Band H</c:v>
                </c:pt>
              </c:strCache>
            </c:strRef>
          </c:cat>
          <c:val>
            <c:numRef>
              <c:f>'Chart 2.7'!$B$10:$I$10</c:f>
              <c:numCache>
                <c:formatCode>#,##0;\-#,##0;\-</c:formatCode>
                <c:ptCount val="8"/>
                <c:pt idx="0">
                  <c:v>50.311447839999978</c:v>
                </c:pt>
                <c:pt idx="1">
                  <c:v>33.09704129666666</c:v>
                </c:pt>
                <c:pt idx="2">
                  <c:v>25.084836346666666</c:v>
                </c:pt>
                <c:pt idx="3">
                  <c:v>21.435691350000006</c:v>
                </c:pt>
                <c:pt idx="4">
                  <c:v>25.456741815694439</c:v>
                </c:pt>
                <c:pt idx="5">
                  <c:v>13.560868944999999</c:v>
                </c:pt>
                <c:pt idx="6">
                  <c:v>7.0888758345833356</c:v>
                </c:pt>
                <c:pt idx="7">
                  <c:v>2.0040165530000005</c:v>
                </c:pt>
              </c:numCache>
            </c:numRef>
          </c:val>
          <c:extLst>
            <c:ext xmlns:c16="http://schemas.microsoft.com/office/drawing/2014/chart" uri="{C3380CC4-5D6E-409C-BE32-E72D297353CC}">
              <c16:uniqueId val="{00000003-4483-4E91-AD6B-81D03A91724E}"/>
            </c:ext>
          </c:extLst>
        </c:ser>
        <c:ser>
          <c:idx val="4"/>
          <c:order val="4"/>
          <c:tx>
            <c:v>Other Discounts</c:v>
          </c:tx>
          <c:spPr>
            <a:solidFill>
              <a:srgbClr val="789AC8"/>
            </a:solidFill>
            <a:ln>
              <a:solidFill>
                <a:srgbClr val="2C486E"/>
              </a:solidFill>
            </a:ln>
          </c:spPr>
          <c:invertIfNegative val="0"/>
          <c:cat>
            <c:strRef>
              <c:f>'Chart 2.7'!$B$6:$I$6</c:f>
              <c:strCache>
                <c:ptCount val="8"/>
                <c:pt idx="0">
                  <c:v>Band A</c:v>
                </c:pt>
                <c:pt idx="1">
                  <c:v>Band B</c:v>
                </c:pt>
                <c:pt idx="2">
                  <c:v>Band C</c:v>
                </c:pt>
                <c:pt idx="3">
                  <c:v>Band D</c:v>
                </c:pt>
                <c:pt idx="4">
                  <c:v>Band E</c:v>
                </c:pt>
                <c:pt idx="5">
                  <c:v>Band F</c:v>
                </c:pt>
                <c:pt idx="6">
                  <c:v>Band G</c:v>
                </c:pt>
                <c:pt idx="7">
                  <c:v>Band H</c:v>
                </c:pt>
              </c:strCache>
            </c:strRef>
          </c:cat>
          <c:val>
            <c:numRef>
              <c:f>'Chart 2.7'!$B$11:$I$11</c:f>
              <c:numCache>
                <c:formatCode>#,##0;\-#,##0;\-</c:formatCode>
                <c:ptCount val="8"/>
                <c:pt idx="0">
                  <c:v>12.447652885555554</c:v>
                </c:pt>
                <c:pt idx="1">
                  <c:v>12.488856611111114</c:v>
                </c:pt>
                <c:pt idx="2">
                  <c:v>10.634730431111111</c:v>
                </c:pt>
                <c:pt idx="3">
                  <c:v>9.6136651622222242</c:v>
                </c:pt>
                <c:pt idx="4">
                  <c:v>11.486669881763888</c:v>
                </c:pt>
                <c:pt idx="5">
                  <c:v>7.1103813021111097</c:v>
                </c:pt>
                <c:pt idx="6">
                  <c:v>5.7295464806250003</c:v>
                </c:pt>
                <c:pt idx="7">
                  <c:v>1.676082893666667</c:v>
                </c:pt>
              </c:numCache>
            </c:numRef>
          </c:val>
          <c:extLst>
            <c:ext xmlns:c16="http://schemas.microsoft.com/office/drawing/2014/chart" uri="{C3380CC4-5D6E-409C-BE32-E72D297353CC}">
              <c16:uniqueId val="{00000004-4483-4E91-AD6B-81D03A91724E}"/>
            </c:ext>
          </c:extLst>
        </c:ser>
        <c:dLbls>
          <c:showLegendKey val="0"/>
          <c:showVal val="0"/>
          <c:showCatName val="0"/>
          <c:showSerName val="0"/>
          <c:showPercent val="0"/>
          <c:showBubbleSize val="0"/>
        </c:dLbls>
        <c:gapWidth val="150"/>
        <c:overlap val="100"/>
        <c:axId val="46051712"/>
        <c:axId val="46054400"/>
      </c:barChart>
      <c:lineChart>
        <c:grouping val="standard"/>
        <c:varyColors val="0"/>
        <c:ser>
          <c:idx val="5"/>
          <c:order val="5"/>
          <c:spPr>
            <a:ln w="47625">
              <a:noFill/>
            </a:ln>
          </c:spPr>
          <c:marker>
            <c:symbol val="none"/>
          </c:marker>
          <c:dLbls>
            <c:numFmt formatCode="&quot;£&quot;#,##0&quot;m&quot;" sourceLinked="0"/>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'Chart 2.7'!$B$6:$I$6</c:f>
              <c:strCache>
                <c:ptCount val="8"/>
                <c:pt idx="0">
                  <c:v>Band A</c:v>
                </c:pt>
                <c:pt idx="1">
                  <c:v>Band B</c:v>
                </c:pt>
                <c:pt idx="2">
                  <c:v>Band C</c:v>
                </c:pt>
                <c:pt idx="3">
                  <c:v>Band D</c:v>
                </c:pt>
                <c:pt idx="4">
                  <c:v>Band E</c:v>
                </c:pt>
                <c:pt idx="5">
                  <c:v>Band F</c:v>
                </c:pt>
                <c:pt idx="6">
                  <c:v>Band G</c:v>
                </c:pt>
                <c:pt idx="7">
                  <c:v>Band H</c:v>
                </c:pt>
              </c:strCache>
            </c:strRef>
          </c:cat>
          <c:val>
            <c:numRef>
              <c:f>'Chart 2.7'!$B$12:$I$12</c:f>
              <c:numCache>
                <c:formatCode>#,##0;\-#,##0;\-</c:formatCode>
                <c:ptCount val="8"/>
                <c:pt idx="0">
                  <c:v>521.34861108666666</c:v>
                </c:pt>
                <c:pt idx="1">
                  <c:v>675.19378944666687</c:v>
                </c:pt>
                <c:pt idx="2">
                  <c:v>561.52034807999996</c:v>
                </c:pt>
                <c:pt idx="3">
                  <c:v>541.17447819222218</c:v>
                </c:pt>
                <c:pt idx="4">
                  <c:v>699.30101258427783</c:v>
                </c:pt>
                <c:pt idx="5">
                  <c:v>513.93036596336094</c:v>
                </c:pt>
                <c:pt idx="6">
                  <c:v>394.74586864583347</c:v>
                </c:pt>
                <c:pt idx="7">
                  <c:v>51.959513249916661</c:v>
                </c:pt>
              </c:numCache>
            </c:numRef>
          </c:val>
          <c:smooth val="0"/>
          <c:extLst>
            <c:ext xmlns:c16="http://schemas.microsoft.com/office/drawing/2014/chart" uri="{C3380CC4-5D6E-409C-BE32-E72D297353CC}">
              <c16:uniqueId val="{00000005-4483-4E91-AD6B-81D03A91724E}"/>
            </c:ext>
          </c:extLst>
        </c:ser>
        <c:dLbls>
          <c:showLegendKey val="0"/>
          <c:showVal val="0"/>
          <c:showCatName val="0"/>
          <c:showSerName val="0"/>
          <c:showPercent val="0"/>
          <c:showBubbleSize val="0"/>
        </c:dLbls>
        <c:marker val="1"/>
        <c:smooth val="0"/>
        <c:axId val="46051712"/>
        <c:axId val="46054400"/>
      </c:lineChart>
      <c:catAx>
        <c:axId val="46051712"/>
        <c:scaling>
          <c:orientation val="minMax"/>
        </c:scaling>
        <c:delete val="0"/>
        <c:axPos val="b"/>
        <c:numFmt formatCode="General" sourceLinked="1"/>
        <c:majorTickMark val="none"/>
        <c:minorTickMark val="none"/>
        <c:tickLblPos val="nextTo"/>
        <c:spPr>
          <a:ln>
            <a:noFill/>
          </a:ln>
        </c:spPr>
        <c:crossAx val="46054400"/>
        <c:crosses val="autoZero"/>
        <c:auto val="1"/>
        <c:lblAlgn val="ctr"/>
        <c:lblOffset val="100"/>
        <c:noMultiLvlLbl val="0"/>
      </c:catAx>
      <c:valAx>
        <c:axId val="46054400"/>
        <c:scaling>
          <c:orientation val="minMax"/>
        </c:scaling>
        <c:delete val="0"/>
        <c:axPos val="l"/>
        <c:majorGridlines>
          <c:spPr>
            <a:ln>
              <a:solidFill>
                <a:srgbClr val="F2F2F2"/>
              </a:solidFill>
            </a:ln>
          </c:spPr>
        </c:majorGridlines>
        <c:numFmt formatCode="&quot;£&quot;#,##0&quot;m&quot;" sourceLinked="0"/>
        <c:majorTickMark val="none"/>
        <c:minorTickMark val="none"/>
        <c:tickLblPos val="nextTo"/>
        <c:spPr>
          <a:ln>
            <a:noFill/>
          </a:ln>
        </c:spPr>
        <c:crossAx val="46051712"/>
        <c:crosses val="autoZero"/>
        <c:crossBetween val="between"/>
      </c:valAx>
    </c:plotArea>
    <c:legend>
      <c:legendPos val="r"/>
      <c:legendEntry>
        <c:idx val="2"/>
        <c:txPr>
          <a:bodyPr/>
          <a:lstStyle/>
          <a:p>
            <a:pPr>
              <a:defRPr sz="1200"/>
            </a:pPr>
            <a:endParaRPr lang="en-US"/>
          </a:p>
        </c:txPr>
      </c:legendEntry>
      <c:legendEntry>
        <c:idx val="5"/>
        <c:delete val="1"/>
      </c:legendEntry>
      <c:layout>
        <c:manualLayout>
          <c:xMode val="edge"/>
          <c:yMode val="edge"/>
          <c:x val="0.64583984334720312"/>
          <c:y val="3.5373012871207692E-2"/>
          <c:w val="0.35290070554845054"/>
          <c:h val="0.23009215982015357"/>
        </c:manualLayout>
      </c:layout>
      <c:overlay val="1"/>
      <c:spPr>
        <a:solidFill>
          <a:schemeClr val="bg1"/>
        </a:solidFill>
        <a:ln>
          <a:solidFill>
            <a:schemeClr val="bg1">
              <a:lumMod val="95000"/>
            </a:schemeClr>
          </a:solidFill>
        </a:ln>
      </c:spPr>
    </c:legend>
    <c:plotVisOnly val="1"/>
    <c:dispBlanksAs val="gap"/>
    <c:showDLblsOverMax val="0"/>
  </c:chart>
  <c:spPr>
    <a:solidFill>
      <a:schemeClr val="bg1"/>
    </a:solidFill>
    <a:ln>
      <a:noFill/>
    </a:ln>
  </c:spPr>
  <c:txPr>
    <a:bodyPr/>
    <a:lstStyle/>
    <a:p>
      <a:pPr>
        <a:defRPr sz="1200" baseline="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0"/>
    <c:plotArea>
      <c:layout>
        <c:manualLayout>
          <c:layoutTarget val="inner"/>
          <c:xMode val="edge"/>
          <c:yMode val="edge"/>
          <c:x val="0.27193012020742574"/>
          <c:y val="1.1598113442484299E-2"/>
          <c:w val="0.68271639931810779"/>
          <c:h val="0.92338984298367699"/>
        </c:manualLayout>
      </c:layout>
      <c:barChart>
        <c:barDir val="bar"/>
        <c:grouping val="percentStacked"/>
        <c:varyColors val="0"/>
        <c:ser>
          <c:idx val="0"/>
          <c:order val="0"/>
          <c:tx>
            <c:v>Bands A to B</c:v>
          </c:tx>
          <c:spPr>
            <a:solidFill>
              <a:srgbClr val="2C486E"/>
            </a:solidFill>
            <a:ln>
              <a:solidFill>
                <a:srgbClr val="2C486E"/>
              </a:solidFill>
            </a:ln>
          </c:spPr>
          <c:invertIfNegative val="0"/>
          <c:dPt>
            <c:idx val="0"/>
            <c:invertIfNegative val="0"/>
            <c:bubble3D val="0"/>
            <c:spPr>
              <a:solidFill>
                <a:srgbClr val="2C486E"/>
              </a:solidFill>
              <a:ln>
                <a:solidFill>
                  <a:srgbClr val="183C5C"/>
                </a:solidFill>
              </a:ln>
            </c:spPr>
            <c:extLst>
              <c:ext xmlns:c16="http://schemas.microsoft.com/office/drawing/2014/chart" uri="{C3380CC4-5D6E-409C-BE32-E72D297353CC}">
                <c16:uniqueId val="{00000001-0F75-4D37-8A48-D854DAC5AC2A}"/>
              </c:ext>
            </c:extLst>
          </c:dPt>
          <c:dPt>
            <c:idx val="13"/>
            <c:invertIfNegative val="0"/>
            <c:bubble3D val="0"/>
            <c:spPr>
              <a:solidFill>
                <a:schemeClr val="tx1"/>
              </a:solidFill>
              <a:ln>
                <a:solidFill>
                  <a:srgbClr val="2C486E"/>
                </a:solidFill>
              </a:ln>
            </c:spPr>
            <c:extLst>
              <c:ext xmlns:c16="http://schemas.microsoft.com/office/drawing/2014/chart" uri="{C3380CC4-5D6E-409C-BE32-E72D297353CC}">
                <c16:uniqueId val="{00000003-4001-47FD-8B67-7CE453C10085}"/>
              </c:ext>
            </c:extLst>
          </c:dPt>
          <c:dLbls>
            <c:delete val="1"/>
          </c:dLbls>
          <c:cat>
            <c:strRef>
              <c:f>'Chart 2.8'!$A$7:$A$39</c:f>
              <c:strCache>
                <c:ptCount val="33"/>
                <c:pt idx="0">
                  <c:v>East Renfrewshire</c:v>
                </c:pt>
                <c:pt idx="1">
                  <c:v>East Dunbartonshire</c:v>
                </c:pt>
                <c:pt idx="2">
                  <c:v>Stirling</c:v>
                </c:pt>
                <c:pt idx="3">
                  <c:v>Aberdeenshire</c:v>
                </c:pt>
                <c:pt idx="4">
                  <c:v>City of Edinburgh</c:v>
                </c:pt>
                <c:pt idx="5">
                  <c:v>East Lothian</c:v>
                </c:pt>
                <c:pt idx="6">
                  <c:v>Perth &amp; Kinross</c:v>
                </c:pt>
                <c:pt idx="7">
                  <c:v>South Ayrshire</c:v>
                </c:pt>
                <c:pt idx="8">
                  <c:v>Argyll &amp; Bute</c:v>
                </c:pt>
                <c:pt idx="9">
                  <c:v>Midlothian</c:v>
                </c:pt>
                <c:pt idx="10">
                  <c:v>Aberdeen City</c:v>
                </c:pt>
                <c:pt idx="11">
                  <c:v>Highland</c:v>
                </c:pt>
                <c:pt idx="12">
                  <c:v>Scottish Borders</c:v>
                </c:pt>
                <c:pt idx="13">
                  <c:v>ALL COUNCILS</c:v>
                </c:pt>
                <c:pt idx="14">
                  <c:v>South Lanarkshire</c:v>
                </c:pt>
                <c:pt idx="15">
                  <c:v>Renfrewshire</c:v>
                </c:pt>
                <c:pt idx="16">
                  <c:v>Clackmannanshire</c:v>
                </c:pt>
                <c:pt idx="17">
                  <c:v>West Lothian</c:v>
                </c:pt>
                <c:pt idx="18">
                  <c:v>Fife</c:v>
                </c:pt>
                <c:pt idx="19">
                  <c:v>Dumfries &amp; Galloway</c:v>
                </c:pt>
                <c:pt idx="20">
                  <c:v>Falkirk</c:v>
                </c:pt>
                <c:pt idx="21">
                  <c:v>Angus</c:v>
                </c:pt>
                <c:pt idx="22">
                  <c:v>Moray</c:v>
                </c:pt>
                <c:pt idx="23">
                  <c:v>North Ayrshire</c:v>
                </c:pt>
                <c:pt idx="24">
                  <c:v>East Ayrshire</c:v>
                </c:pt>
                <c:pt idx="25">
                  <c:v>North Lanarkshire</c:v>
                </c:pt>
                <c:pt idx="26">
                  <c:v>Inverclyde</c:v>
                </c:pt>
                <c:pt idx="27">
                  <c:v>Orkney Islands</c:v>
                </c:pt>
                <c:pt idx="28">
                  <c:v>Glasgow City</c:v>
                </c:pt>
                <c:pt idx="29">
                  <c:v>Shetland Islands</c:v>
                </c:pt>
                <c:pt idx="30">
                  <c:v>West Dunbartonshire</c:v>
                </c:pt>
                <c:pt idx="31">
                  <c:v>Dundee City</c:v>
                </c:pt>
                <c:pt idx="32">
                  <c:v>Na h-Eileanan Siar</c:v>
                </c:pt>
              </c:strCache>
            </c:strRef>
          </c:cat>
          <c:val>
            <c:numRef>
              <c:f>'Chart 2.8'!$F$7:$F$39</c:f>
              <c:numCache>
                <c:formatCode>0%</c:formatCode>
                <c:ptCount val="33"/>
                <c:pt idx="0">
                  <c:v>0.15486140565355155</c:v>
                </c:pt>
                <c:pt idx="1">
                  <c:v>9.6746176333516926E-2</c:v>
                </c:pt>
                <c:pt idx="2">
                  <c:v>0.33395316972914779</c:v>
                </c:pt>
                <c:pt idx="3">
                  <c:v>0.29116321161032999</c:v>
                </c:pt>
                <c:pt idx="4">
                  <c:v>0.26783780482840042</c:v>
                </c:pt>
                <c:pt idx="5">
                  <c:v>0.19773924410780883</c:v>
                </c:pt>
                <c:pt idx="6">
                  <c:v>0.3037427829293568</c:v>
                </c:pt>
                <c:pt idx="7">
                  <c:v>0.34578472814353878</c:v>
                </c:pt>
                <c:pt idx="8">
                  <c:v>0.35465679053911875</c:v>
                </c:pt>
                <c:pt idx="9">
                  <c:v>0.30316223648029333</c:v>
                </c:pt>
                <c:pt idx="10">
                  <c:v>0.40514093890052083</c:v>
                </c:pt>
                <c:pt idx="11">
                  <c:v>0.33971933601026616</c:v>
                </c:pt>
                <c:pt idx="12">
                  <c:v>0.48132193810738161</c:v>
                </c:pt>
                <c:pt idx="13">
                  <c:v>0.41476439408348365</c:v>
                </c:pt>
                <c:pt idx="14">
                  <c:v>0.41296005357096865</c:v>
                </c:pt>
                <c:pt idx="15">
                  <c:v>0.41043057794151511</c:v>
                </c:pt>
                <c:pt idx="16">
                  <c:v>0.53388308295231879</c:v>
                </c:pt>
                <c:pt idx="17">
                  <c:v>0.4970267770262965</c:v>
                </c:pt>
                <c:pt idx="18">
                  <c:v>0.48418800751303714</c:v>
                </c:pt>
                <c:pt idx="19">
                  <c:v>0.4373572307151643</c:v>
                </c:pt>
                <c:pt idx="20">
                  <c:v>0.53681903820200694</c:v>
                </c:pt>
                <c:pt idx="21">
                  <c:v>0.47471686074334024</c:v>
                </c:pt>
                <c:pt idx="22">
                  <c:v>0.4769014461703267</c:v>
                </c:pt>
                <c:pt idx="23">
                  <c:v>0.56787821849035558</c:v>
                </c:pt>
                <c:pt idx="24">
                  <c:v>0.57921504161101411</c:v>
                </c:pt>
                <c:pt idx="25">
                  <c:v>0.55543951705341454</c:v>
                </c:pt>
                <c:pt idx="26">
                  <c:v>0.62089077412513261</c:v>
                </c:pt>
                <c:pt idx="27">
                  <c:v>0.43566551387780439</c:v>
                </c:pt>
                <c:pt idx="28">
                  <c:v>0.44633713388407181</c:v>
                </c:pt>
                <c:pt idx="29">
                  <c:v>0.41311475409836068</c:v>
                </c:pt>
                <c:pt idx="30">
                  <c:v>0.52574906367041196</c:v>
                </c:pt>
                <c:pt idx="31">
                  <c:v>0.58615171388972243</c:v>
                </c:pt>
                <c:pt idx="32">
                  <c:v>0.57218189289138477</c:v>
                </c:pt>
              </c:numCache>
            </c:numRef>
          </c:val>
          <c:extLst>
            <c:ext xmlns:c16="http://schemas.microsoft.com/office/drawing/2014/chart" uri="{C3380CC4-5D6E-409C-BE32-E72D297353CC}">
              <c16:uniqueId val="{00000000-E7BE-42BB-81EA-962F7E152D2F}"/>
            </c:ext>
          </c:extLst>
        </c:ser>
        <c:ser>
          <c:idx val="1"/>
          <c:order val="1"/>
          <c:tx>
            <c:v>Bands C to D</c:v>
          </c:tx>
          <c:spPr>
            <a:solidFill>
              <a:srgbClr val="789AC8"/>
            </a:solidFill>
            <a:ln>
              <a:solidFill>
                <a:srgbClr val="2C486E"/>
              </a:solidFill>
            </a:ln>
          </c:spPr>
          <c:invertIfNegative val="0"/>
          <c:dPt>
            <c:idx val="0"/>
            <c:invertIfNegative val="0"/>
            <c:bubble3D val="0"/>
            <c:extLst>
              <c:ext xmlns:c16="http://schemas.microsoft.com/office/drawing/2014/chart" uri="{C3380CC4-5D6E-409C-BE32-E72D297353CC}">
                <c16:uniqueId val="{00000004-0F75-4D37-8A48-D854DAC5AC2A}"/>
              </c:ext>
            </c:extLst>
          </c:dPt>
          <c:dPt>
            <c:idx val="13"/>
            <c:invertIfNegative val="0"/>
            <c:bubble3D val="0"/>
            <c:spPr>
              <a:solidFill>
                <a:schemeClr val="bg1">
                  <a:lumMod val="65000"/>
                </a:schemeClr>
              </a:solidFill>
              <a:ln>
                <a:solidFill>
                  <a:srgbClr val="2C486E"/>
                </a:solidFill>
              </a:ln>
            </c:spPr>
            <c:extLst>
              <c:ext xmlns:c16="http://schemas.microsoft.com/office/drawing/2014/chart" uri="{C3380CC4-5D6E-409C-BE32-E72D297353CC}">
                <c16:uniqueId val="{00000006-4001-47FD-8B67-7CE453C10085}"/>
              </c:ext>
            </c:extLst>
          </c:dPt>
          <c:dLbls>
            <c:delete val="1"/>
          </c:dLbls>
          <c:cat>
            <c:strRef>
              <c:f>'Chart 2.8'!$A$7:$A$39</c:f>
              <c:strCache>
                <c:ptCount val="33"/>
                <c:pt idx="0">
                  <c:v>East Renfrewshire</c:v>
                </c:pt>
                <c:pt idx="1">
                  <c:v>East Dunbartonshire</c:v>
                </c:pt>
                <c:pt idx="2">
                  <c:v>Stirling</c:v>
                </c:pt>
                <c:pt idx="3">
                  <c:v>Aberdeenshire</c:v>
                </c:pt>
                <c:pt idx="4">
                  <c:v>City of Edinburgh</c:v>
                </c:pt>
                <c:pt idx="5">
                  <c:v>East Lothian</c:v>
                </c:pt>
                <c:pt idx="6">
                  <c:v>Perth &amp; Kinross</c:v>
                </c:pt>
                <c:pt idx="7">
                  <c:v>South Ayrshire</c:v>
                </c:pt>
                <c:pt idx="8">
                  <c:v>Argyll &amp; Bute</c:v>
                </c:pt>
                <c:pt idx="9">
                  <c:v>Midlothian</c:v>
                </c:pt>
                <c:pt idx="10">
                  <c:v>Aberdeen City</c:v>
                </c:pt>
                <c:pt idx="11">
                  <c:v>Highland</c:v>
                </c:pt>
                <c:pt idx="12">
                  <c:v>Scottish Borders</c:v>
                </c:pt>
                <c:pt idx="13">
                  <c:v>ALL COUNCILS</c:v>
                </c:pt>
                <c:pt idx="14">
                  <c:v>South Lanarkshire</c:v>
                </c:pt>
                <c:pt idx="15">
                  <c:v>Renfrewshire</c:v>
                </c:pt>
                <c:pt idx="16">
                  <c:v>Clackmannanshire</c:v>
                </c:pt>
                <c:pt idx="17">
                  <c:v>West Lothian</c:v>
                </c:pt>
                <c:pt idx="18">
                  <c:v>Fife</c:v>
                </c:pt>
                <c:pt idx="19">
                  <c:v>Dumfries &amp; Galloway</c:v>
                </c:pt>
                <c:pt idx="20">
                  <c:v>Falkirk</c:v>
                </c:pt>
                <c:pt idx="21">
                  <c:v>Angus</c:v>
                </c:pt>
                <c:pt idx="22">
                  <c:v>Moray</c:v>
                </c:pt>
                <c:pt idx="23">
                  <c:v>North Ayrshire</c:v>
                </c:pt>
                <c:pt idx="24">
                  <c:v>East Ayrshire</c:v>
                </c:pt>
                <c:pt idx="25">
                  <c:v>North Lanarkshire</c:v>
                </c:pt>
                <c:pt idx="26">
                  <c:v>Inverclyde</c:v>
                </c:pt>
                <c:pt idx="27">
                  <c:v>Orkney Islands</c:v>
                </c:pt>
                <c:pt idx="28">
                  <c:v>Glasgow City</c:v>
                </c:pt>
                <c:pt idx="29">
                  <c:v>Shetland Islands</c:v>
                </c:pt>
                <c:pt idx="30">
                  <c:v>West Dunbartonshire</c:v>
                </c:pt>
                <c:pt idx="31">
                  <c:v>Dundee City</c:v>
                </c:pt>
                <c:pt idx="32">
                  <c:v>Na h-Eileanan Siar</c:v>
                </c:pt>
              </c:strCache>
            </c:strRef>
          </c:cat>
          <c:val>
            <c:numRef>
              <c:f>'Chart 2.8'!$G$7:$G$39</c:f>
              <c:numCache>
                <c:formatCode>0%</c:formatCode>
                <c:ptCount val="33"/>
                <c:pt idx="0">
                  <c:v>0.2703026371597515</c:v>
                </c:pt>
                <c:pt idx="1">
                  <c:v>0.35925517942634411</c:v>
                </c:pt>
                <c:pt idx="2">
                  <c:v>0.22443786547919062</c:v>
                </c:pt>
                <c:pt idx="3">
                  <c:v>0.27264500343550468</c:v>
                </c:pt>
                <c:pt idx="4">
                  <c:v>0.34407849204087448</c:v>
                </c:pt>
                <c:pt idx="5">
                  <c:v>0.4269099157983775</c:v>
                </c:pt>
                <c:pt idx="6">
                  <c:v>0.32551848512173132</c:v>
                </c:pt>
                <c:pt idx="7">
                  <c:v>0.31352841929573122</c:v>
                </c:pt>
                <c:pt idx="8">
                  <c:v>0.32250326164723708</c:v>
                </c:pt>
                <c:pt idx="9">
                  <c:v>0.39042163153070575</c:v>
                </c:pt>
                <c:pt idx="10">
                  <c:v>0.30343825163087679</c:v>
                </c:pt>
                <c:pt idx="11">
                  <c:v>0.37005422858798692</c:v>
                </c:pt>
                <c:pt idx="12">
                  <c:v>0.2312530153697705</c:v>
                </c:pt>
                <c:pt idx="13">
                  <c:v>0.3028977404809523</c:v>
                </c:pt>
                <c:pt idx="14">
                  <c:v>0.3132356349962655</c:v>
                </c:pt>
                <c:pt idx="15">
                  <c:v>0.32405019571724614</c:v>
                </c:pt>
                <c:pt idx="16">
                  <c:v>0.20072664924885697</c:v>
                </c:pt>
                <c:pt idx="17">
                  <c:v>0.24189421332724673</c:v>
                </c:pt>
                <c:pt idx="18">
                  <c:v>0.25532409903136294</c:v>
                </c:pt>
                <c:pt idx="19">
                  <c:v>0.30420502007217876</c:v>
                </c:pt>
                <c:pt idx="20">
                  <c:v>0.21753363887812505</c:v>
                </c:pt>
                <c:pt idx="21">
                  <c:v>0.28833235851899114</c:v>
                </c:pt>
                <c:pt idx="22">
                  <c:v>0.30175415104445635</c:v>
                </c:pt>
                <c:pt idx="23">
                  <c:v>0.21711047825959309</c:v>
                </c:pt>
                <c:pt idx="24">
                  <c:v>0.2187232439467105</c:v>
                </c:pt>
                <c:pt idx="25">
                  <c:v>0.24495657046791819</c:v>
                </c:pt>
                <c:pt idx="26">
                  <c:v>0.1897932131495228</c:v>
                </c:pt>
                <c:pt idx="27">
                  <c:v>0.3864502970648222</c:v>
                </c:pt>
                <c:pt idx="28">
                  <c:v>0.37807059466102272</c:v>
                </c:pt>
                <c:pt idx="29">
                  <c:v>0.41754541426672576</c:v>
                </c:pt>
                <c:pt idx="30">
                  <c:v>0.30682628856786159</c:v>
                </c:pt>
                <c:pt idx="31">
                  <c:v>0.26040550387929184</c:v>
                </c:pt>
                <c:pt idx="32">
                  <c:v>0.31762772222983154</c:v>
                </c:pt>
              </c:numCache>
            </c:numRef>
          </c:val>
          <c:extLst>
            <c:ext xmlns:c16="http://schemas.microsoft.com/office/drawing/2014/chart" uri="{C3380CC4-5D6E-409C-BE32-E72D297353CC}">
              <c16:uniqueId val="{00000001-E7BE-42BB-81EA-962F7E152D2F}"/>
            </c:ext>
          </c:extLst>
        </c:ser>
        <c:ser>
          <c:idx val="2"/>
          <c:order val="2"/>
          <c:tx>
            <c:v>Bands E to H</c:v>
          </c:tx>
          <c:spPr>
            <a:solidFill>
              <a:srgbClr val="DDE5F1"/>
            </a:solidFill>
            <a:ln>
              <a:solidFill>
                <a:srgbClr val="2C486E"/>
              </a:solidFill>
            </a:ln>
          </c:spPr>
          <c:invertIfNegative val="0"/>
          <c:dPt>
            <c:idx val="0"/>
            <c:invertIfNegative val="0"/>
            <c:bubble3D val="0"/>
            <c:extLst>
              <c:ext xmlns:c16="http://schemas.microsoft.com/office/drawing/2014/chart" uri="{C3380CC4-5D6E-409C-BE32-E72D297353CC}">
                <c16:uniqueId val="{00000007-0F75-4D37-8A48-D854DAC5AC2A}"/>
              </c:ext>
            </c:extLst>
          </c:dPt>
          <c:dPt>
            <c:idx val="13"/>
            <c:invertIfNegative val="0"/>
            <c:bubble3D val="0"/>
            <c:spPr>
              <a:solidFill>
                <a:schemeClr val="bg1">
                  <a:lumMod val="95000"/>
                </a:schemeClr>
              </a:solidFill>
              <a:ln>
                <a:solidFill>
                  <a:srgbClr val="2C486E"/>
                </a:solidFill>
              </a:ln>
            </c:spPr>
            <c:extLst>
              <c:ext xmlns:c16="http://schemas.microsoft.com/office/drawing/2014/chart" uri="{C3380CC4-5D6E-409C-BE32-E72D297353CC}">
                <c16:uniqueId val="{00000009-4001-47FD-8B67-7CE453C10085}"/>
              </c:ext>
            </c:extLst>
          </c:dPt>
          <c:dLbls>
            <c:delete val="1"/>
          </c:dLbls>
          <c:cat>
            <c:strRef>
              <c:f>'Chart 2.8'!$A$7:$A$39</c:f>
              <c:strCache>
                <c:ptCount val="33"/>
                <c:pt idx="0">
                  <c:v>East Renfrewshire</c:v>
                </c:pt>
                <c:pt idx="1">
                  <c:v>East Dunbartonshire</c:v>
                </c:pt>
                <c:pt idx="2">
                  <c:v>Stirling</c:v>
                </c:pt>
                <c:pt idx="3">
                  <c:v>Aberdeenshire</c:v>
                </c:pt>
                <c:pt idx="4">
                  <c:v>City of Edinburgh</c:v>
                </c:pt>
                <c:pt idx="5">
                  <c:v>East Lothian</c:v>
                </c:pt>
                <c:pt idx="6">
                  <c:v>Perth &amp; Kinross</c:v>
                </c:pt>
                <c:pt idx="7">
                  <c:v>South Ayrshire</c:v>
                </c:pt>
                <c:pt idx="8">
                  <c:v>Argyll &amp; Bute</c:v>
                </c:pt>
                <c:pt idx="9">
                  <c:v>Midlothian</c:v>
                </c:pt>
                <c:pt idx="10">
                  <c:v>Aberdeen City</c:v>
                </c:pt>
                <c:pt idx="11">
                  <c:v>Highland</c:v>
                </c:pt>
                <c:pt idx="12">
                  <c:v>Scottish Borders</c:v>
                </c:pt>
                <c:pt idx="13">
                  <c:v>ALL COUNCILS</c:v>
                </c:pt>
                <c:pt idx="14">
                  <c:v>South Lanarkshire</c:v>
                </c:pt>
                <c:pt idx="15">
                  <c:v>Renfrewshire</c:v>
                </c:pt>
                <c:pt idx="16">
                  <c:v>Clackmannanshire</c:v>
                </c:pt>
                <c:pt idx="17">
                  <c:v>West Lothian</c:v>
                </c:pt>
                <c:pt idx="18">
                  <c:v>Fife</c:v>
                </c:pt>
                <c:pt idx="19">
                  <c:v>Dumfries &amp; Galloway</c:v>
                </c:pt>
                <c:pt idx="20">
                  <c:v>Falkirk</c:v>
                </c:pt>
                <c:pt idx="21">
                  <c:v>Angus</c:v>
                </c:pt>
                <c:pt idx="22">
                  <c:v>Moray</c:v>
                </c:pt>
                <c:pt idx="23">
                  <c:v>North Ayrshire</c:v>
                </c:pt>
                <c:pt idx="24">
                  <c:v>East Ayrshire</c:v>
                </c:pt>
                <c:pt idx="25">
                  <c:v>North Lanarkshire</c:v>
                </c:pt>
                <c:pt idx="26">
                  <c:v>Inverclyde</c:v>
                </c:pt>
                <c:pt idx="27">
                  <c:v>Orkney Islands</c:v>
                </c:pt>
                <c:pt idx="28">
                  <c:v>Glasgow City</c:v>
                </c:pt>
                <c:pt idx="29">
                  <c:v>Shetland Islands</c:v>
                </c:pt>
                <c:pt idx="30">
                  <c:v>West Dunbartonshire</c:v>
                </c:pt>
                <c:pt idx="31">
                  <c:v>Dundee City</c:v>
                </c:pt>
                <c:pt idx="32">
                  <c:v>Na h-Eileanan Siar</c:v>
                </c:pt>
              </c:strCache>
            </c:strRef>
          </c:cat>
          <c:val>
            <c:numRef>
              <c:f>'Chart 2.8'!$H$7:$H$39</c:f>
              <c:numCache>
                <c:formatCode>0%</c:formatCode>
                <c:ptCount val="33"/>
                <c:pt idx="0">
                  <c:v>0.57483595718669689</c:v>
                </c:pt>
                <c:pt idx="1">
                  <c:v>0.543998644240139</c:v>
                </c:pt>
                <c:pt idx="2">
                  <c:v>0.44160896479166156</c:v>
                </c:pt>
                <c:pt idx="3">
                  <c:v>0.43619178495416533</c:v>
                </c:pt>
                <c:pt idx="4">
                  <c:v>0.3880837031307251</c:v>
                </c:pt>
                <c:pt idx="5">
                  <c:v>0.3753508400938137</c:v>
                </c:pt>
                <c:pt idx="6">
                  <c:v>0.37073873194891188</c:v>
                </c:pt>
                <c:pt idx="7">
                  <c:v>0.34068685256073006</c:v>
                </c:pt>
                <c:pt idx="8">
                  <c:v>0.32283994781364422</c:v>
                </c:pt>
                <c:pt idx="9">
                  <c:v>0.30641613198900092</c:v>
                </c:pt>
                <c:pt idx="10">
                  <c:v>0.29142080946860238</c:v>
                </c:pt>
                <c:pt idx="11">
                  <c:v>0.29022643540174692</c:v>
                </c:pt>
                <c:pt idx="12">
                  <c:v>0.28742504652284789</c:v>
                </c:pt>
                <c:pt idx="13">
                  <c:v>0.28233786543556405</c:v>
                </c:pt>
                <c:pt idx="14">
                  <c:v>0.27380431143276585</c:v>
                </c:pt>
                <c:pt idx="15">
                  <c:v>0.26551922634123876</c:v>
                </c:pt>
                <c:pt idx="16">
                  <c:v>0.2653902677988243</c:v>
                </c:pt>
                <c:pt idx="17">
                  <c:v>0.26107900964645675</c:v>
                </c:pt>
                <c:pt idx="18">
                  <c:v>0.26048789345559986</c:v>
                </c:pt>
                <c:pt idx="19">
                  <c:v>0.25843774921265694</c:v>
                </c:pt>
                <c:pt idx="20">
                  <c:v>0.24564732291986799</c:v>
                </c:pt>
                <c:pt idx="21">
                  <c:v>0.23695078073766859</c:v>
                </c:pt>
                <c:pt idx="22">
                  <c:v>0.22134440278521691</c:v>
                </c:pt>
                <c:pt idx="23">
                  <c:v>0.21501130325005138</c:v>
                </c:pt>
                <c:pt idx="24">
                  <c:v>0.20206171444227541</c:v>
                </c:pt>
                <c:pt idx="25">
                  <c:v>0.19960391247866732</c:v>
                </c:pt>
                <c:pt idx="26">
                  <c:v>0.18931601272534465</c:v>
                </c:pt>
                <c:pt idx="27">
                  <c:v>0.17788418905737341</c:v>
                </c:pt>
                <c:pt idx="28">
                  <c:v>0.17559227145490544</c:v>
                </c:pt>
                <c:pt idx="29">
                  <c:v>0.16933983163491359</c:v>
                </c:pt>
                <c:pt idx="30">
                  <c:v>0.16742464776172641</c:v>
                </c:pt>
                <c:pt idx="31">
                  <c:v>0.15344278223098576</c:v>
                </c:pt>
                <c:pt idx="32">
                  <c:v>0.11019038487878373</c:v>
                </c:pt>
              </c:numCache>
            </c:numRef>
          </c:val>
          <c:extLst>
            <c:ext xmlns:c16="http://schemas.microsoft.com/office/drawing/2014/chart" uri="{C3380CC4-5D6E-409C-BE32-E72D297353CC}">
              <c16:uniqueId val="{00000002-E7BE-42BB-81EA-962F7E152D2F}"/>
            </c:ext>
          </c:extLst>
        </c:ser>
        <c:dLbls>
          <c:dLblPos val="inBase"/>
          <c:showLegendKey val="0"/>
          <c:showVal val="1"/>
          <c:showCatName val="0"/>
          <c:showSerName val="0"/>
          <c:showPercent val="0"/>
          <c:showBubbleSize val="0"/>
        </c:dLbls>
        <c:gapWidth val="20"/>
        <c:overlap val="100"/>
        <c:axId val="93503872"/>
        <c:axId val="93505792"/>
      </c:barChart>
      <c:catAx>
        <c:axId val="93503872"/>
        <c:scaling>
          <c:orientation val="minMax"/>
        </c:scaling>
        <c:delete val="0"/>
        <c:axPos val="l"/>
        <c:numFmt formatCode="General" sourceLinked="0"/>
        <c:majorTickMark val="none"/>
        <c:minorTickMark val="none"/>
        <c:tickLblPos val="nextTo"/>
        <c:spPr>
          <a:ln>
            <a:solidFill>
              <a:srgbClr val="D9D9D9"/>
            </a:solidFill>
          </a:ln>
        </c:spPr>
        <c:txPr>
          <a:bodyPr/>
          <a:lstStyle/>
          <a:p>
            <a:pPr>
              <a:defRPr sz="1200">
                <a:solidFill>
                  <a:sysClr val="windowText" lastClr="000000"/>
                </a:solidFill>
              </a:defRPr>
            </a:pPr>
            <a:endParaRPr lang="en-US"/>
          </a:p>
        </c:txPr>
        <c:crossAx val="93505792"/>
        <c:crosses val="autoZero"/>
        <c:auto val="1"/>
        <c:lblAlgn val="ctr"/>
        <c:lblOffset val="100"/>
        <c:noMultiLvlLbl val="0"/>
      </c:catAx>
      <c:valAx>
        <c:axId val="93505792"/>
        <c:scaling>
          <c:orientation val="minMax"/>
          <c:max val="1"/>
        </c:scaling>
        <c:delete val="0"/>
        <c:axPos val="b"/>
        <c:majorGridlines>
          <c:spPr>
            <a:ln>
              <a:solidFill>
                <a:schemeClr val="bg1">
                  <a:lumMod val="95000"/>
                </a:schemeClr>
              </a:solidFill>
            </a:ln>
          </c:spPr>
        </c:majorGridlines>
        <c:numFmt formatCode="0%" sourceLinked="1"/>
        <c:majorTickMark val="none"/>
        <c:minorTickMark val="none"/>
        <c:tickLblPos val="nextTo"/>
        <c:spPr>
          <a:ln>
            <a:noFill/>
          </a:ln>
        </c:spPr>
        <c:txPr>
          <a:bodyPr/>
          <a:lstStyle/>
          <a:p>
            <a:pPr>
              <a:defRPr sz="1200">
                <a:solidFill>
                  <a:sysClr val="windowText" lastClr="000000"/>
                </a:solidFill>
              </a:defRPr>
            </a:pPr>
            <a:endParaRPr lang="en-US"/>
          </a:p>
        </c:txPr>
        <c:crossAx val="93503872"/>
        <c:crosses val="autoZero"/>
        <c:crossBetween val="between"/>
        <c:majorUnit val="0.2"/>
      </c:valAx>
    </c:plotArea>
    <c:legend>
      <c:legendPos val="r"/>
      <c:layout>
        <c:manualLayout>
          <c:xMode val="edge"/>
          <c:yMode val="edge"/>
          <c:x val="0.267954775098937"/>
          <c:y val="0.96721251219367599"/>
          <c:w val="0.69718116181862178"/>
          <c:h val="3.112556557581261E-2"/>
        </c:manualLayout>
      </c:layout>
      <c:overlay val="0"/>
      <c:txPr>
        <a:bodyPr/>
        <a:lstStyle/>
        <a:p>
          <a:pPr>
            <a:defRPr sz="1200">
              <a:solidFill>
                <a:sysClr val="windowText" lastClr="000000"/>
              </a:solidFill>
            </a:defRPr>
          </a:pPr>
          <a:endParaRPr lang="en-US"/>
        </a:p>
      </c:txPr>
    </c:legend>
    <c:plotVisOnly val="1"/>
    <c:dispBlanksAs val="gap"/>
    <c:showDLblsOverMax val="0"/>
  </c:chart>
  <c:spPr>
    <a:solidFill>
      <a:schemeClr val="bg1"/>
    </a:solidFill>
    <a:ln>
      <a:noFill/>
    </a:ln>
  </c:spPr>
  <c:txPr>
    <a:bodyPr/>
    <a:lstStyle/>
    <a:p>
      <a:pPr>
        <a:defRPr sz="105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8749171077118701"/>
          <c:y val="1.4863004193441337E-2"/>
          <c:w val="0.70559791650997528"/>
          <c:h val="0.97300606389718536"/>
        </c:manualLayout>
      </c:layout>
      <c:barChart>
        <c:barDir val="bar"/>
        <c:grouping val="stacked"/>
        <c:varyColors val="0"/>
        <c:ser>
          <c:idx val="0"/>
          <c:order val="0"/>
          <c:spPr>
            <a:solidFill>
              <a:srgbClr val="DDE5F1"/>
            </a:solidFill>
            <a:ln>
              <a:solidFill>
                <a:srgbClr val="2C486E"/>
              </a:solidFill>
            </a:ln>
          </c:spPr>
          <c:invertIfNegative val="0"/>
          <c:dPt>
            <c:idx val="17"/>
            <c:invertIfNegative val="0"/>
            <c:bubble3D val="0"/>
            <c:spPr>
              <a:solidFill>
                <a:srgbClr val="767171"/>
              </a:solidFill>
              <a:ln>
                <a:solidFill>
                  <a:srgbClr val="2C486E"/>
                </a:solidFill>
              </a:ln>
            </c:spPr>
            <c:extLst>
              <c:ext xmlns:c16="http://schemas.microsoft.com/office/drawing/2014/chart" uri="{C3380CC4-5D6E-409C-BE32-E72D297353CC}">
                <c16:uniqueId val="{00000001-123B-4745-976E-2BBE38F20324}"/>
              </c:ext>
            </c:extLst>
          </c:dPt>
          <c:dPt>
            <c:idx val="19"/>
            <c:invertIfNegative val="0"/>
            <c:bubble3D val="0"/>
            <c:extLst>
              <c:ext xmlns:c16="http://schemas.microsoft.com/office/drawing/2014/chart" uri="{C3380CC4-5D6E-409C-BE32-E72D297353CC}">
                <c16:uniqueId val="{00000002-123B-4745-976E-2BBE38F20324}"/>
              </c:ext>
            </c:extLst>
          </c:dPt>
          <c:dLbls>
            <c:dLbl>
              <c:idx val="17"/>
              <c:numFmt formatCode="&quot;£&quot;#,##0" sourceLinked="0"/>
              <c:spPr>
                <a:noFill/>
                <a:ln>
                  <a:noFill/>
                </a:ln>
                <a:effectLst/>
              </c:spPr>
              <c:txPr>
                <a:bodyPr wrap="square" lIns="38100" tIns="19050" rIns="38100" bIns="19050" anchor="ctr">
                  <a:spAutoFit/>
                </a:bodyPr>
                <a:lstStyle/>
                <a:p>
                  <a:pPr>
                    <a:defRPr sz="1200">
                      <a:solidFill>
                        <a:schemeClr val="bg1"/>
                      </a:solidFill>
                    </a:defRPr>
                  </a:pPr>
                  <a:endParaRPr lang="en-US"/>
                </a:p>
              </c:txPr>
              <c:dLblPos val="inBase"/>
              <c:showLegendKey val="0"/>
              <c:showVal val="1"/>
              <c:showCatName val="0"/>
              <c:showSerName val="0"/>
              <c:showPercent val="0"/>
              <c:showBubbleSize val="0"/>
              <c:extLst>
                <c:ext xmlns:c16="http://schemas.microsoft.com/office/drawing/2014/chart" uri="{C3380CC4-5D6E-409C-BE32-E72D297353CC}">
                  <c16:uniqueId val="{00000001-123B-4745-976E-2BBE38F20324}"/>
                </c:ext>
              </c:extLst>
            </c:dLbl>
            <c:dLbl>
              <c:idx val="19"/>
              <c:numFmt formatCode="&quot;£&quot;#,##0" sourceLinked="0"/>
              <c:spPr>
                <a:noFill/>
                <a:ln>
                  <a:noFill/>
                </a:ln>
                <a:effectLst/>
              </c:spPr>
              <c:txPr>
                <a:bodyPr wrap="square" lIns="38100" tIns="19050" rIns="38100" bIns="19050" anchor="ctr">
                  <a:spAutoFit/>
                </a:bodyPr>
                <a:lstStyle/>
                <a:p>
                  <a:pPr>
                    <a:defRPr sz="1200">
                      <a:solidFill>
                        <a:schemeClr val="tx1"/>
                      </a:solidFill>
                    </a:defRPr>
                  </a:pPr>
                  <a:endParaRPr lang="en-US"/>
                </a:p>
              </c:txPr>
              <c:dLblPos val="inBase"/>
              <c:showLegendKey val="0"/>
              <c:showVal val="1"/>
              <c:showCatName val="0"/>
              <c:showSerName val="0"/>
              <c:showPercent val="0"/>
              <c:showBubbleSize val="0"/>
              <c:extLst>
                <c:ext xmlns:c16="http://schemas.microsoft.com/office/drawing/2014/chart" uri="{C3380CC4-5D6E-409C-BE32-E72D297353CC}">
                  <c16:uniqueId val="{00000002-123B-4745-976E-2BBE38F20324}"/>
                </c:ext>
              </c:extLst>
            </c:dLbl>
            <c:numFmt formatCode="&quot;£&quot;#,##0" sourceLinked="0"/>
            <c:spPr>
              <a:noFill/>
              <a:ln>
                <a:noFill/>
              </a:ln>
              <a:effectLst/>
            </c:spPr>
            <c:txPr>
              <a:bodyPr wrap="square" lIns="38100" tIns="19050" rIns="38100" bIns="19050" anchor="ctr">
                <a:spAutoFit/>
              </a:bodyPr>
              <a:lstStyle/>
              <a:p>
                <a:pPr>
                  <a:defRPr sz="1200">
                    <a:solidFill>
                      <a:sysClr val="windowText" lastClr="000000"/>
                    </a:solidFill>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 2.9'!$A$7:$A$39</c:f>
              <c:strCache>
                <c:ptCount val="33"/>
                <c:pt idx="0">
                  <c:v>Shetland  Islands</c:v>
                </c:pt>
                <c:pt idx="1">
                  <c:v>Na h-Eileanan Siar</c:v>
                </c:pt>
                <c:pt idx="2">
                  <c:v>South Lanarkshire</c:v>
                </c:pt>
                <c:pt idx="3">
                  <c:v>Angus</c:v>
                </c:pt>
                <c:pt idx="4">
                  <c:v>North Lanarkshire</c:v>
                </c:pt>
                <c:pt idx="5">
                  <c:v>Dumfries &amp; Galloway</c:v>
                </c:pt>
                <c:pt idx="6">
                  <c:v>Scottish Borders</c:v>
                </c:pt>
                <c:pt idx="7">
                  <c:v>Falkirk</c:v>
                </c:pt>
                <c:pt idx="8">
                  <c:v>Orkney Islands </c:v>
                </c:pt>
                <c:pt idx="9">
                  <c:v>Fife</c:v>
                </c:pt>
                <c:pt idx="10">
                  <c:v>West Lothian</c:v>
                </c:pt>
                <c:pt idx="11">
                  <c:v>Aberdeenshire</c:v>
                </c:pt>
                <c:pt idx="12">
                  <c:v>West Dunbartonshire</c:v>
                </c:pt>
                <c:pt idx="13">
                  <c:v>Perth &amp; Kinross</c:v>
                </c:pt>
                <c:pt idx="14">
                  <c:v>Clackmannanshire</c:v>
                </c:pt>
                <c:pt idx="15">
                  <c:v>East Renfrewshire</c:v>
                </c:pt>
                <c:pt idx="16">
                  <c:v>East Dunbartonshire</c:v>
                </c:pt>
                <c:pt idx="17">
                  <c:v>ALL COUNCILS</c:v>
                </c:pt>
                <c:pt idx="18">
                  <c:v>Highland</c:v>
                </c:pt>
                <c:pt idx="19">
                  <c:v>Moray</c:v>
                </c:pt>
                <c:pt idx="20">
                  <c:v>East Lothian</c:v>
                </c:pt>
                <c:pt idx="21">
                  <c:v>Renfrewshire</c:v>
                </c:pt>
                <c:pt idx="22">
                  <c:v>City of Edinburgh</c:v>
                </c:pt>
                <c:pt idx="23">
                  <c:v>North Ayrshire</c:v>
                </c:pt>
                <c:pt idx="24">
                  <c:v>South Ayrshire</c:v>
                </c:pt>
                <c:pt idx="25">
                  <c:v>Argyll &amp; Bute</c:v>
                </c:pt>
                <c:pt idx="26">
                  <c:v>Stirling</c:v>
                </c:pt>
                <c:pt idx="27">
                  <c:v>Dundee City </c:v>
                </c:pt>
                <c:pt idx="28">
                  <c:v>East Ayrshire</c:v>
                </c:pt>
                <c:pt idx="29">
                  <c:v>Aberdeen City </c:v>
                </c:pt>
                <c:pt idx="30">
                  <c:v>Glasgow City </c:v>
                </c:pt>
                <c:pt idx="31">
                  <c:v>Midlothian</c:v>
                </c:pt>
                <c:pt idx="32">
                  <c:v>Inverclyde</c:v>
                </c:pt>
              </c:strCache>
            </c:strRef>
          </c:cat>
          <c:val>
            <c:numRef>
              <c:f>'Chart 2.9'!$B$7:$B$39</c:f>
              <c:numCache>
                <c:formatCode>"£"#,##0</c:formatCode>
                <c:ptCount val="33"/>
                <c:pt idx="0">
                  <c:v>1260.6099999999999</c:v>
                </c:pt>
                <c:pt idx="1">
                  <c:v>1290.75</c:v>
                </c:pt>
                <c:pt idx="2">
                  <c:v>1300.81</c:v>
                </c:pt>
                <c:pt idx="3">
                  <c:v>1316.68</c:v>
                </c:pt>
                <c:pt idx="4">
                  <c:v>1320.78</c:v>
                </c:pt>
                <c:pt idx="5">
                  <c:v>1334.85</c:v>
                </c:pt>
                <c:pt idx="6">
                  <c:v>1356.11</c:v>
                </c:pt>
                <c:pt idx="7">
                  <c:v>1363.82</c:v>
                </c:pt>
                <c:pt idx="8">
                  <c:v>1369.21</c:v>
                </c:pt>
                <c:pt idx="9">
                  <c:v>1385.18</c:v>
                </c:pt>
                <c:pt idx="10">
                  <c:v>1390.96</c:v>
                </c:pt>
                <c:pt idx="11">
                  <c:v>1393.42</c:v>
                </c:pt>
                <c:pt idx="12">
                  <c:v>1398.98</c:v>
                </c:pt>
                <c:pt idx="13">
                  <c:v>1403.69</c:v>
                </c:pt>
                <c:pt idx="14">
                  <c:v>1410.96</c:v>
                </c:pt>
                <c:pt idx="15">
                  <c:v>1415.22</c:v>
                </c:pt>
                <c:pt idx="16">
                  <c:v>1415.66</c:v>
                </c:pt>
                <c:pt idx="17">
                  <c:v>1418.1085270595268</c:v>
                </c:pt>
                <c:pt idx="18">
                  <c:v>1427.19</c:v>
                </c:pt>
                <c:pt idx="19">
                  <c:v>1430.69</c:v>
                </c:pt>
                <c:pt idx="20">
                  <c:v>1435.62</c:v>
                </c:pt>
                <c:pt idx="21">
                  <c:v>1436.17</c:v>
                </c:pt>
                <c:pt idx="22">
                  <c:v>1447.69</c:v>
                </c:pt>
                <c:pt idx="23">
                  <c:v>1452.12</c:v>
                </c:pt>
                <c:pt idx="24">
                  <c:v>1453.16</c:v>
                </c:pt>
                <c:pt idx="25">
                  <c:v>1479.2</c:v>
                </c:pt>
                <c:pt idx="26">
                  <c:v>1481.5</c:v>
                </c:pt>
                <c:pt idx="27">
                  <c:v>1486.43</c:v>
                </c:pt>
                <c:pt idx="28">
                  <c:v>1487.44</c:v>
                </c:pt>
                <c:pt idx="29">
                  <c:v>1489.55</c:v>
                </c:pt>
                <c:pt idx="30">
                  <c:v>1499</c:v>
                </c:pt>
                <c:pt idx="31">
                  <c:v>1514.73</c:v>
                </c:pt>
                <c:pt idx="32">
                  <c:v>1547.01</c:v>
                </c:pt>
              </c:numCache>
            </c:numRef>
          </c:val>
          <c:extLst>
            <c:ext xmlns:c16="http://schemas.microsoft.com/office/drawing/2014/chart" uri="{C3380CC4-5D6E-409C-BE32-E72D297353CC}">
              <c16:uniqueId val="{00000000-53C8-4F3E-B469-F4A4B5F0AEE0}"/>
            </c:ext>
          </c:extLst>
        </c:ser>
        <c:dLbls>
          <c:showLegendKey val="0"/>
          <c:showVal val="0"/>
          <c:showCatName val="0"/>
          <c:showSerName val="0"/>
          <c:showPercent val="0"/>
          <c:showBubbleSize val="0"/>
        </c:dLbls>
        <c:gapWidth val="20"/>
        <c:overlap val="100"/>
        <c:axId val="108067456"/>
        <c:axId val="108741760"/>
      </c:barChart>
      <c:catAx>
        <c:axId val="108067456"/>
        <c:scaling>
          <c:orientation val="minMax"/>
        </c:scaling>
        <c:delete val="0"/>
        <c:axPos val="l"/>
        <c:numFmt formatCode="General" sourceLinked="0"/>
        <c:majorTickMark val="out"/>
        <c:minorTickMark val="none"/>
        <c:tickLblPos val="nextTo"/>
        <c:spPr>
          <a:ln>
            <a:solidFill>
              <a:srgbClr val="D9D9D9"/>
            </a:solidFill>
          </a:ln>
        </c:spPr>
        <c:txPr>
          <a:bodyPr/>
          <a:lstStyle/>
          <a:p>
            <a:pPr>
              <a:defRPr sz="1200">
                <a:solidFill>
                  <a:sysClr val="windowText" lastClr="000000"/>
                </a:solidFill>
              </a:defRPr>
            </a:pPr>
            <a:endParaRPr lang="en-US"/>
          </a:p>
        </c:txPr>
        <c:crossAx val="108741760"/>
        <c:crosses val="autoZero"/>
        <c:auto val="1"/>
        <c:lblAlgn val="ctr"/>
        <c:lblOffset val="100"/>
        <c:noMultiLvlLbl val="0"/>
      </c:catAx>
      <c:valAx>
        <c:axId val="108741760"/>
        <c:scaling>
          <c:orientation val="minMax"/>
          <c:min val="0"/>
        </c:scaling>
        <c:delete val="0"/>
        <c:axPos val="b"/>
        <c:numFmt formatCode="&quot;£&quot;#,##0" sourceLinked="1"/>
        <c:majorTickMark val="out"/>
        <c:minorTickMark val="none"/>
        <c:tickLblPos val="nextTo"/>
        <c:crossAx val="108067456"/>
        <c:crosses val="autoZero"/>
        <c:crossBetween val="between"/>
        <c:majorUnit val="200"/>
      </c:valAx>
    </c:plotArea>
    <c:plotVisOnly val="1"/>
    <c:dispBlanksAs val="gap"/>
    <c:showDLblsOverMax val="0"/>
  </c:chart>
  <c:spPr>
    <a:ln>
      <a:noFill/>
    </a:ln>
  </c:spPr>
  <c:txPr>
    <a:bodyPr/>
    <a:lstStyle/>
    <a:p>
      <a:pPr>
        <a:defRPr sz="105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5110925575293008"/>
          <c:y val="1.3521125960822094E-2"/>
          <c:w val="0.70715033484490042"/>
          <c:h val="0.9173907053979472"/>
        </c:manualLayout>
      </c:layout>
      <c:barChart>
        <c:barDir val="bar"/>
        <c:grouping val="percentStacked"/>
        <c:varyColors val="0"/>
        <c:ser>
          <c:idx val="0"/>
          <c:order val="0"/>
          <c:tx>
            <c:v>RV £20,000 or lower</c:v>
          </c:tx>
          <c:spPr>
            <a:solidFill>
              <a:srgbClr val="2C486E"/>
            </a:solidFill>
            <a:ln>
              <a:solidFill>
                <a:srgbClr val="2C486E"/>
              </a:solidFill>
            </a:ln>
            <a:effectLst/>
          </c:spPr>
          <c:invertIfNegative val="0"/>
          <c:dPt>
            <c:idx val="20"/>
            <c:invertIfNegative val="0"/>
            <c:bubble3D val="0"/>
            <c:spPr>
              <a:solidFill>
                <a:srgbClr val="2C486E"/>
              </a:solidFill>
              <a:ln>
                <a:solidFill>
                  <a:srgbClr val="2C486E"/>
                </a:solidFill>
              </a:ln>
              <a:effectLst/>
            </c:spPr>
            <c:extLst>
              <c:ext xmlns:c16="http://schemas.microsoft.com/office/drawing/2014/chart" uri="{C3380CC4-5D6E-409C-BE32-E72D297353CC}">
                <c16:uniqueId val="{00000001-243A-4D72-92A4-3BACCF835406}"/>
              </c:ext>
            </c:extLst>
          </c:dPt>
          <c:dPt>
            <c:idx val="21"/>
            <c:invertIfNegative val="0"/>
            <c:bubble3D val="0"/>
            <c:spPr>
              <a:solidFill>
                <a:srgbClr val="4D4D4D"/>
              </a:solidFill>
              <a:ln>
                <a:solidFill>
                  <a:srgbClr val="2C486E"/>
                </a:solidFill>
              </a:ln>
              <a:effectLst/>
            </c:spPr>
            <c:extLst>
              <c:ext xmlns:c16="http://schemas.microsoft.com/office/drawing/2014/chart" uri="{C3380CC4-5D6E-409C-BE32-E72D297353CC}">
                <c16:uniqueId val="{00000003-243A-4D72-92A4-3BACCF835406}"/>
              </c:ext>
            </c:extLst>
          </c:dPt>
          <c:dLbls>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 2.10'!$A$9:$A$41</c:f>
              <c:strCache>
                <c:ptCount val="33"/>
                <c:pt idx="0">
                  <c:v>Argyll and Bute</c:v>
                </c:pt>
                <c:pt idx="1">
                  <c:v>Na h-Eileanan Siar</c:v>
                </c:pt>
                <c:pt idx="2">
                  <c:v>Scottish Borders</c:v>
                </c:pt>
                <c:pt idx="3">
                  <c:v>Orkney Islands</c:v>
                </c:pt>
                <c:pt idx="4">
                  <c:v>Dumfries and Galloway</c:v>
                </c:pt>
                <c:pt idx="5">
                  <c:v>Angus</c:v>
                </c:pt>
                <c:pt idx="6">
                  <c:v>Shetland Islands</c:v>
                </c:pt>
                <c:pt idx="7">
                  <c:v>Perth and Kinross</c:v>
                </c:pt>
                <c:pt idx="8">
                  <c:v>Moray</c:v>
                </c:pt>
                <c:pt idx="9">
                  <c:v>Highland</c:v>
                </c:pt>
                <c:pt idx="10">
                  <c:v>East Ayrshire</c:v>
                </c:pt>
                <c:pt idx="11">
                  <c:v>Renfrewshire</c:v>
                </c:pt>
                <c:pt idx="12">
                  <c:v>North Ayrshire</c:v>
                </c:pt>
                <c:pt idx="13">
                  <c:v>Clackmannanshire</c:v>
                </c:pt>
                <c:pt idx="14">
                  <c:v>Aberdeenshire</c:v>
                </c:pt>
                <c:pt idx="15">
                  <c:v>South Ayrshire</c:v>
                </c:pt>
                <c:pt idx="16">
                  <c:v>Inverclyde</c:v>
                </c:pt>
                <c:pt idx="17">
                  <c:v>East Lothian</c:v>
                </c:pt>
                <c:pt idx="18">
                  <c:v>Stirling</c:v>
                </c:pt>
                <c:pt idx="19">
                  <c:v>Fife</c:v>
                </c:pt>
                <c:pt idx="20">
                  <c:v>West Dunbartonshire</c:v>
                </c:pt>
                <c:pt idx="21">
                  <c:v>Scotland</c:v>
                </c:pt>
                <c:pt idx="22">
                  <c:v>South Lanarkshire</c:v>
                </c:pt>
                <c:pt idx="23">
                  <c:v>East Renfrewshire</c:v>
                </c:pt>
                <c:pt idx="24">
                  <c:v>Falkirk</c:v>
                </c:pt>
                <c:pt idx="25">
                  <c:v>North Lanarkshire</c:v>
                </c:pt>
                <c:pt idx="26">
                  <c:v>East Dunbartonshire</c:v>
                </c:pt>
                <c:pt idx="27">
                  <c:v>Midlothian</c:v>
                </c:pt>
                <c:pt idx="28">
                  <c:v>Dundee City</c:v>
                </c:pt>
                <c:pt idx="29">
                  <c:v>West Lothian</c:v>
                </c:pt>
                <c:pt idx="30">
                  <c:v>Glasgow City</c:v>
                </c:pt>
                <c:pt idx="31">
                  <c:v>City of Edinburgh</c:v>
                </c:pt>
                <c:pt idx="32">
                  <c:v>Aberdeen City</c:v>
                </c:pt>
              </c:strCache>
            </c:strRef>
          </c:cat>
          <c:val>
            <c:numRef>
              <c:f>'Chart 2.10'!$G$9:$G$41</c:f>
              <c:numCache>
                <c:formatCode>0%</c:formatCode>
                <c:ptCount val="33"/>
                <c:pt idx="0">
                  <c:v>0.91217337204479465</c:v>
                </c:pt>
                <c:pt idx="1">
                  <c:v>0.90954239091876554</c:v>
                </c:pt>
                <c:pt idx="2">
                  <c:v>0.90506678441329069</c:v>
                </c:pt>
                <c:pt idx="3">
                  <c:v>0.90332441727168511</c:v>
                </c:pt>
                <c:pt idx="4">
                  <c:v>0.90160623256708661</c:v>
                </c:pt>
                <c:pt idx="5">
                  <c:v>0.88449902117814561</c:v>
                </c:pt>
                <c:pt idx="6">
                  <c:v>0.88074167720185415</c:v>
                </c:pt>
                <c:pt idx="7">
                  <c:v>0.87738252981347464</c:v>
                </c:pt>
                <c:pt idx="8">
                  <c:v>0.8640028668697366</c:v>
                </c:pt>
                <c:pt idx="9">
                  <c:v>0.86335152617748134</c:v>
                </c:pt>
                <c:pt idx="10">
                  <c:v>0.86155462184873954</c:v>
                </c:pt>
                <c:pt idx="11">
                  <c:v>0.85205259460002003</c:v>
                </c:pt>
                <c:pt idx="12">
                  <c:v>0.84960615497343839</c:v>
                </c:pt>
                <c:pt idx="13">
                  <c:v>0.84490740740740744</c:v>
                </c:pt>
                <c:pt idx="14">
                  <c:v>0.84176594253679049</c:v>
                </c:pt>
                <c:pt idx="15">
                  <c:v>0.84099264705882348</c:v>
                </c:pt>
                <c:pt idx="16">
                  <c:v>0.83867044993919737</c:v>
                </c:pt>
                <c:pt idx="17">
                  <c:v>0.8381578947368421</c:v>
                </c:pt>
                <c:pt idx="18">
                  <c:v>0.8263681592039801</c:v>
                </c:pt>
                <c:pt idx="19">
                  <c:v>0.82510077201612353</c:v>
                </c:pt>
                <c:pt idx="20">
                  <c:v>0.81513970110461342</c:v>
                </c:pt>
                <c:pt idx="21">
                  <c:v>0.81305452865064698</c:v>
                </c:pt>
                <c:pt idx="22">
                  <c:v>0.81275772111419675</c:v>
                </c:pt>
                <c:pt idx="23">
                  <c:v>0.8030848329048843</c:v>
                </c:pt>
                <c:pt idx="24">
                  <c:v>0.79033762357769077</c:v>
                </c:pt>
                <c:pt idx="25">
                  <c:v>0.78968219033365616</c:v>
                </c:pt>
                <c:pt idx="26">
                  <c:v>0.77941779417794177</c:v>
                </c:pt>
                <c:pt idx="27">
                  <c:v>0.77401676337846548</c:v>
                </c:pt>
                <c:pt idx="28">
                  <c:v>0.76770087509944307</c:v>
                </c:pt>
                <c:pt idx="29">
                  <c:v>0.74445775913720791</c:v>
                </c:pt>
                <c:pt idx="30">
                  <c:v>0.7356463110580469</c:v>
                </c:pt>
                <c:pt idx="31">
                  <c:v>0.71012658227848102</c:v>
                </c:pt>
                <c:pt idx="32">
                  <c:v>0.64849035645763908</c:v>
                </c:pt>
              </c:numCache>
            </c:numRef>
          </c:val>
          <c:extLst>
            <c:ext xmlns:c16="http://schemas.microsoft.com/office/drawing/2014/chart" uri="{C3380CC4-5D6E-409C-BE32-E72D297353CC}">
              <c16:uniqueId val="{00000004-243A-4D72-92A4-3BACCF835406}"/>
            </c:ext>
          </c:extLst>
        </c:ser>
        <c:ser>
          <c:idx val="1"/>
          <c:order val="1"/>
          <c:tx>
            <c:v>RV between £20,001 and £51,000</c:v>
          </c:tx>
          <c:spPr>
            <a:solidFill>
              <a:srgbClr val="789AC8"/>
            </a:solidFill>
            <a:ln>
              <a:solidFill>
                <a:srgbClr val="2C486E"/>
              </a:solidFill>
            </a:ln>
            <a:effectLst/>
          </c:spPr>
          <c:invertIfNegative val="0"/>
          <c:dPt>
            <c:idx val="20"/>
            <c:invertIfNegative val="0"/>
            <c:bubble3D val="0"/>
            <c:spPr>
              <a:solidFill>
                <a:srgbClr val="789AC8"/>
              </a:solidFill>
              <a:ln>
                <a:solidFill>
                  <a:srgbClr val="2C486E"/>
                </a:solidFill>
              </a:ln>
              <a:effectLst/>
            </c:spPr>
            <c:extLst>
              <c:ext xmlns:c16="http://schemas.microsoft.com/office/drawing/2014/chart" uri="{C3380CC4-5D6E-409C-BE32-E72D297353CC}">
                <c16:uniqueId val="{00000006-243A-4D72-92A4-3BACCF835406}"/>
              </c:ext>
            </c:extLst>
          </c:dPt>
          <c:dPt>
            <c:idx val="21"/>
            <c:invertIfNegative val="0"/>
            <c:bubble3D val="0"/>
            <c:spPr>
              <a:solidFill>
                <a:srgbClr val="767171"/>
              </a:solidFill>
              <a:ln>
                <a:solidFill>
                  <a:srgbClr val="2C486E"/>
                </a:solidFill>
              </a:ln>
              <a:effectLst/>
            </c:spPr>
            <c:extLst>
              <c:ext xmlns:c16="http://schemas.microsoft.com/office/drawing/2014/chart" uri="{C3380CC4-5D6E-409C-BE32-E72D297353CC}">
                <c16:uniqueId val="{00000008-243A-4D72-92A4-3BACCF835406}"/>
              </c:ext>
            </c:extLst>
          </c:dPt>
          <c:dLbls>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 2.10'!$A$9:$A$41</c:f>
              <c:strCache>
                <c:ptCount val="33"/>
                <c:pt idx="0">
                  <c:v>Argyll and Bute</c:v>
                </c:pt>
                <c:pt idx="1">
                  <c:v>Na h-Eileanan Siar</c:v>
                </c:pt>
                <c:pt idx="2">
                  <c:v>Scottish Borders</c:v>
                </c:pt>
                <c:pt idx="3">
                  <c:v>Orkney Islands</c:v>
                </c:pt>
                <c:pt idx="4">
                  <c:v>Dumfries and Galloway</c:v>
                </c:pt>
                <c:pt idx="5">
                  <c:v>Angus</c:v>
                </c:pt>
                <c:pt idx="6">
                  <c:v>Shetland Islands</c:v>
                </c:pt>
                <c:pt idx="7">
                  <c:v>Perth and Kinross</c:v>
                </c:pt>
                <c:pt idx="8">
                  <c:v>Moray</c:v>
                </c:pt>
                <c:pt idx="9">
                  <c:v>Highland</c:v>
                </c:pt>
                <c:pt idx="10">
                  <c:v>East Ayrshire</c:v>
                </c:pt>
                <c:pt idx="11">
                  <c:v>Renfrewshire</c:v>
                </c:pt>
                <c:pt idx="12">
                  <c:v>North Ayrshire</c:v>
                </c:pt>
                <c:pt idx="13">
                  <c:v>Clackmannanshire</c:v>
                </c:pt>
                <c:pt idx="14">
                  <c:v>Aberdeenshire</c:v>
                </c:pt>
                <c:pt idx="15">
                  <c:v>South Ayrshire</c:v>
                </c:pt>
                <c:pt idx="16">
                  <c:v>Inverclyde</c:v>
                </c:pt>
                <c:pt idx="17">
                  <c:v>East Lothian</c:v>
                </c:pt>
                <c:pt idx="18">
                  <c:v>Stirling</c:v>
                </c:pt>
                <c:pt idx="19">
                  <c:v>Fife</c:v>
                </c:pt>
                <c:pt idx="20">
                  <c:v>West Dunbartonshire</c:v>
                </c:pt>
                <c:pt idx="21">
                  <c:v>Scotland</c:v>
                </c:pt>
                <c:pt idx="22">
                  <c:v>South Lanarkshire</c:v>
                </c:pt>
                <c:pt idx="23">
                  <c:v>East Renfrewshire</c:v>
                </c:pt>
                <c:pt idx="24">
                  <c:v>Falkirk</c:v>
                </c:pt>
                <c:pt idx="25">
                  <c:v>North Lanarkshire</c:v>
                </c:pt>
                <c:pt idx="26">
                  <c:v>East Dunbartonshire</c:v>
                </c:pt>
                <c:pt idx="27">
                  <c:v>Midlothian</c:v>
                </c:pt>
                <c:pt idx="28">
                  <c:v>Dundee City</c:v>
                </c:pt>
                <c:pt idx="29">
                  <c:v>West Lothian</c:v>
                </c:pt>
                <c:pt idx="30">
                  <c:v>Glasgow City</c:v>
                </c:pt>
                <c:pt idx="31">
                  <c:v>City of Edinburgh</c:v>
                </c:pt>
                <c:pt idx="32">
                  <c:v>Aberdeen City</c:v>
                </c:pt>
              </c:strCache>
            </c:strRef>
          </c:cat>
          <c:val>
            <c:numRef>
              <c:f>'Chart 2.10'!$H$9:$H$41</c:f>
              <c:numCache>
                <c:formatCode>0%</c:formatCode>
                <c:ptCount val="33"/>
                <c:pt idx="0">
                  <c:v>5.5474906677727087E-2</c:v>
                </c:pt>
                <c:pt idx="1">
                  <c:v>5.4984036892515076E-2</c:v>
                </c:pt>
                <c:pt idx="2">
                  <c:v>5.5856054752180154E-2</c:v>
                </c:pt>
                <c:pt idx="3">
                  <c:v>7.0309514711501722E-2</c:v>
                </c:pt>
                <c:pt idx="4">
                  <c:v>5.7516591324420503E-2</c:v>
                </c:pt>
                <c:pt idx="5">
                  <c:v>6.9051432639259655E-2</c:v>
                </c:pt>
                <c:pt idx="6">
                  <c:v>6.9532237673830599E-2</c:v>
                </c:pt>
                <c:pt idx="7">
                  <c:v>6.6150239527061463E-2</c:v>
                </c:pt>
                <c:pt idx="8">
                  <c:v>7.1850922773696466E-2</c:v>
                </c:pt>
                <c:pt idx="9">
                  <c:v>7.4843339397614714E-2</c:v>
                </c:pt>
                <c:pt idx="10">
                  <c:v>7.5630252100840331E-2</c:v>
                </c:pt>
                <c:pt idx="11">
                  <c:v>7.7486700792933849E-2</c:v>
                </c:pt>
                <c:pt idx="12">
                  <c:v>8.9760029309397332E-2</c:v>
                </c:pt>
                <c:pt idx="13">
                  <c:v>9.5486111111111105E-2</c:v>
                </c:pt>
                <c:pt idx="14">
                  <c:v>8.8227049754730197E-2</c:v>
                </c:pt>
                <c:pt idx="15">
                  <c:v>8.9154411764705885E-2</c:v>
                </c:pt>
                <c:pt idx="16">
                  <c:v>8.6745034454803402E-2</c:v>
                </c:pt>
                <c:pt idx="17">
                  <c:v>8.9473684210526316E-2</c:v>
                </c:pt>
                <c:pt idx="18">
                  <c:v>0.10613598673300166</c:v>
                </c:pt>
                <c:pt idx="19">
                  <c:v>0.10234337637494022</c:v>
                </c:pt>
                <c:pt idx="20">
                  <c:v>0.10103963612735542</c:v>
                </c:pt>
                <c:pt idx="21">
                  <c:v>0.10137861983980283</c:v>
                </c:pt>
                <c:pt idx="22">
                  <c:v>0.10392998401077169</c:v>
                </c:pt>
                <c:pt idx="23">
                  <c:v>0.12853470437017994</c:v>
                </c:pt>
                <c:pt idx="24">
                  <c:v>0.11639619473978735</c:v>
                </c:pt>
                <c:pt idx="25">
                  <c:v>0.11391847873932565</c:v>
                </c:pt>
                <c:pt idx="26">
                  <c:v>0.12915129151291513</c:v>
                </c:pt>
                <c:pt idx="27">
                  <c:v>0.11411992263056092</c:v>
                </c:pt>
                <c:pt idx="28">
                  <c:v>0.12426412092283214</c:v>
                </c:pt>
                <c:pt idx="29">
                  <c:v>0.1322648292390653</c:v>
                </c:pt>
                <c:pt idx="30">
                  <c:v>0.14074516276293147</c:v>
                </c:pt>
                <c:pt idx="31">
                  <c:v>0.1464426014840681</c:v>
                </c:pt>
                <c:pt idx="32">
                  <c:v>0.16469756639402203</c:v>
                </c:pt>
              </c:numCache>
            </c:numRef>
          </c:val>
          <c:extLst>
            <c:ext xmlns:c16="http://schemas.microsoft.com/office/drawing/2014/chart" uri="{C3380CC4-5D6E-409C-BE32-E72D297353CC}">
              <c16:uniqueId val="{00000009-243A-4D72-92A4-3BACCF835406}"/>
            </c:ext>
          </c:extLst>
        </c:ser>
        <c:ser>
          <c:idx val="2"/>
          <c:order val="2"/>
          <c:tx>
            <c:v>RV £51,001 or higher</c:v>
          </c:tx>
          <c:spPr>
            <a:solidFill>
              <a:srgbClr val="DDE5F1"/>
            </a:solidFill>
            <a:ln>
              <a:solidFill>
                <a:srgbClr val="2C486E"/>
              </a:solidFill>
            </a:ln>
            <a:effectLst/>
          </c:spPr>
          <c:invertIfNegative val="0"/>
          <c:dPt>
            <c:idx val="20"/>
            <c:invertIfNegative val="0"/>
            <c:bubble3D val="0"/>
            <c:spPr>
              <a:solidFill>
                <a:srgbClr val="DDE5F1"/>
              </a:solidFill>
              <a:ln>
                <a:solidFill>
                  <a:srgbClr val="2C486E"/>
                </a:solidFill>
              </a:ln>
              <a:effectLst/>
            </c:spPr>
            <c:extLst>
              <c:ext xmlns:c16="http://schemas.microsoft.com/office/drawing/2014/chart" uri="{C3380CC4-5D6E-409C-BE32-E72D297353CC}">
                <c16:uniqueId val="{0000000B-243A-4D72-92A4-3BACCF835406}"/>
              </c:ext>
            </c:extLst>
          </c:dPt>
          <c:dPt>
            <c:idx val="21"/>
            <c:invertIfNegative val="0"/>
            <c:bubble3D val="0"/>
            <c:spPr>
              <a:solidFill>
                <a:srgbClr val="EAEAEA"/>
              </a:solidFill>
              <a:ln>
                <a:solidFill>
                  <a:srgbClr val="2C486E"/>
                </a:solidFill>
              </a:ln>
              <a:effectLst/>
            </c:spPr>
            <c:extLst>
              <c:ext xmlns:c16="http://schemas.microsoft.com/office/drawing/2014/chart" uri="{C3380CC4-5D6E-409C-BE32-E72D297353CC}">
                <c16:uniqueId val="{0000000D-243A-4D72-92A4-3BACCF835406}"/>
              </c:ext>
            </c:extLst>
          </c:dPt>
          <c:dLbls>
            <c:dLbl>
              <c:idx val="0"/>
              <c:layout>
                <c:manualLayout>
                  <c:x val="2.4635824788804619E-3"/>
                  <c:y val="2.69732223653966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243A-4D72-92A4-3BACCF835406}"/>
                </c:ext>
              </c:extLst>
            </c:dLbl>
            <c:dLbl>
              <c:idx val="6"/>
              <c:layout>
                <c:manualLayout>
                  <c:x val="1.3529985945729039E-3"/>
                  <c:y val="1.1428986789275139E-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243A-4D72-92A4-3BACCF835406}"/>
                </c:ext>
              </c:extLst>
            </c:dLbl>
            <c:dLbl>
              <c:idx val="7"/>
              <c:layout>
                <c:manualLayout>
                  <c:x val="6.0960364387177696E-3"/>
                  <c:y val="-1.4512527426711051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243A-4D72-92A4-3BACCF835406}"/>
                </c:ext>
              </c:extLst>
            </c:dLbl>
            <c:dLbl>
              <c:idx val="12"/>
              <c:layout>
                <c:manualLayout>
                  <c:x val="3.9221131805209589E-3"/>
                  <c:y val="1.1428986791936156E-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243A-4D72-92A4-3BACCF835406}"/>
                </c:ext>
              </c:extLst>
            </c:dLbl>
            <c:dLbl>
              <c:idx val="14"/>
              <c:layout>
                <c:manualLayout>
                  <c:x val="2.3927870410877803E-3"/>
                  <c:y val="-1.4514813224069173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243A-4D72-92A4-3BACCF835406}"/>
                </c:ext>
              </c:extLst>
            </c:dLbl>
            <c:dLbl>
              <c:idx val="28"/>
              <c:layout>
                <c:manualLayout>
                  <c:x val="2.213615503568469E-3"/>
                  <c:y val="1.4517099021427293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243A-4D72-92A4-3BACCF835406}"/>
                </c:ext>
              </c:extLst>
            </c:dLbl>
            <c:dLbl>
              <c:idx val="31"/>
              <c:layout>
                <c:manualLayout>
                  <c:x val="6.9787870297116942E-3"/>
                  <c:y val="-1.451367032539011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243A-4D72-92A4-3BACCF835406}"/>
                </c:ext>
              </c:extLst>
            </c:dLbl>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 2.10'!$A$9:$A$41</c:f>
              <c:strCache>
                <c:ptCount val="33"/>
                <c:pt idx="0">
                  <c:v>Argyll and Bute</c:v>
                </c:pt>
                <c:pt idx="1">
                  <c:v>Na h-Eileanan Siar</c:v>
                </c:pt>
                <c:pt idx="2">
                  <c:v>Scottish Borders</c:v>
                </c:pt>
                <c:pt idx="3">
                  <c:v>Orkney Islands</c:v>
                </c:pt>
                <c:pt idx="4">
                  <c:v>Dumfries and Galloway</c:v>
                </c:pt>
                <c:pt idx="5">
                  <c:v>Angus</c:v>
                </c:pt>
                <c:pt idx="6">
                  <c:v>Shetland Islands</c:v>
                </c:pt>
                <c:pt idx="7">
                  <c:v>Perth and Kinross</c:v>
                </c:pt>
                <c:pt idx="8">
                  <c:v>Moray</c:v>
                </c:pt>
                <c:pt idx="9">
                  <c:v>Highland</c:v>
                </c:pt>
                <c:pt idx="10">
                  <c:v>East Ayrshire</c:v>
                </c:pt>
                <c:pt idx="11">
                  <c:v>Renfrewshire</c:v>
                </c:pt>
                <c:pt idx="12">
                  <c:v>North Ayrshire</c:v>
                </c:pt>
                <c:pt idx="13">
                  <c:v>Clackmannanshire</c:v>
                </c:pt>
                <c:pt idx="14">
                  <c:v>Aberdeenshire</c:v>
                </c:pt>
                <c:pt idx="15">
                  <c:v>South Ayrshire</c:v>
                </c:pt>
                <c:pt idx="16">
                  <c:v>Inverclyde</c:v>
                </c:pt>
                <c:pt idx="17">
                  <c:v>East Lothian</c:v>
                </c:pt>
                <c:pt idx="18">
                  <c:v>Stirling</c:v>
                </c:pt>
                <c:pt idx="19">
                  <c:v>Fife</c:v>
                </c:pt>
                <c:pt idx="20">
                  <c:v>West Dunbartonshire</c:v>
                </c:pt>
                <c:pt idx="21">
                  <c:v>Scotland</c:v>
                </c:pt>
                <c:pt idx="22">
                  <c:v>South Lanarkshire</c:v>
                </c:pt>
                <c:pt idx="23">
                  <c:v>East Renfrewshire</c:v>
                </c:pt>
                <c:pt idx="24">
                  <c:v>Falkirk</c:v>
                </c:pt>
                <c:pt idx="25">
                  <c:v>North Lanarkshire</c:v>
                </c:pt>
                <c:pt idx="26">
                  <c:v>East Dunbartonshire</c:v>
                </c:pt>
                <c:pt idx="27">
                  <c:v>Midlothian</c:v>
                </c:pt>
                <c:pt idx="28">
                  <c:v>Dundee City</c:v>
                </c:pt>
                <c:pt idx="29">
                  <c:v>West Lothian</c:v>
                </c:pt>
                <c:pt idx="30">
                  <c:v>Glasgow City</c:v>
                </c:pt>
                <c:pt idx="31">
                  <c:v>City of Edinburgh</c:v>
                </c:pt>
                <c:pt idx="32">
                  <c:v>Aberdeen City</c:v>
                </c:pt>
              </c:strCache>
            </c:strRef>
          </c:cat>
          <c:val>
            <c:numRef>
              <c:f>'Chart 2.10'!$I$9:$I$41</c:f>
              <c:numCache>
                <c:formatCode>0%</c:formatCode>
                <c:ptCount val="33"/>
                <c:pt idx="0">
                  <c:v>3.2351721277478228E-2</c:v>
                </c:pt>
                <c:pt idx="1">
                  <c:v>3.5473572188719403E-2</c:v>
                </c:pt>
                <c:pt idx="2">
                  <c:v>3.9077160834529195E-2</c:v>
                </c:pt>
                <c:pt idx="3">
                  <c:v>2.6366068016813144E-2</c:v>
                </c:pt>
                <c:pt idx="4">
                  <c:v>4.0877176108492834E-2</c:v>
                </c:pt>
                <c:pt idx="5">
                  <c:v>4.6449546182594767E-2</c:v>
                </c:pt>
                <c:pt idx="6">
                  <c:v>4.9726085124315214E-2</c:v>
                </c:pt>
                <c:pt idx="7">
                  <c:v>5.6467230659463866E-2</c:v>
                </c:pt>
                <c:pt idx="8">
                  <c:v>6.4146210356566924E-2</c:v>
                </c:pt>
                <c:pt idx="9">
                  <c:v>6.1805134424903985E-2</c:v>
                </c:pt>
                <c:pt idx="10">
                  <c:v>6.2815126050420167E-2</c:v>
                </c:pt>
                <c:pt idx="11">
                  <c:v>7.0460704607046065E-2</c:v>
                </c:pt>
                <c:pt idx="12">
                  <c:v>6.0633815717164315E-2</c:v>
                </c:pt>
                <c:pt idx="13">
                  <c:v>5.9606481481481483E-2</c:v>
                </c:pt>
                <c:pt idx="14">
                  <c:v>7.0007007708479327E-2</c:v>
                </c:pt>
                <c:pt idx="15">
                  <c:v>6.985294117647059E-2</c:v>
                </c:pt>
                <c:pt idx="16">
                  <c:v>7.4584515605999185E-2</c:v>
                </c:pt>
                <c:pt idx="17">
                  <c:v>7.2368421052631582E-2</c:v>
                </c:pt>
                <c:pt idx="18">
                  <c:v>6.7495854063018237E-2</c:v>
                </c:pt>
                <c:pt idx="19">
                  <c:v>7.2555851608936253E-2</c:v>
                </c:pt>
                <c:pt idx="20">
                  <c:v>8.3820662768031184E-2</c:v>
                </c:pt>
                <c:pt idx="21">
                  <c:v>8.5566851509550221E-2</c:v>
                </c:pt>
                <c:pt idx="22">
                  <c:v>8.3312294875031556E-2</c:v>
                </c:pt>
                <c:pt idx="23">
                  <c:v>6.8380462724935739E-2</c:v>
                </c:pt>
                <c:pt idx="24">
                  <c:v>9.3266181682521918E-2</c:v>
                </c:pt>
                <c:pt idx="25">
                  <c:v>9.6399330927018217E-2</c:v>
                </c:pt>
                <c:pt idx="26">
                  <c:v>9.1430914309143088E-2</c:v>
                </c:pt>
                <c:pt idx="27">
                  <c:v>0.11186331399097356</c:v>
                </c:pt>
                <c:pt idx="28">
                  <c:v>0.10803500397772474</c:v>
                </c:pt>
                <c:pt idx="29">
                  <c:v>0.12327741162372678</c:v>
                </c:pt>
                <c:pt idx="30">
                  <c:v>0.12360852617902167</c:v>
                </c:pt>
                <c:pt idx="31">
                  <c:v>0.14343081623745088</c:v>
                </c:pt>
                <c:pt idx="32">
                  <c:v>0.18681207714833889</c:v>
                </c:pt>
              </c:numCache>
            </c:numRef>
          </c:val>
          <c:extLst>
            <c:ext xmlns:c16="http://schemas.microsoft.com/office/drawing/2014/chart" uri="{C3380CC4-5D6E-409C-BE32-E72D297353CC}">
              <c16:uniqueId val="{00000015-243A-4D72-92A4-3BACCF835406}"/>
            </c:ext>
          </c:extLst>
        </c:ser>
        <c:dLbls>
          <c:dLblPos val="inBase"/>
          <c:showLegendKey val="0"/>
          <c:showVal val="1"/>
          <c:showCatName val="0"/>
          <c:showSerName val="0"/>
          <c:showPercent val="0"/>
          <c:showBubbleSize val="0"/>
        </c:dLbls>
        <c:gapWidth val="25"/>
        <c:overlap val="100"/>
        <c:axId val="497757104"/>
        <c:axId val="497753496"/>
      </c:barChart>
      <c:catAx>
        <c:axId val="49775710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97753496"/>
        <c:crosses val="autoZero"/>
        <c:auto val="1"/>
        <c:lblAlgn val="ctr"/>
        <c:lblOffset val="100"/>
        <c:noMultiLvlLbl val="0"/>
      </c:catAx>
      <c:valAx>
        <c:axId val="497753496"/>
        <c:scaling>
          <c:orientation val="minMax"/>
        </c:scaling>
        <c:delete val="0"/>
        <c:axPos val="t"/>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97757104"/>
        <c:crosses val="autoZero"/>
        <c:crossBetween val="between"/>
        <c:majorUnit val="0.2"/>
      </c:valAx>
      <c:spPr>
        <a:noFill/>
        <a:ln>
          <a:noFill/>
        </a:ln>
        <a:effectLst/>
      </c:spPr>
    </c:plotArea>
    <c:legend>
      <c:legendPos val="b"/>
      <c:layout>
        <c:manualLayout>
          <c:xMode val="edge"/>
          <c:yMode val="edge"/>
          <c:x val="9.8562346325904542E-3"/>
          <c:y val="0.96801807018908581"/>
          <c:w val="0.98444234544591314"/>
          <c:h val="3.0520061333271609E-2"/>
        </c:manualLayout>
      </c:layout>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sz="120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7331712903514105"/>
          <c:y val="1.5198618307426597E-2"/>
          <c:w val="0.67109748792402146"/>
          <c:h val="0.91819661920498274"/>
        </c:manualLayout>
      </c:layout>
      <c:barChart>
        <c:barDir val="bar"/>
        <c:grouping val="percentStacked"/>
        <c:varyColors val="0"/>
        <c:ser>
          <c:idx val="0"/>
          <c:order val="0"/>
          <c:tx>
            <c:v>RV £20,000 or lower</c:v>
          </c:tx>
          <c:spPr>
            <a:solidFill>
              <a:srgbClr val="2C486E"/>
            </a:solidFill>
            <a:ln>
              <a:solidFill>
                <a:srgbClr val="2C486E"/>
              </a:solidFill>
            </a:ln>
            <a:effectLst/>
          </c:spPr>
          <c:invertIfNegative val="0"/>
          <c:dPt>
            <c:idx val="24"/>
            <c:invertIfNegative val="0"/>
            <c:bubble3D val="0"/>
            <c:spPr>
              <a:solidFill>
                <a:srgbClr val="4D4D4D"/>
              </a:solidFill>
              <a:ln>
                <a:solidFill>
                  <a:srgbClr val="2C486E"/>
                </a:solidFill>
              </a:ln>
              <a:effectLst/>
            </c:spPr>
            <c:extLst>
              <c:ext xmlns:c16="http://schemas.microsoft.com/office/drawing/2014/chart" uri="{C3380CC4-5D6E-409C-BE32-E72D297353CC}">
                <c16:uniqueId val="{00000001-A92D-4AA2-9095-374BFC83B781}"/>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 2.10a'!$A$9:$A$41</c:f>
              <c:strCache>
                <c:ptCount val="33"/>
                <c:pt idx="0">
                  <c:v>Argyll and Bute</c:v>
                </c:pt>
                <c:pt idx="1">
                  <c:v>Na h-Eileanan Siar</c:v>
                </c:pt>
                <c:pt idx="2">
                  <c:v>Orkney Islands</c:v>
                </c:pt>
                <c:pt idx="3">
                  <c:v>Scottish Borders</c:v>
                </c:pt>
                <c:pt idx="4">
                  <c:v>Dumfries and Galloway</c:v>
                </c:pt>
                <c:pt idx="5">
                  <c:v>Angus</c:v>
                </c:pt>
                <c:pt idx="6">
                  <c:v>Shetland Islands</c:v>
                </c:pt>
                <c:pt idx="7">
                  <c:v>Perth and Kinross</c:v>
                </c:pt>
                <c:pt idx="8">
                  <c:v>East Ayrshire</c:v>
                </c:pt>
                <c:pt idx="9">
                  <c:v>Highland</c:v>
                </c:pt>
                <c:pt idx="10">
                  <c:v>Moray</c:v>
                </c:pt>
                <c:pt idx="11">
                  <c:v>Renfrewshire</c:v>
                </c:pt>
                <c:pt idx="12">
                  <c:v>North Ayrshire</c:v>
                </c:pt>
                <c:pt idx="13">
                  <c:v>Clackmannanshire</c:v>
                </c:pt>
                <c:pt idx="14">
                  <c:v>South Ayrshire</c:v>
                </c:pt>
                <c:pt idx="15">
                  <c:v>Aberdeenshire</c:v>
                </c:pt>
                <c:pt idx="16">
                  <c:v>Inverclyde</c:v>
                </c:pt>
                <c:pt idx="17">
                  <c:v>East Lothian</c:v>
                </c:pt>
                <c:pt idx="18">
                  <c:v>Fife</c:v>
                </c:pt>
                <c:pt idx="19">
                  <c:v>Stirling</c:v>
                </c:pt>
                <c:pt idx="20">
                  <c:v>West Dunbartonshire</c:v>
                </c:pt>
                <c:pt idx="21">
                  <c:v>South Lanarkshire</c:v>
                </c:pt>
                <c:pt idx="22">
                  <c:v>Scotland</c:v>
                </c:pt>
                <c:pt idx="23">
                  <c:v>East Renfrewshire</c:v>
                </c:pt>
                <c:pt idx="24">
                  <c:v>North Lanarkshire</c:v>
                </c:pt>
                <c:pt idx="25">
                  <c:v>Falkirk</c:v>
                </c:pt>
                <c:pt idx="26">
                  <c:v>East Dunbartonshire</c:v>
                </c:pt>
                <c:pt idx="27">
                  <c:v>Midlothian</c:v>
                </c:pt>
                <c:pt idx="28">
                  <c:v>Dundee City</c:v>
                </c:pt>
                <c:pt idx="29">
                  <c:v>West Lothian</c:v>
                </c:pt>
                <c:pt idx="30">
                  <c:v>Glasgow City</c:v>
                </c:pt>
                <c:pt idx="31">
                  <c:v>City of Edinburgh</c:v>
                </c:pt>
                <c:pt idx="32">
                  <c:v>Aberdeen City</c:v>
                </c:pt>
              </c:strCache>
            </c:strRef>
          </c:cat>
          <c:val>
            <c:numRef>
              <c:f>'Chart 2.10a'!$G$9:$G$41</c:f>
              <c:numCache>
                <c:formatCode>0%</c:formatCode>
                <c:ptCount val="33"/>
                <c:pt idx="0">
                  <c:v>0.90975081256771395</c:v>
                </c:pt>
                <c:pt idx="1">
                  <c:v>0.90709583028529628</c:v>
                </c:pt>
                <c:pt idx="2">
                  <c:v>0.90504898266767142</c:v>
                </c:pt>
                <c:pt idx="3">
                  <c:v>0.90376242045327682</c:v>
                </c:pt>
                <c:pt idx="4">
                  <c:v>0.90228450758302936</c:v>
                </c:pt>
                <c:pt idx="5">
                  <c:v>0.88432967810399721</c:v>
                </c:pt>
                <c:pt idx="6">
                  <c:v>0.88178376104333189</c:v>
                </c:pt>
                <c:pt idx="7">
                  <c:v>0.87775856808705377</c:v>
                </c:pt>
                <c:pt idx="8">
                  <c:v>0.87056037884767168</c:v>
                </c:pt>
                <c:pt idx="9">
                  <c:v>0.8634421727189503</c:v>
                </c:pt>
                <c:pt idx="10">
                  <c:v>0.8626492942453855</c:v>
                </c:pt>
                <c:pt idx="11">
                  <c:v>0.85590606030450789</c:v>
                </c:pt>
                <c:pt idx="12">
                  <c:v>0.85371615482464114</c:v>
                </c:pt>
                <c:pt idx="13">
                  <c:v>0.846815834767642</c:v>
                </c:pt>
                <c:pt idx="14">
                  <c:v>0.84314442413162705</c:v>
                </c:pt>
                <c:pt idx="15">
                  <c:v>0.84175793316484138</c:v>
                </c:pt>
                <c:pt idx="16">
                  <c:v>0.83991935483870972</c:v>
                </c:pt>
                <c:pt idx="17">
                  <c:v>0.83774574049803407</c:v>
                </c:pt>
                <c:pt idx="18">
                  <c:v>0.82919549586216257</c:v>
                </c:pt>
                <c:pt idx="19">
                  <c:v>0.82660213618157541</c:v>
                </c:pt>
                <c:pt idx="20">
                  <c:v>0.8180333224436459</c:v>
                </c:pt>
                <c:pt idx="21">
                  <c:v>0.81655722716316181</c:v>
                </c:pt>
                <c:pt idx="22">
                  <c:v>0.8152623272643289</c:v>
                </c:pt>
                <c:pt idx="23">
                  <c:v>0.81150793650793651</c:v>
                </c:pt>
                <c:pt idx="24">
                  <c:v>0.79685326842837279</c:v>
                </c:pt>
                <c:pt idx="25">
                  <c:v>0.79633027522935784</c:v>
                </c:pt>
                <c:pt idx="26">
                  <c:v>0.78321108394458028</c:v>
                </c:pt>
                <c:pt idx="27">
                  <c:v>0.77490297542043984</c:v>
                </c:pt>
                <c:pt idx="28">
                  <c:v>0.77303835747254501</c:v>
                </c:pt>
                <c:pt idx="29">
                  <c:v>0.74708694353152072</c:v>
                </c:pt>
                <c:pt idx="30">
                  <c:v>0.74025018395879327</c:v>
                </c:pt>
                <c:pt idx="31">
                  <c:v>0.70940624723475798</c:v>
                </c:pt>
                <c:pt idx="32">
                  <c:v>0.65570463028346615</c:v>
                </c:pt>
              </c:numCache>
            </c:numRef>
          </c:val>
          <c:extLst>
            <c:ext xmlns:c16="http://schemas.microsoft.com/office/drawing/2014/chart" uri="{C3380CC4-5D6E-409C-BE32-E72D297353CC}">
              <c16:uniqueId val="{00000002-A92D-4AA2-9095-374BFC83B781}"/>
            </c:ext>
          </c:extLst>
        </c:ser>
        <c:ser>
          <c:idx val="1"/>
          <c:order val="1"/>
          <c:tx>
            <c:v>RV between £20,001 and £51,000</c:v>
          </c:tx>
          <c:spPr>
            <a:solidFill>
              <a:srgbClr val="789AC8"/>
            </a:solidFill>
            <a:ln>
              <a:solidFill>
                <a:srgbClr val="2C486E"/>
              </a:solidFill>
            </a:ln>
            <a:effectLst/>
          </c:spPr>
          <c:invertIfNegative val="0"/>
          <c:dPt>
            <c:idx val="24"/>
            <c:invertIfNegative val="0"/>
            <c:bubble3D val="0"/>
            <c:spPr>
              <a:solidFill>
                <a:srgbClr val="787878"/>
              </a:solidFill>
              <a:ln>
                <a:solidFill>
                  <a:srgbClr val="2C486E"/>
                </a:solidFill>
              </a:ln>
              <a:effectLst/>
            </c:spPr>
            <c:extLst>
              <c:ext xmlns:c16="http://schemas.microsoft.com/office/drawing/2014/chart" uri="{C3380CC4-5D6E-409C-BE32-E72D297353CC}">
                <c16:uniqueId val="{00000004-A92D-4AA2-9095-374BFC83B781}"/>
              </c:ext>
            </c:extLst>
          </c:dPt>
          <c:dLbls>
            <c:dLbl>
              <c:idx val="15"/>
              <c:layout>
                <c:manualLayout>
                  <c:x val="3.7273904343390748E-3"/>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92D-4AA2-9095-374BFC83B781}"/>
                </c:ext>
              </c:extLst>
            </c:dLbl>
            <c:dLbl>
              <c:idx val="24"/>
              <c:tx>
                <c:rich>
                  <a:bodyPr/>
                  <a:lstStyle/>
                  <a:p>
                    <a:fld id="{66F104D1-D268-4BF3-A099-5663BC1E7BE0}" type="VALUE">
                      <a:rPr lang="en-US">
                        <a:solidFill>
                          <a:sysClr val="windowText" lastClr="000000"/>
                        </a:solidFill>
                      </a:rPr>
                      <a:pPr/>
                      <a:t>[VALUE]</a:t>
                    </a:fld>
                    <a:endParaRPr lang="en-GB"/>
                  </a:p>
                </c:rich>
              </c:tx>
              <c:dLblPos val="inBase"/>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A92D-4AA2-9095-374BFC83B781}"/>
                </c:ext>
              </c:extLst>
            </c:dLbl>
            <c:dLbl>
              <c:idx val="32"/>
              <c:layout>
                <c:manualLayout>
                  <c:x val="3.5511716091101535E-3"/>
                  <c:y val="6.1262161662898702E-1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92D-4AA2-9095-374BFC83B781}"/>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 2.10a'!$A$9:$A$41</c:f>
              <c:strCache>
                <c:ptCount val="33"/>
                <c:pt idx="0">
                  <c:v>Argyll and Bute</c:v>
                </c:pt>
                <c:pt idx="1">
                  <c:v>Na h-Eileanan Siar</c:v>
                </c:pt>
                <c:pt idx="2">
                  <c:v>Orkney Islands</c:v>
                </c:pt>
                <c:pt idx="3">
                  <c:v>Scottish Borders</c:v>
                </c:pt>
                <c:pt idx="4">
                  <c:v>Dumfries and Galloway</c:v>
                </c:pt>
                <c:pt idx="5">
                  <c:v>Angus</c:v>
                </c:pt>
                <c:pt idx="6">
                  <c:v>Shetland Islands</c:v>
                </c:pt>
                <c:pt idx="7">
                  <c:v>Perth and Kinross</c:v>
                </c:pt>
                <c:pt idx="8">
                  <c:v>East Ayrshire</c:v>
                </c:pt>
                <c:pt idx="9">
                  <c:v>Highland</c:v>
                </c:pt>
                <c:pt idx="10">
                  <c:v>Moray</c:v>
                </c:pt>
                <c:pt idx="11">
                  <c:v>Renfrewshire</c:v>
                </c:pt>
                <c:pt idx="12">
                  <c:v>North Ayrshire</c:v>
                </c:pt>
                <c:pt idx="13">
                  <c:v>Clackmannanshire</c:v>
                </c:pt>
                <c:pt idx="14">
                  <c:v>South Ayrshire</c:v>
                </c:pt>
                <c:pt idx="15">
                  <c:v>Aberdeenshire</c:v>
                </c:pt>
                <c:pt idx="16">
                  <c:v>Inverclyde</c:v>
                </c:pt>
                <c:pt idx="17">
                  <c:v>East Lothian</c:v>
                </c:pt>
                <c:pt idx="18">
                  <c:v>Fife</c:v>
                </c:pt>
                <c:pt idx="19">
                  <c:v>Stirling</c:v>
                </c:pt>
                <c:pt idx="20">
                  <c:v>West Dunbartonshire</c:v>
                </c:pt>
                <c:pt idx="21">
                  <c:v>South Lanarkshire</c:v>
                </c:pt>
                <c:pt idx="22">
                  <c:v>Scotland</c:v>
                </c:pt>
                <c:pt idx="23">
                  <c:v>East Renfrewshire</c:v>
                </c:pt>
                <c:pt idx="24">
                  <c:v>North Lanarkshire</c:v>
                </c:pt>
                <c:pt idx="25">
                  <c:v>Falkirk</c:v>
                </c:pt>
                <c:pt idx="26">
                  <c:v>East Dunbartonshire</c:v>
                </c:pt>
                <c:pt idx="27">
                  <c:v>Midlothian</c:v>
                </c:pt>
                <c:pt idx="28">
                  <c:v>Dundee City</c:v>
                </c:pt>
                <c:pt idx="29">
                  <c:v>West Lothian</c:v>
                </c:pt>
                <c:pt idx="30">
                  <c:v>Glasgow City</c:v>
                </c:pt>
                <c:pt idx="31">
                  <c:v>City of Edinburgh</c:v>
                </c:pt>
                <c:pt idx="32">
                  <c:v>Aberdeen City</c:v>
                </c:pt>
              </c:strCache>
            </c:strRef>
          </c:cat>
          <c:val>
            <c:numRef>
              <c:f>'Chart 2.10a'!$H$9:$H$41</c:f>
              <c:numCache>
                <c:formatCode>0%</c:formatCode>
                <c:ptCount val="33"/>
                <c:pt idx="0">
                  <c:v>5.6338028169014086E-2</c:v>
                </c:pt>
                <c:pt idx="1">
                  <c:v>5.7059253840526701E-2</c:v>
                </c:pt>
                <c:pt idx="2">
                  <c:v>6.8952524491333836E-2</c:v>
                </c:pt>
                <c:pt idx="3">
                  <c:v>5.6938707156413977E-2</c:v>
                </c:pt>
                <c:pt idx="4">
                  <c:v>5.7112689575734309E-2</c:v>
                </c:pt>
                <c:pt idx="5">
                  <c:v>6.8977714892111783E-2</c:v>
                </c:pt>
                <c:pt idx="6">
                  <c:v>6.9835927639882209E-2</c:v>
                </c:pt>
                <c:pt idx="7">
                  <c:v>6.7120919353198416E-2</c:v>
                </c:pt>
                <c:pt idx="8">
                  <c:v>7.2217837411207575E-2</c:v>
                </c:pt>
                <c:pt idx="9">
                  <c:v>7.5322957990031539E-2</c:v>
                </c:pt>
                <c:pt idx="10">
                  <c:v>7.2204125950054293E-2</c:v>
                </c:pt>
                <c:pt idx="11">
                  <c:v>7.5231366305104991E-2</c:v>
                </c:pt>
                <c:pt idx="12">
                  <c:v>8.7588588042885704E-2</c:v>
                </c:pt>
                <c:pt idx="13">
                  <c:v>9.4090648307515776E-2</c:v>
                </c:pt>
                <c:pt idx="14">
                  <c:v>8.811700182815356E-2</c:v>
                </c:pt>
                <c:pt idx="15">
                  <c:v>8.7756248244875032E-2</c:v>
                </c:pt>
                <c:pt idx="16">
                  <c:v>8.4274193548387097E-2</c:v>
                </c:pt>
                <c:pt idx="17">
                  <c:v>9.0956749672346002E-2</c:v>
                </c:pt>
                <c:pt idx="18">
                  <c:v>9.8833265499932169E-2</c:v>
                </c:pt>
                <c:pt idx="19">
                  <c:v>0.10597463284379172</c:v>
                </c:pt>
                <c:pt idx="20">
                  <c:v>9.866056844168572E-2</c:v>
                </c:pt>
                <c:pt idx="21">
                  <c:v>0.10182029756462473</c:v>
                </c:pt>
                <c:pt idx="22">
                  <c:v>0.10026944840063128</c:v>
                </c:pt>
                <c:pt idx="23">
                  <c:v>0.12301587301587301</c:v>
                </c:pt>
                <c:pt idx="24">
                  <c:v>0.1092663421418637</c:v>
                </c:pt>
                <c:pt idx="25">
                  <c:v>0.11321100917431193</c:v>
                </c:pt>
                <c:pt idx="26">
                  <c:v>0.12795436022819887</c:v>
                </c:pt>
                <c:pt idx="27">
                  <c:v>0.1128719275549806</c:v>
                </c:pt>
                <c:pt idx="28">
                  <c:v>0.12159796275664492</c:v>
                </c:pt>
                <c:pt idx="29">
                  <c:v>0.13056468479235137</c:v>
                </c:pt>
                <c:pt idx="30">
                  <c:v>0.1391078874522583</c:v>
                </c:pt>
                <c:pt idx="31">
                  <c:v>0.14680116803822671</c:v>
                </c:pt>
                <c:pt idx="32">
                  <c:v>0.16170684959144557</c:v>
                </c:pt>
              </c:numCache>
            </c:numRef>
          </c:val>
          <c:extLst>
            <c:ext xmlns:c16="http://schemas.microsoft.com/office/drawing/2014/chart" uri="{C3380CC4-5D6E-409C-BE32-E72D297353CC}">
              <c16:uniqueId val="{00000007-A92D-4AA2-9095-374BFC83B781}"/>
            </c:ext>
          </c:extLst>
        </c:ser>
        <c:ser>
          <c:idx val="2"/>
          <c:order val="2"/>
          <c:tx>
            <c:v>RV £51,001 or higher</c:v>
          </c:tx>
          <c:spPr>
            <a:solidFill>
              <a:srgbClr val="DDE5F1"/>
            </a:solidFill>
            <a:ln>
              <a:solidFill>
                <a:srgbClr val="2C486E"/>
              </a:solidFill>
            </a:ln>
            <a:effectLst/>
          </c:spPr>
          <c:invertIfNegative val="0"/>
          <c:dPt>
            <c:idx val="24"/>
            <c:invertIfNegative val="0"/>
            <c:bubble3D val="0"/>
            <c:spPr>
              <a:solidFill>
                <a:srgbClr val="EAEAEA"/>
              </a:solidFill>
              <a:ln>
                <a:solidFill>
                  <a:srgbClr val="2C486E"/>
                </a:solidFill>
              </a:ln>
              <a:effectLst/>
            </c:spPr>
            <c:extLst>
              <c:ext xmlns:c16="http://schemas.microsoft.com/office/drawing/2014/chart" uri="{C3380CC4-5D6E-409C-BE32-E72D297353CC}">
                <c16:uniqueId val="{00000009-A92D-4AA2-9095-374BFC83B781}"/>
              </c:ext>
            </c:extLst>
          </c:dPt>
          <c:dLbls>
            <c:dLbl>
              <c:idx val="0"/>
              <c:layout>
                <c:manualLayout>
                  <c:x val="9.5235225095091653E-3"/>
                  <c:y val="3.1574277698929791E-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92D-4AA2-9095-374BFC83B781}"/>
                </c:ext>
              </c:extLst>
            </c:dLbl>
            <c:dLbl>
              <c:idx val="4"/>
              <c:layout>
                <c:manualLayout>
                  <c:x val="5.1868411358848383E-3"/>
                  <c:y val="-2.4504864665159481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92D-4AA2-9095-374BFC83B781}"/>
                </c:ext>
              </c:extLst>
            </c:dLbl>
            <c:dLbl>
              <c:idx val="5"/>
              <c:layout>
                <c:manualLayout>
                  <c:x val="8.0827907900780632E-3"/>
                  <c:y val="4.2099036931906384E-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92D-4AA2-9095-374BFC83B781}"/>
                </c:ext>
              </c:extLst>
            </c:dLbl>
            <c:dLbl>
              <c:idx val="13"/>
              <c:layout>
                <c:manualLayout>
                  <c:x val="5.8833435426659227E-3"/>
                  <c:y val="2.4504864665159481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92D-4AA2-9095-374BFC83B781}"/>
                </c:ext>
              </c:extLst>
            </c:dLbl>
            <c:dLbl>
              <c:idx val="15"/>
              <c:layout>
                <c:manualLayout>
                  <c:x val="1.3522105964595689E-2"/>
                  <c:y val="3.1574277698929791E-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A92D-4AA2-9095-374BFC83B781}"/>
                </c:ext>
              </c:extLst>
            </c:dLbl>
            <c:dLbl>
              <c:idx val="31"/>
              <c:layout>
                <c:manualLayout>
                  <c:x val="6.6095944273597872E-3"/>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92D-4AA2-9095-374BFC83B781}"/>
                </c:ext>
              </c:extLst>
            </c:dLbl>
            <c:dLbl>
              <c:idx val="32"/>
              <c:layout>
                <c:manualLayout>
                  <c:x val="1.1763841578749016E-2"/>
                  <c:y val="2.1049518466565814E-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A92D-4AA2-9095-374BFC83B781}"/>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 2.10a'!$A$9:$A$41</c:f>
              <c:strCache>
                <c:ptCount val="33"/>
                <c:pt idx="0">
                  <c:v>Argyll and Bute</c:v>
                </c:pt>
                <c:pt idx="1">
                  <c:v>Na h-Eileanan Siar</c:v>
                </c:pt>
                <c:pt idx="2">
                  <c:v>Orkney Islands</c:v>
                </c:pt>
                <c:pt idx="3">
                  <c:v>Scottish Borders</c:v>
                </c:pt>
                <c:pt idx="4">
                  <c:v>Dumfries and Galloway</c:v>
                </c:pt>
                <c:pt idx="5">
                  <c:v>Angus</c:v>
                </c:pt>
                <c:pt idx="6">
                  <c:v>Shetland Islands</c:v>
                </c:pt>
                <c:pt idx="7">
                  <c:v>Perth and Kinross</c:v>
                </c:pt>
                <c:pt idx="8">
                  <c:v>East Ayrshire</c:v>
                </c:pt>
                <c:pt idx="9">
                  <c:v>Highland</c:v>
                </c:pt>
                <c:pt idx="10">
                  <c:v>Moray</c:v>
                </c:pt>
                <c:pt idx="11">
                  <c:v>Renfrewshire</c:v>
                </c:pt>
                <c:pt idx="12">
                  <c:v>North Ayrshire</c:v>
                </c:pt>
                <c:pt idx="13">
                  <c:v>Clackmannanshire</c:v>
                </c:pt>
                <c:pt idx="14">
                  <c:v>South Ayrshire</c:v>
                </c:pt>
                <c:pt idx="15">
                  <c:v>Aberdeenshire</c:v>
                </c:pt>
                <c:pt idx="16">
                  <c:v>Inverclyde</c:v>
                </c:pt>
                <c:pt idx="17">
                  <c:v>East Lothian</c:v>
                </c:pt>
                <c:pt idx="18">
                  <c:v>Fife</c:v>
                </c:pt>
                <c:pt idx="19">
                  <c:v>Stirling</c:v>
                </c:pt>
                <c:pt idx="20">
                  <c:v>West Dunbartonshire</c:v>
                </c:pt>
                <c:pt idx="21">
                  <c:v>South Lanarkshire</c:v>
                </c:pt>
                <c:pt idx="22">
                  <c:v>Scotland</c:v>
                </c:pt>
                <c:pt idx="23">
                  <c:v>East Renfrewshire</c:v>
                </c:pt>
                <c:pt idx="24">
                  <c:v>North Lanarkshire</c:v>
                </c:pt>
                <c:pt idx="25">
                  <c:v>Falkirk</c:v>
                </c:pt>
                <c:pt idx="26">
                  <c:v>East Dunbartonshire</c:v>
                </c:pt>
                <c:pt idx="27">
                  <c:v>Midlothian</c:v>
                </c:pt>
                <c:pt idx="28">
                  <c:v>Dundee City</c:v>
                </c:pt>
                <c:pt idx="29">
                  <c:v>West Lothian</c:v>
                </c:pt>
                <c:pt idx="30">
                  <c:v>Glasgow City</c:v>
                </c:pt>
                <c:pt idx="31">
                  <c:v>City of Edinburgh</c:v>
                </c:pt>
                <c:pt idx="32">
                  <c:v>Aberdeen City</c:v>
                </c:pt>
              </c:strCache>
            </c:strRef>
          </c:cat>
          <c:val>
            <c:numRef>
              <c:f>'Chart 2.10a'!$I$9:$I$41</c:f>
              <c:numCache>
                <c:formatCode>0%</c:formatCode>
                <c:ptCount val="33"/>
                <c:pt idx="0">
                  <c:v>3.3911159263271942E-2</c:v>
                </c:pt>
                <c:pt idx="1">
                  <c:v>3.5844915874177027E-2</c:v>
                </c:pt>
                <c:pt idx="2">
                  <c:v>2.5998492840994723E-2</c:v>
                </c:pt>
                <c:pt idx="3">
                  <c:v>3.9298872390309256E-2</c:v>
                </c:pt>
                <c:pt idx="4">
                  <c:v>4.0602802841236324E-2</c:v>
                </c:pt>
                <c:pt idx="5">
                  <c:v>4.6692607003891051E-2</c:v>
                </c:pt>
                <c:pt idx="6">
                  <c:v>4.8380311316785864E-2</c:v>
                </c:pt>
                <c:pt idx="7">
                  <c:v>5.5120512559747786E-2</c:v>
                </c:pt>
                <c:pt idx="8">
                  <c:v>5.722178374112076E-2</c:v>
                </c:pt>
                <c:pt idx="9">
                  <c:v>6.1234869291018207E-2</c:v>
                </c:pt>
                <c:pt idx="10">
                  <c:v>6.5146579804560262E-2</c:v>
                </c:pt>
                <c:pt idx="11">
                  <c:v>6.8862573390387108E-2</c:v>
                </c:pt>
                <c:pt idx="12">
                  <c:v>5.86952571324732E-2</c:v>
                </c:pt>
                <c:pt idx="13">
                  <c:v>5.9093516924842229E-2</c:v>
                </c:pt>
                <c:pt idx="14">
                  <c:v>6.873857404021938E-2</c:v>
                </c:pt>
                <c:pt idx="15">
                  <c:v>7.0485818590283633E-2</c:v>
                </c:pt>
                <c:pt idx="16">
                  <c:v>7.5806451612903225E-2</c:v>
                </c:pt>
                <c:pt idx="17">
                  <c:v>7.1297509829619923E-2</c:v>
                </c:pt>
                <c:pt idx="18">
                  <c:v>7.1971238637905305E-2</c:v>
                </c:pt>
                <c:pt idx="19">
                  <c:v>6.7423230974632847E-2</c:v>
                </c:pt>
                <c:pt idx="20">
                  <c:v>8.3306109114668403E-2</c:v>
                </c:pt>
                <c:pt idx="21">
                  <c:v>8.1622475272213446E-2</c:v>
                </c:pt>
                <c:pt idx="22">
                  <c:v>8.4468224335039838E-2</c:v>
                </c:pt>
                <c:pt idx="23">
                  <c:v>6.5476190476190479E-2</c:v>
                </c:pt>
                <c:pt idx="24">
                  <c:v>9.3880389429763567E-2</c:v>
                </c:pt>
                <c:pt idx="25">
                  <c:v>9.0458715596330272E-2</c:v>
                </c:pt>
                <c:pt idx="26">
                  <c:v>8.8834555827220871E-2</c:v>
                </c:pt>
                <c:pt idx="27">
                  <c:v>0.11222509702457956</c:v>
                </c:pt>
                <c:pt idx="28">
                  <c:v>0.10536367977081013</c:v>
                </c:pt>
                <c:pt idx="29">
                  <c:v>0.12234837167612787</c:v>
                </c:pt>
                <c:pt idx="30">
                  <c:v>0.12064192858894845</c:v>
                </c:pt>
                <c:pt idx="31">
                  <c:v>0.14379258472701531</c:v>
                </c:pt>
                <c:pt idx="32">
                  <c:v>0.18258852012508828</c:v>
                </c:pt>
              </c:numCache>
            </c:numRef>
          </c:val>
          <c:extLst>
            <c:ext xmlns:c16="http://schemas.microsoft.com/office/drawing/2014/chart" uri="{C3380CC4-5D6E-409C-BE32-E72D297353CC}">
              <c16:uniqueId val="{00000011-A92D-4AA2-9095-374BFC83B781}"/>
            </c:ext>
          </c:extLst>
        </c:ser>
        <c:dLbls>
          <c:showLegendKey val="0"/>
          <c:showVal val="0"/>
          <c:showCatName val="0"/>
          <c:showSerName val="0"/>
          <c:showPercent val="0"/>
          <c:showBubbleSize val="0"/>
        </c:dLbls>
        <c:gapWidth val="25"/>
        <c:overlap val="100"/>
        <c:axId val="497757104"/>
        <c:axId val="497753496"/>
      </c:barChart>
      <c:catAx>
        <c:axId val="49775710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97753496"/>
        <c:crosses val="autoZero"/>
        <c:auto val="1"/>
        <c:lblAlgn val="ctr"/>
        <c:lblOffset val="100"/>
        <c:noMultiLvlLbl val="0"/>
      </c:catAx>
      <c:valAx>
        <c:axId val="497753496"/>
        <c:scaling>
          <c:orientation val="minMax"/>
        </c:scaling>
        <c:delete val="0"/>
        <c:axPos val="t"/>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97757104"/>
        <c:crosses val="autoZero"/>
        <c:crossBetween val="between"/>
        <c:majorUnit val="0.2"/>
      </c:valAx>
      <c:spPr>
        <a:noFill/>
        <a:ln>
          <a:noFill/>
        </a:ln>
        <a:effectLst/>
      </c:spPr>
    </c:plotArea>
    <c:legend>
      <c:legendPos val="b"/>
      <c:layout>
        <c:manualLayout>
          <c:xMode val="edge"/>
          <c:yMode val="edge"/>
          <c:x val="9.8563042438937348E-3"/>
          <c:y val="0.96263882232112308"/>
          <c:w val="0.9760035296841989"/>
          <c:h val="3.0520061333271609E-2"/>
        </c:manualLayout>
      </c:layout>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41508773559695877"/>
          <c:y val="2.9535864978902954E-2"/>
          <c:w val="0.50947467372941091"/>
          <c:h val="0.94936708860759489"/>
        </c:manualLayout>
      </c:layout>
      <c:barChart>
        <c:barDir val="bar"/>
        <c:grouping val="clustered"/>
        <c:varyColors val="0"/>
        <c:ser>
          <c:idx val="0"/>
          <c:order val="0"/>
          <c:spPr>
            <a:solidFill>
              <a:srgbClr val="2C486E"/>
            </a:solidFill>
            <a:ln>
              <a:solidFill>
                <a:srgbClr val="2C486E"/>
              </a:solidFill>
            </a:ln>
            <a:effectLst/>
          </c:spPr>
          <c:invertIfNegative val="0"/>
          <c:dLbls>
            <c:dLbl>
              <c:idx val="0"/>
              <c:layout>
                <c:manualLayout>
                  <c:x val="-0.11740425659763402"/>
                  <c:y val="0"/>
                </c:manualLayout>
              </c:layout>
              <c:tx>
                <c:rich>
                  <a:bodyPr/>
                  <a:lstStyle/>
                  <a:p>
                    <a:fld id="{E0C5AE94-6E27-470D-A7BC-566297C6FB1F}" type="VALUE">
                      <a:rPr lang="en-US">
                        <a:solidFill>
                          <a:schemeClr val="bg1"/>
                        </a:solidFill>
                      </a:rPr>
                      <a:pPr/>
                      <a:t>[VALUE]</a:t>
                    </a:fld>
                    <a:endParaRPr lang="en-GB"/>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9726-4036-BDB9-D1CA5F3BB07B}"/>
                </c:ext>
              </c:extLst>
            </c:dLbl>
            <c:numFmt formatCode="&quot;£&quot;#,##0&quot;m&quot;" sourceLinked="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 3.1'!$A$8:$A$13</c:f>
              <c:strCache>
                <c:ptCount val="6"/>
                <c:pt idx="0">
                  <c:v>New Construction, Conversions, Enhancement to Existing Buildings</c:v>
                </c:pt>
                <c:pt idx="1">
                  <c:v>Third Party Capital Projects funded from Capital Grant</c:v>
                </c:pt>
                <c:pt idx="2">
                  <c:v>Vehicles, Plant, Machinery and Equipment</c:v>
                </c:pt>
                <c:pt idx="3">
                  <c:v>Acquisition of Land, Leases, Existing Buildings or Works</c:v>
                </c:pt>
                <c:pt idx="4">
                  <c:v>Revenue Expenditure Funded from Borrowing</c:v>
                </c:pt>
                <c:pt idx="5">
                  <c:v>Intangible Assets</c:v>
                </c:pt>
              </c:strCache>
            </c:strRef>
          </c:cat>
          <c:val>
            <c:numRef>
              <c:f>'Chart 3.1'!$D$8:$D$13</c:f>
              <c:numCache>
                <c:formatCode>#,##0</c:formatCode>
                <c:ptCount val="6"/>
                <c:pt idx="0">
                  <c:v>3296.5369999999998</c:v>
                </c:pt>
                <c:pt idx="1">
                  <c:v>610.21299999999997</c:v>
                </c:pt>
                <c:pt idx="2">
                  <c:v>387.654</c:v>
                </c:pt>
                <c:pt idx="3">
                  <c:v>257.22800000000001</c:v>
                </c:pt>
                <c:pt idx="4">
                  <c:v>76.278000000000006</c:v>
                </c:pt>
                <c:pt idx="5">
                  <c:v>31.492999999999999</c:v>
                </c:pt>
              </c:numCache>
            </c:numRef>
          </c:val>
          <c:extLst>
            <c:ext xmlns:c16="http://schemas.microsoft.com/office/drawing/2014/chart" uri="{C3380CC4-5D6E-409C-BE32-E72D297353CC}">
              <c16:uniqueId val="{00000000-AD9A-4B05-B203-6EACE6EDE9B4}"/>
            </c:ext>
          </c:extLst>
        </c:ser>
        <c:dLbls>
          <c:dLblPos val="outEnd"/>
          <c:showLegendKey val="0"/>
          <c:showVal val="1"/>
          <c:showCatName val="0"/>
          <c:showSerName val="0"/>
          <c:showPercent val="0"/>
          <c:showBubbleSize val="0"/>
        </c:dLbls>
        <c:gapWidth val="20"/>
        <c:axId val="585601072"/>
        <c:axId val="585606976"/>
      </c:barChart>
      <c:catAx>
        <c:axId val="58560107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585606976"/>
        <c:crosses val="autoZero"/>
        <c:auto val="1"/>
        <c:lblAlgn val="ctr"/>
        <c:lblOffset val="100"/>
        <c:noMultiLvlLbl val="0"/>
      </c:catAx>
      <c:valAx>
        <c:axId val="585606976"/>
        <c:scaling>
          <c:orientation val="minMax"/>
        </c:scaling>
        <c:delete val="1"/>
        <c:axPos val="t"/>
        <c:majorGridlines>
          <c:spPr>
            <a:ln w="9525" cap="flat" cmpd="sng" algn="ctr">
              <a:solidFill>
                <a:schemeClr val="bg1">
                  <a:lumMod val="95000"/>
                </a:schemeClr>
              </a:solidFill>
              <a:round/>
            </a:ln>
            <a:effectLst/>
          </c:spPr>
        </c:majorGridlines>
        <c:numFmt formatCode="#,##0" sourceLinked="1"/>
        <c:majorTickMark val="out"/>
        <c:minorTickMark val="none"/>
        <c:tickLblPos val="nextTo"/>
        <c:crossAx val="585601072"/>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200" baseline="0"/>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572103584614558"/>
          <c:y val="3.3182495889004668E-2"/>
          <c:w val="0.86306903566031201"/>
          <c:h val="0.74274135735675961"/>
        </c:manualLayout>
      </c:layout>
      <c:lineChart>
        <c:grouping val="standard"/>
        <c:varyColors val="0"/>
        <c:ser>
          <c:idx val="9"/>
          <c:order val="0"/>
          <c:tx>
            <c:strRef>
              <c:f>'Chart 3.3'!$A$18</c:f>
              <c:strCache>
                <c:ptCount val="1"/>
                <c:pt idx="0">
                  <c:v>HRA</c:v>
                </c:pt>
              </c:strCache>
            </c:strRef>
          </c:tx>
          <c:spPr>
            <a:ln w="28575" cap="rnd">
              <a:solidFill>
                <a:srgbClr val="2C486E"/>
              </a:solidFill>
              <a:round/>
            </a:ln>
            <a:effectLst/>
          </c:spPr>
          <c:marker>
            <c:symbol val="none"/>
          </c:marker>
          <c:cat>
            <c:strRef>
              <c:f>'Chart 3.3'!$B$7:$F$7</c:f>
              <c:strCache>
                <c:ptCount val="5"/>
                <c:pt idx="0">
                  <c:v>2020-21</c:v>
                </c:pt>
                <c:pt idx="1">
                  <c:v>2021-22</c:v>
                </c:pt>
                <c:pt idx="2">
                  <c:v>2022-23</c:v>
                </c:pt>
                <c:pt idx="3">
                  <c:v>2023-24</c:v>
                </c:pt>
                <c:pt idx="4">
                  <c:v>2024-25</c:v>
                </c:pt>
              </c:strCache>
            </c:strRef>
          </c:cat>
          <c:val>
            <c:numRef>
              <c:f>'Chart 3.3'!$B$18:$F$18</c:f>
              <c:numCache>
                <c:formatCode>#,##0</c:formatCode>
                <c:ptCount val="5"/>
                <c:pt idx="0">
                  <c:v>684.25</c:v>
                </c:pt>
                <c:pt idx="1">
                  <c:v>949.58399999999995</c:v>
                </c:pt>
                <c:pt idx="2">
                  <c:v>1072.74</c:v>
                </c:pt>
                <c:pt idx="3">
                  <c:v>1162.3130000000001</c:v>
                </c:pt>
                <c:pt idx="4">
                  <c:v>1286.3150000000001</c:v>
                </c:pt>
              </c:numCache>
            </c:numRef>
          </c:val>
          <c:smooth val="0"/>
          <c:extLst>
            <c:ext xmlns:c16="http://schemas.microsoft.com/office/drawing/2014/chart" uri="{C3380CC4-5D6E-409C-BE32-E72D297353CC}">
              <c16:uniqueId val="{00000000-1B96-42C7-BDAC-7442E1A5646B}"/>
            </c:ext>
          </c:extLst>
        </c:ser>
        <c:ser>
          <c:idx val="0"/>
          <c:order val="1"/>
          <c:tx>
            <c:strRef>
              <c:f>'Chart 3.3'!$A$8</c:f>
              <c:strCache>
                <c:ptCount val="1"/>
                <c:pt idx="0">
                  <c:v>Education</c:v>
                </c:pt>
              </c:strCache>
            </c:strRef>
          </c:tx>
          <c:spPr>
            <a:ln w="28575" cap="rnd">
              <a:solidFill>
                <a:srgbClr val="ABC0DD"/>
              </a:solidFill>
              <a:prstDash val="solid"/>
              <a:round/>
            </a:ln>
            <a:effectLst/>
          </c:spPr>
          <c:marker>
            <c:symbol val="none"/>
          </c:marker>
          <c:cat>
            <c:strRef>
              <c:f>'Chart 3.3'!$B$7:$F$7</c:f>
              <c:strCache>
                <c:ptCount val="5"/>
                <c:pt idx="0">
                  <c:v>2020-21</c:v>
                </c:pt>
                <c:pt idx="1">
                  <c:v>2021-22</c:v>
                </c:pt>
                <c:pt idx="2">
                  <c:v>2022-23</c:v>
                </c:pt>
                <c:pt idx="3">
                  <c:v>2023-24</c:v>
                </c:pt>
                <c:pt idx="4">
                  <c:v>2024-25</c:v>
                </c:pt>
              </c:strCache>
            </c:strRef>
          </c:cat>
          <c:val>
            <c:numRef>
              <c:f>'Chart 3.3'!$B$8:$F$8</c:f>
              <c:numCache>
                <c:formatCode>#,##0</c:formatCode>
                <c:ptCount val="5"/>
                <c:pt idx="0">
                  <c:v>605.976</c:v>
                </c:pt>
                <c:pt idx="1">
                  <c:v>670.12599999999998</c:v>
                </c:pt>
                <c:pt idx="2">
                  <c:v>652.41700000000003</c:v>
                </c:pt>
                <c:pt idx="3">
                  <c:v>678.31</c:v>
                </c:pt>
                <c:pt idx="4">
                  <c:v>1168.739</c:v>
                </c:pt>
              </c:numCache>
            </c:numRef>
          </c:val>
          <c:smooth val="0"/>
          <c:extLst>
            <c:ext xmlns:c16="http://schemas.microsoft.com/office/drawing/2014/chart" uri="{C3380CC4-5D6E-409C-BE32-E72D297353CC}">
              <c16:uniqueId val="{00000001-1B96-42C7-BDAC-7442E1A5646B}"/>
            </c:ext>
          </c:extLst>
        </c:ser>
        <c:ser>
          <c:idx val="3"/>
          <c:order val="2"/>
          <c:tx>
            <c:strRef>
              <c:f>'Chart 3.3'!$A$11</c:f>
              <c:strCache>
                <c:ptCount val="1"/>
                <c:pt idx="0">
                  <c:v>Building, Planning &amp; Development</c:v>
                </c:pt>
              </c:strCache>
            </c:strRef>
          </c:tx>
          <c:spPr>
            <a:ln w="28575" cap="rnd">
              <a:solidFill>
                <a:srgbClr val="2C486E"/>
              </a:solidFill>
              <a:prstDash val="dash"/>
              <a:round/>
            </a:ln>
            <a:effectLst/>
          </c:spPr>
          <c:marker>
            <c:symbol val="none"/>
          </c:marker>
          <c:cat>
            <c:strRef>
              <c:f>'Chart 3.3'!$B$7:$F$7</c:f>
              <c:strCache>
                <c:ptCount val="5"/>
                <c:pt idx="0">
                  <c:v>2020-21</c:v>
                </c:pt>
                <c:pt idx="1">
                  <c:v>2021-22</c:v>
                </c:pt>
                <c:pt idx="2">
                  <c:v>2022-23</c:v>
                </c:pt>
                <c:pt idx="3">
                  <c:v>2023-24</c:v>
                </c:pt>
                <c:pt idx="4">
                  <c:v>2024-25</c:v>
                </c:pt>
              </c:strCache>
            </c:strRef>
          </c:cat>
          <c:val>
            <c:numRef>
              <c:f>'Chart 3.3'!$B$11:$F$11</c:f>
              <c:numCache>
                <c:formatCode>#,##0</c:formatCode>
                <c:ptCount val="5"/>
                <c:pt idx="0">
                  <c:v>217.16800000000001</c:v>
                </c:pt>
                <c:pt idx="1">
                  <c:v>298.43900000000002</c:v>
                </c:pt>
                <c:pt idx="2">
                  <c:v>237.34200000000001</c:v>
                </c:pt>
                <c:pt idx="3">
                  <c:v>239.55699999999999</c:v>
                </c:pt>
                <c:pt idx="4">
                  <c:v>321.69400000000002</c:v>
                </c:pt>
              </c:numCache>
            </c:numRef>
          </c:val>
          <c:smooth val="0"/>
          <c:extLst>
            <c:ext xmlns:c16="http://schemas.microsoft.com/office/drawing/2014/chart" uri="{C3380CC4-5D6E-409C-BE32-E72D297353CC}">
              <c16:uniqueId val="{00000002-1B96-42C7-BDAC-7442E1A5646B}"/>
            </c:ext>
          </c:extLst>
        </c:ser>
        <c:ser>
          <c:idx val="5"/>
          <c:order val="3"/>
          <c:tx>
            <c:strRef>
              <c:f>'Chart 3.3'!$A$13</c:f>
              <c:strCache>
                <c:ptCount val="1"/>
                <c:pt idx="0">
                  <c:v>Culture &amp; Related Services</c:v>
                </c:pt>
              </c:strCache>
            </c:strRef>
          </c:tx>
          <c:spPr>
            <a:ln w="28575" cap="rnd">
              <a:solidFill>
                <a:srgbClr val="ABC0DD"/>
              </a:solidFill>
              <a:prstDash val="dash"/>
              <a:round/>
            </a:ln>
            <a:effectLst/>
          </c:spPr>
          <c:marker>
            <c:symbol val="none"/>
          </c:marker>
          <c:cat>
            <c:strRef>
              <c:f>'Chart 3.3'!$B$7:$F$7</c:f>
              <c:strCache>
                <c:ptCount val="5"/>
                <c:pt idx="0">
                  <c:v>2020-21</c:v>
                </c:pt>
                <c:pt idx="1">
                  <c:v>2021-22</c:v>
                </c:pt>
                <c:pt idx="2">
                  <c:v>2022-23</c:v>
                </c:pt>
                <c:pt idx="3">
                  <c:v>2023-24</c:v>
                </c:pt>
                <c:pt idx="4">
                  <c:v>2024-25</c:v>
                </c:pt>
              </c:strCache>
            </c:strRef>
          </c:cat>
          <c:val>
            <c:numRef>
              <c:f>'Chart 3.3'!$B$13:$F$13</c:f>
              <c:numCache>
                <c:formatCode>#,##0</c:formatCode>
                <c:ptCount val="5"/>
                <c:pt idx="0">
                  <c:v>117.482</c:v>
                </c:pt>
                <c:pt idx="1">
                  <c:v>212.10599999999999</c:v>
                </c:pt>
                <c:pt idx="2">
                  <c:v>227.42599999999999</c:v>
                </c:pt>
                <c:pt idx="3">
                  <c:v>208.96799999999999</c:v>
                </c:pt>
                <c:pt idx="4">
                  <c:v>232.767</c:v>
                </c:pt>
              </c:numCache>
            </c:numRef>
          </c:val>
          <c:smooth val="0"/>
          <c:extLst>
            <c:ext xmlns:c16="http://schemas.microsoft.com/office/drawing/2014/chart" uri="{C3380CC4-5D6E-409C-BE32-E72D297353CC}">
              <c16:uniqueId val="{00000003-1B96-42C7-BDAC-7442E1A5646B}"/>
            </c:ext>
          </c:extLst>
        </c:ser>
        <c:ser>
          <c:idx val="1"/>
          <c:order val="4"/>
          <c:tx>
            <c:strRef>
              <c:f>'Chart 3.3'!$A$12</c:f>
              <c:strCache>
                <c:ptCount val="1"/>
                <c:pt idx="0">
                  <c:v>Non-HRA Housing</c:v>
                </c:pt>
              </c:strCache>
            </c:strRef>
          </c:tx>
          <c:spPr>
            <a:ln w="28575" cap="rnd">
              <a:solidFill>
                <a:srgbClr val="2C486E"/>
              </a:solidFill>
              <a:prstDash val="sysDot"/>
              <a:round/>
            </a:ln>
            <a:effectLst/>
          </c:spPr>
          <c:marker>
            <c:symbol val="none"/>
          </c:marker>
          <c:cat>
            <c:strRef>
              <c:f>'Chart 3.3'!$B$7:$F$7</c:f>
              <c:strCache>
                <c:ptCount val="5"/>
                <c:pt idx="0">
                  <c:v>2020-21</c:v>
                </c:pt>
                <c:pt idx="1">
                  <c:v>2021-22</c:v>
                </c:pt>
                <c:pt idx="2">
                  <c:v>2022-23</c:v>
                </c:pt>
                <c:pt idx="3">
                  <c:v>2023-24</c:v>
                </c:pt>
                <c:pt idx="4">
                  <c:v>2024-25</c:v>
                </c:pt>
              </c:strCache>
            </c:strRef>
          </c:cat>
          <c:val>
            <c:numRef>
              <c:f>'Chart 3.3'!$B$12:$F$12</c:f>
              <c:numCache>
                <c:formatCode>#,##0</c:formatCode>
                <c:ptCount val="5"/>
                <c:pt idx="0">
                  <c:v>177.49</c:v>
                </c:pt>
                <c:pt idx="1">
                  <c:v>207.48099999999999</c:v>
                </c:pt>
                <c:pt idx="2">
                  <c:v>226.55500000000001</c:v>
                </c:pt>
                <c:pt idx="3">
                  <c:v>211.55600000000001</c:v>
                </c:pt>
                <c:pt idx="4">
                  <c:v>244.82499999999999</c:v>
                </c:pt>
              </c:numCache>
            </c:numRef>
          </c:val>
          <c:smooth val="0"/>
          <c:extLst>
            <c:ext xmlns:c16="http://schemas.microsoft.com/office/drawing/2014/chart" uri="{C3380CC4-5D6E-409C-BE32-E72D297353CC}">
              <c16:uniqueId val="{00000004-1B96-42C7-BDAC-7442E1A5646B}"/>
            </c:ext>
          </c:extLst>
        </c:ser>
        <c:ser>
          <c:idx val="2"/>
          <c:order val="5"/>
          <c:tx>
            <c:strRef>
              <c:f>'Chart 3.3'!$A$10</c:f>
              <c:strCache>
                <c:ptCount val="1"/>
                <c:pt idx="0">
                  <c:v>Other, including Central Services</c:v>
                </c:pt>
              </c:strCache>
            </c:strRef>
          </c:tx>
          <c:spPr>
            <a:ln w="28575" cap="rnd">
              <a:solidFill>
                <a:schemeClr val="accent3"/>
              </a:solidFill>
              <a:prstDash val="sysDash"/>
              <a:round/>
            </a:ln>
            <a:effectLst/>
          </c:spPr>
          <c:marker>
            <c:symbol val="triangle"/>
            <c:size val="11"/>
            <c:spPr>
              <a:solidFill>
                <a:srgbClr val="183C5C"/>
              </a:solidFill>
              <a:ln w="9525">
                <a:solidFill>
                  <a:schemeClr val="accent3"/>
                </a:solidFill>
                <a:prstDash val="sysDash"/>
              </a:ln>
              <a:effectLst/>
            </c:spPr>
          </c:marker>
          <c:cat>
            <c:strRef>
              <c:f>'Chart 3.3'!$B$7:$F$7</c:f>
              <c:strCache>
                <c:ptCount val="5"/>
                <c:pt idx="0">
                  <c:v>2020-21</c:v>
                </c:pt>
                <c:pt idx="1">
                  <c:v>2021-22</c:v>
                </c:pt>
                <c:pt idx="2">
                  <c:v>2022-23</c:v>
                </c:pt>
                <c:pt idx="3">
                  <c:v>2023-24</c:v>
                </c:pt>
                <c:pt idx="4">
                  <c:v>2024-25</c:v>
                </c:pt>
              </c:strCache>
            </c:strRef>
          </c:cat>
          <c:val>
            <c:numRef>
              <c:f>'Chart 3.3'!$B$10:$F$10</c:f>
              <c:numCache>
                <c:formatCode>#,##0</c:formatCode>
                <c:ptCount val="5"/>
                <c:pt idx="0">
                  <c:v>159.52699999999999</c:v>
                </c:pt>
                <c:pt idx="1">
                  <c:v>166.982</c:v>
                </c:pt>
                <c:pt idx="2">
                  <c:v>454.11599999999999</c:v>
                </c:pt>
                <c:pt idx="3">
                  <c:v>205.60900000000001</c:v>
                </c:pt>
                <c:pt idx="4">
                  <c:v>540.322</c:v>
                </c:pt>
              </c:numCache>
            </c:numRef>
          </c:val>
          <c:smooth val="0"/>
          <c:extLst>
            <c:ext xmlns:c16="http://schemas.microsoft.com/office/drawing/2014/chart" uri="{C3380CC4-5D6E-409C-BE32-E72D297353CC}">
              <c16:uniqueId val="{00000005-1B96-42C7-BDAC-7442E1A5646B}"/>
            </c:ext>
          </c:extLst>
        </c:ser>
        <c:dLbls>
          <c:showLegendKey val="0"/>
          <c:showVal val="0"/>
          <c:showCatName val="0"/>
          <c:showSerName val="0"/>
          <c:showPercent val="0"/>
          <c:showBubbleSize val="0"/>
        </c:dLbls>
        <c:smooth val="0"/>
        <c:axId val="498012680"/>
        <c:axId val="498009072"/>
      </c:lineChart>
      <c:catAx>
        <c:axId val="498012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98009072"/>
        <c:crosses val="autoZero"/>
        <c:auto val="1"/>
        <c:lblAlgn val="ctr"/>
        <c:lblOffset val="100"/>
        <c:noMultiLvlLbl val="0"/>
      </c:catAx>
      <c:valAx>
        <c:axId val="498009072"/>
        <c:scaling>
          <c:orientation val="minMax"/>
          <c:min val="0"/>
        </c:scaling>
        <c:delete val="0"/>
        <c:axPos val="l"/>
        <c:majorGridlines>
          <c:spPr>
            <a:ln w="9525" cap="flat" cmpd="sng" algn="ctr">
              <a:solidFill>
                <a:schemeClr val="bg1">
                  <a:lumMod val="95000"/>
                </a:schemeClr>
              </a:solidFill>
              <a:round/>
            </a:ln>
            <a:effectLst/>
          </c:spPr>
        </c:majorGridlines>
        <c:numFmt formatCode="&quot;£&quot;#,##0&quot;m&quot;"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98012680"/>
        <c:crosses val="autoZero"/>
        <c:crossBetween val="between"/>
        <c:majorUnit val="250"/>
      </c:valAx>
      <c:spPr>
        <a:noFill/>
        <a:ln>
          <a:noFill/>
        </a:ln>
        <a:effectLst/>
      </c:spPr>
    </c:plotArea>
    <c:legend>
      <c:legendPos val="b"/>
      <c:layout>
        <c:manualLayout>
          <c:xMode val="edge"/>
          <c:yMode val="edge"/>
          <c:x val="0.11300909790146771"/>
          <c:y val="0.84417554623404167"/>
          <c:w val="0.86267101791286893"/>
          <c:h val="0.15292590370286346"/>
        </c:manualLayout>
      </c:layout>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sz="1200" baseline="0"/>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123105256513903"/>
          <c:y val="1.2103554367749186E-2"/>
          <c:w val="0.76239999929813806"/>
          <c:h val="0.98033396806418005"/>
        </c:manualLayout>
      </c:layout>
      <c:barChart>
        <c:barDir val="bar"/>
        <c:grouping val="clustered"/>
        <c:varyColors val="0"/>
        <c:ser>
          <c:idx val="0"/>
          <c:order val="0"/>
          <c:tx>
            <c:strRef>
              <c:f>'Chart 3.4'!$D$6</c:f>
              <c:strCache>
                <c:ptCount val="1"/>
                <c:pt idx="0">
                  <c:v>Capital 
Expenditure,
£ per person</c:v>
                </c:pt>
              </c:strCache>
            </c:strRef>
          </c:tx>
          <c:spPr>
            <a:solidFill>
              <a:srgbClr val="DDE5F1"/>
            </a:solidFill>
            <a:ln>
              <a:solidFill>
                <a:srgbClr val="2C486E"/>
              </a:solidFill>
            </a:ln>
            <a:effectLst/>
          </c:spPr>
          <c:invertIfNegative val="0"/>
          <c:dPt>
            <c:idx val="15"/>
            <c:invertIfNegative val="0"/>
            <c:bubble3D val="0"/>
            <c:spPr>
              <a:solidFill>
                <a:srgbClr val="183C5C"/>
              </a:solidFill>
              <a:ln>
                <a:solidFill>
                  <a:srgbClr val="2C486E"/>
                </a:solidFill>
              </a:ln>
              <a:effectLst/>
            </c:spPr>
            <c:extLst>
              <c:ext xmlns:c16="http://schemas.microsoft.com/office/drawing/2014/chart" uri="{C3380CC4-5D6E-409C-BE32-E72D297353CC}">
                <c16:uniqueId val="{00000001-A941-4FA1-B171-0AF81891B3ED}"/>
              </c:ext>
            </c:extLst>
          </c:dPt>
          <c:dPt>
            <c:idx val="17"/>
            <c:invertIfNegative val="0"/>
            <c:bubble3D val="0"/>
            <c:spPr>
              <a:solidFill>
                <a:srgbClr val="DDE5F1"/>
              </a:solidFill>
              <a:ln>
                <a:solidFill>
                  <a:srgbClr val="2C486E"/>
                </a:solidFill>
              </a:ln>
              <a:effectLst/>
            </c:spPr>
            <c:extLst>
              <c:ext xmlns:c16="http://schemas.microsoft.com/office/drawing/2014/chart" uri="{C3380CC4-5D6E-409C-BE32-E72D297353CC}">
                <c16:uniqueId val="{00000003-A941-4FA1-B171-0AF81891B3ED}"/>
              </c:ext>
            </c:extLst>
          </c:dPt>
          <c:dPt>
            <c:idx val="20"/>
            <c:invertIfNegative val="0"/>
            <c:bubble3D val="0"/>
            <c:spPr>
              <a:solidFill>
                <a:srgbClr val="DDE5F1"/>
              </a:solidFill>
              <a:ln>
                <a:solidFill>
                  <a:srgbClr val="2C486E"/>
                </a:solidFill>
              </a:ln>
              <a:effectLst/>
            </c:spPr>
            <c:extLst>
              <c:ext xmlns:c16="http://schemas.microsoft.com/office/drawing/2014/chart" uri="{C3380CC4-5D6E-409C-BE32-E72D297353CC}">
                <c16:uniqueId val="{00000002-4C9D-4206-891C-8BF5E96AE90F}"/>
              </c:ext>
            </c:extLst>
          </c:dPt>
          <c:dLbls>
            <c:dLbl>
              <c:idx val="15"/>
              <c:tx>
                <c:rich>
                  <a:bodyPr/>
                  <a:lstStyle/>
                  <a:p>
                    <a:fld id="{ED46EBC4-63B6-4EE6-A935-B48E7494B497}" type="VALUE">
                      <a:rPr lang="en-US">
                        <a:solidFill>
                          <a:schemeClr val="bg1"/>
                        </a:solidFill>
                      </a:rPr>
                      <a:pPr/>
                      <a:t>[VALUE]</a:t>
                    </a:fld>
                    <a:endParaRPr lang="en-GB"/>
                  </a:p>
                </c:rich>
              </c:tx>
              <c:dLblPos val="inBase"/>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A941-4FA1-B171-0AF81891B3ED}"/>
                </c:ext>
              </c:extLst>
            </c:dLbl>
            <c:dLbl>
              <c:idx val="17"/>
              <c:numFmt formatCode="&quot;£&quot;#,##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inBase"/>
              <c:showLegendKey val="0"/>
              <c:showVal val="1"/>
              <c:showCatName val="0"/>
              <c:showSerName val="0"/>
              <c:showPercent val="0"/>
              <c:showBubbleSize val="0"/>
              <c:extLst>
                <c:ext xmlns:c16="http://schemas.microsoft.com/office/drawing/2014/chart" uri="{C3380CC4-5D6E-409C-BE32-E72D297353CC}">
                  <c16:uniqueId val="{00000003-A941-4FA1-B171-0AF81891B3ED}"/>
                </c:ext>
              </c:extLst>
            </c:dLbl>
            <c:numFmt formatCode="&quot;£&quot;#,##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 3.4'!$A$7:$A$39</c:f>
              <c:strCache>
                <c:ptCount val="33"/>
                <c:pt idx="0">
                  <c:v>Clackmannanshire</c:v>
                </c:pt>
                <c:pt idx="1">
                  <c:v>East Dunbartonshire</c:v>
                </c:pt>
                <c:pt idx="2">
                  <c:v>Stirling</c:v>
                </c:pt>
                <c:pt idx="3">
                  <c:v>Glasgow City</c:v>
                </c:pt>
                <c:pt idx="4">
                  <c:v>Aberdeenshire</c:v>
                </c:pt>
                <c:pt idx="5">
                  <c:v>Moray</c:v>
                </c:pt>
                <c:pt idx="6">
                  <c:v>North Lanarkshire</c:v>
                </c:pt>
                <c:pt idx="7">
                  <c:v>Fife</c:v>
                </c:pt>
                <c:pt idx="8">
                  <c:v>East Ayrshire</c:v>
                </c:pt>
                <c:pt idx="9">
                  <c:v>East Renfrewshire</c:v>
                </c:pt>
                <c:pt idx="10">
                  <c:v>Midlothian</c:v>
                </c:pt>
                <c:pt idx="11">
                  <c:v>Angus</c:v>
                </c:pt>
                <c:pt idx="12">
                  <c:v>Argyll &amp; Bute</c:v>
                </c:pt>
                <c:pt idx="13">
                  <c:v>Orkney Islands</c:v>
                </c:pt>
                <c:pt idx="14">
                  <c:v>Inverclyde</c:v>
                </c:pt>
                <c:pt idx="15">
                  <c:v>ALL COUNCILS</c:v>
                </c:pt>
                <c:pt idx="16">
                  <c:v>Renfrewshire</c:v>
                </c:pt>
                <c:pt idx="17">
                  <c:v>City of Edinburgh</c:v>
                </c:pt>
                <c:pt idx="18">
                  <c:v>West Dunbartonshire</c:v>
                </c:pt>
                <c:pt idx="19">
                  <c:v>South Lanarkshire</c:v>
                </c:pt>
                <c:pt idx="20">
                  <c:v>Aberdeen City</c:v>
                </c:pt>
                <c:pt idx="21">
                  <c:v>Falkirk</c:v>
                </c:pt>
                <c:pt idx="22">
                  <c:v>West Lothian</c:v>
                </c:pt>
                <c:pt idx="23">
                  <c:v>South Ayrshire</c:v>
                </c:pt>
                <c:pt idx="24">
                  <c:v>Dumfries &amp; Galloway</c:v>
                </c:pt>
                <c:pt idx="25">
                  <c:v>North Ayrshire</c:v>
                </c:pt>
                <c:pt idx="26">
                  <c:v>Shetland Islands</c:v>
                </c:pt>
                <c:pt idx="27">
                  <c:v>Perth &amp; Kinross</c:v>
                </c:pt>
                <c:pt idx="28">
                  <c:v>Na h-Eileanan Siar</c:v>
                </c:pt>
                <c:pt idx="29">
                  <c:v>East Lothian</c:v>
                </c:pt>
                <c:pt idx="30">
                  <c:v>Highland</c:v>
                </c:pt>
                <c:pt idx="31">
                  <c:v>Dundee City</c:v>
                </c:pt>
                <c:pt idx="32">
                  <c:v>Scottish Borders</c:v>
                </c:pt>
              </c:strCache>
            </c:strRef>
          </c:cat>
          <c:val>
            <c:numRef>
              <c:f>'Chart 3.4'!$D$7:$D$39</c:f>
              <c:numCache>
                <c:formatCode>#,##0</c:formatCode>
                <c:ptCount val="33"/>
                <c:pt idx="0">
                  <c:v>201.82306658990601</c:v>
                </c:pt>
                <c:pt idx="1">
                  <c:v>306.73820132763501</c:v>
                </c:pt>
                <c:pt idx="2">
                  <c:v>312.13247001379898</c:v>
                </c:pt>
                <c:pt idx="3">
                  <c:v>329.66477010610498</c:v>
                </c:pt>
                <c:pt idx="4">
                  <c:v>334.73668326542901</c:v>
                </c:pt>
                <c:pt idx="5">
                  <c:v>371.85559414798399</c:v>
                </c:pt>
                <c:pt idx="6">
                  <c:v>371.99164102861801</c:v>
                </c:pt>
                <c:pt idx="7">
                  <c:v>408.77361511367297</c:v>
                </c:pt>
                <c:pt idx="8">
                  <c:v>417.68192295028001</c:v>
                </c:pt>
                <c:pt idx="9">
                  <c:v>426.94580787338498</c:v>
                </c:pt>
                <c:pt idx="10">
                  <c:v>492.50100120144202</c:v>
                </c:pt>
                <c:pt idx="11">
                  <c:v>562.43358592457105</c:v>
                </c:pt>
                <c:pt idx="12">
                  <c:v>563.02885163644703</c:v>
                </c:pt>
                <c:pt idx="13">
                  <c:v>581.33514986375997</c:v>
                </c:pt>
                <c:pt idx="14">
                  <c:v>585.37018255578096</c:v>
                </c:pt>
                <c:pt idx="15">
                  <c:v>598.65276100164101</c:v>
                </c:pt>
                <c:pt idx="16">
                  <c:v>599.15948617645495</c:v>
                </c:pt>
                <c:pt idx="17">
                  <c:v>621.142684857164</c:v>
                </c:pt>
                <c:pt idx="18">
                  <c:v>625.39272890484699</c:v>
                </c:pt>
                <c:pt idx="19">
                  <c:v>627.85378558812101</c:v>
                </c:pt>
                <c:pt idx="20">
                  <c:v>628.69100008628902</c:v>
                </c:pt>
                <c:pt idx="21">
                  <c:v>637.795275590551</c:v>
                </c:pt>
                <c:pt idx="22">
                  <c:v>705.73374812272004</c:v>
                </c:pt>
                <c:pt idx="23">
                  <c:v>751.13130233386801</c:v>
                </c:pt>
                <c:pt idx="24">
                  <c:v>780.05621829151198</c:v>
                </c:pt>
                <c:pt idx="25">
                  <c:v>882.31475263040102</c:v>
                </c:pt>
                <c:pt idx="26">
                  <c:v>893.14359637774896</c:v>
                </c:pt>
                <c:pt idx="27">
                  <c:v>907.16876052324801</c:v>
                </c:pt>
                <c:pt idx="28">
                  <c:v>937.43274404304395</c:v>
                </c:pt>
                <c:pt idx="29">
                  <c:v>950.95502691439503</c:v>
                </c:pt>
                <c:pt idx="30">
                  <c:v>1178.65902482195</c:v>
                </c:pt>
                <c:pt idx="31">
                  <c:v>1227.9290098745701</c:v>
                </c:pt>
                <c:pt idx="32">
                  <c:v>1275.16669516157</c:v>
                </c:pt>
              </c:numCache>
            </c:numRef>
          </c:val>
          <c:extLst>
            <c:ext xmlns:c16="http://schemas.microsoft.com/office/drawing/2014/chart" uri="{C3380CC4-5D6E-409C-BE32-E72D297353CC}">
              <c16:uniqueId val="{00000002-A216-49A7-921A-8FE175264454}"/>
            </c:ext>
          </c:extLst>
        </c:ser>
        <c:dLbls>
          <c:dLblPos val="inBase"/>
          <c:showLegendKey val="0"/>
          <c:showVal val="1"/>
          <c:showCatName val="0"/>
          <c:showSerName val="0"/>
          <c:showPercent val="0"/>
          <c:showBubbleSize val="0"/>
        </c:dLbls>
        <c:gapWidth val="25"/>
        <c:axId val="700225096"/>
        <c:axId val="700226736"/>
      </c:barChart>
      <c:catAx>
        <c:axId val="700225096"/>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00226736"/>
        <c:crosses val="autoZero"/>
        <c:auto val="1"/>
        <c:lblAlgn val="ctr"/>
        <c:lblOffset val="100"/>
        <c:noMultiLvlLbl val="0"/>
      </c:catAx>
      <c:valAx>
        <c:axId val="700226736"/>
        <c:scaling>
          <c:orientation val="minMax"/>
          <c:min val="0"/>
        </c:scaling>
        <c:delete val="1"/>
        <c:axPos val="t"/>
        <c:majorGridlines>
          <c:spPr>
            <a:ln w="9525" cap="flat" cmpd="sng" algn="ctr">
              <a:solidFill>
                <a:schemeClr val="bg1">
                  <a:lumMod val="95000"/>
                </a:schemeClr>
              </a:solidFill>
              <a:round/>
            </a:ln>
            <a:effectLst/>
          </c:spPr>
        </c:majorGridlines>
        <c:numFmt formatCode="&quot;£&quot;#,##0" sourceLinked="0"/>
        <c:majorTickMark val="out"/>
        <c:minorTickMark val="none"/>
        <c:tickLblPos val="nextTo"/>
        <c:crossAx val="700225096"/>
        <c:crosses val="autoZero"/>
        <c:crossBetween val="between"/>
        <c:majorUnit val="200"/>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200" baseline="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47818086747794"/>
          <c:y val="1.2103579190840173E-2"/>
          <c:w val="0.76239999929813806"/>
          <c:h val="0.98033396806418005"/>
        </c:manualLayout>
      </c:layout>
      <c:barChart>
        <c:barDir val="bar"/>
        <c:grouping val="clustered"/>
        <c:varyColors val="0"/>
        <c:ser>
          <c:idx val="0"/>
          <c:order val="0"/>
          <c:tx>
            <c:strRef>
              <c:f>'Chart 3.4 - 2023-24 data'!$D$6</c:f>
              <c:strCache>
                <c:ptCount val="1"/>
                <c:pt idx="0">
                  <c:v>Capital 
Expenditure,
£ per person</c:v>
                </c:pt>
              </c:strCache>
            </c:strRef>
          </c:tx>
          <c:spPr>
            <a:solidFill>
              <a:srgbClr val="DDE5F1"/>
            </a:solidFill>
            <a:ln>
              <a:solidFill>
                <a:srgbClr val="2C486E"/>
              </a:solidFill>
            </a:ln>
            <a:effectLst/>
          </c:spPr>
          <c:invertIfNegative val="0"/>
          <c:dPt>
            <c:idx val="16"/>
            <c:invertIfNegative val="0"/>
            <c:bubble3D val="0"/>
            <c:spPr>
              <a:solidFill>
                <a:srgbClr val="DDE5F1"/>
              </a:solidFill>
              <a:ln>
                <a:solidFill>
                  <a:srgbClr val="2C486E"/>
                </a:solidFill>
              </a:ln>
              <a:effectLst/>
            </c:spPr>
            <c:extLst>
              <c:ext xmlns:c16="http://schemas.microsoft.com/office/drawing/2014/chart" uri="{C3380CC4-5D6E-409C-BE32-E72D297353CC}">
                <c16:uniqueId val="{00000001-E370-41ED-AA1D-E072DBF6C90B}"/>
              </c:ext>
            </c:extLst>
          </c:dPt>
          <c:dPt>
            <c:idx val="19"/>
            <c:invertIfNegative val="0"/>
            <c:bubble3D val="0"/>
            <c:spPr>
              <a:solidFill>
                <a:srgbClr val="2C486E"/>
              </a:solidFill>
              <a:ln>
                <a:solidFill>
                  <a:srgbClr val="2C486E"/>
                </a:solidFill>
              </a:ln>
              <a:effectLst/>
            </c:spPr>
            <c:extLst>
              <c:ext xmlns:c16="http://schemas.microsoft.com/office/drawing/2014/chart" uri="{C3380CC4-5D6E-409C-BE32-E72D297353CC}">
                <c16:uniqueId val="{00000003-5511-481C-9E84-B9B7A3CCC777}"/>
              </c:ext>
            </c:extLst>
          </c:dPt>
          <c:dLbls>
            <c:dLbl>
              <c:idx val="16"/>
              <c:numFmt formatCode="&quot;£&quot;#,##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inBase"/>
              <c:showLegendKey val="0"/>
              <c:showVal val="1"/>
              <c:showCatName val="0"/>
              <c:showSerName val="0"/>
              <c:showPercent val="0"/>
              <c:showBubbleSize val="0"/>
              <c:extLst>
                <c:ext xmlns:c16="http://schemas.microsoft.com/office/drawing/2014/chart" uri="{C3380CC4-5D6E-409C-BE32-E72D297353CC}">
                  <c16:uniqueId val="{00000001-E370-41ED-AA1D-E072DBF6C90B}"/>
                </c:ext>
              </c:extLst>
            </c:dLbl>
            <c:dLbl>
              <c:idx val="19"/>
              <c:numFmt formatCode="&quot;£&quot;#,##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inBase"/>
              <c:showLegendKey val="0"/>
              <c:showVal val="1"/>
              <c:showCatName val="0"/>
              <c:showSerName val="0"/>
              <c:showPercent val="0"/>
              <c:showBubbleSize val="0"/>
              <c:extLst>
                <c:ext xmlns:c16="http://schemas.microsoft.com/office/drawing/2014/chart" uri="{C3380CC4-5D6E-409C-BE32-E72D297353CC}">
                  <c16:uniqueId val="{00000003-5511-481C-9E84-B9B7A3CCC777}"/>
                </c:ext>
              </c:extLst>
            </c:dLbl>
            <c:numFmt formatCode="&quot;£&quot;#,##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 3.4 - 2023-24 data'!$A$7:$A$39</c:f>
              <c:strCache>
                <c:ptCount val="33"/>
                <c:pt idx="0">
                  <c:v>South Lanarkshire</c:v>
                </c:pt>
                <c:pt idx="1">
                  <c:v>East Ayrshire</c:v>
                </c:pt>
                <c:pt idx="2">
                  <c:v>Clackmannanshire</c:v>
                </c:pt>
                <c:pt idx="3">
                  <c:v>Stirling</c:v>
                </c:pt>
                <c:pt idx="4">
                  <c:v>Falkirk</c:v>
                </c:pt>
                <c:pt idx="5">
                  <c:v>Moray</c:v>
                </c:pt>
                <c:pt idx="6">
                  <c:v>Angus</c:v>
                </c:pt>
                <c:pt idx="7">
                  <c:v>Dumfries &amp; Galloway</c:v>
                </c:pt>
                <c:pt idx="8">
                  <c:v>Inverclyde</c:v>
                </c:pt>
                <c:pt idx="9">
                  <c:v>West Dunbartonshire</c:v>
                </c:pt>
                <c:pt idx="10">
                  <c:v>North Lanarkshire</c:v>
                </c:pt>
                <c:pt idx="11">
                  <c:v>East Dunbartonshire</c:v>
                </c:pt>
                <c:pt idx="12">
                  <c:v>Glasgow City</c:v>
                </c:pt>
                <c:pt idx="13">
                  <c:v>West Lothian</c:v>
                </c:pt>
                <c:pt idx="14">
                  <c:v>Aberdeenshire</c:v>
                </c:pt>
                <c:pt idx="15">
                  <c:v>Fife</c:v>
                </c:pt>
                <c:pt idx="16">
                  <c:v>East Renfrewshire</c:v>
                </c:pt>
                <c:pt idx="17">
                  <c:v>Shetland Islands</c:v>
                </c:pt>
                <c:pt idx="18">
                  <c:v>South Ayrshire</c:v>
                </c:pt>
                <c:pt idx="19">
                  <c:v>ALL COUNCILS</c:v>
                </c:pt>
                <c:pt idx="20">
                  <c:v>East Lothian</c:v>
                </c:pt>
                <c:pt idx="21">
                  <c:v>Argyll &amp; Bute</c:v>
                </c:pt>
                <c:pt idx="22">
                  <c:v>Midlothian</c:v>
                </c:pt>
                <c:pt idx="23">
                  <c:v>Dundee City</c:v>
                </c:pt>
                <c:pt idx="24">
                  <c:v>Aberdeen City</c:v>
                </c:pt>
                <c:pt idx="25">
                  <c:v>Renfrewshire</c:v>
                </c:pt>
                <c:pt idx="26">
                  <c:v>City of Edinburgh</c:v>
                </c:pt>
                <c:pt idx="27">
                  <c:v>Orkney Islands</c:v>
                </c:pt>
                <c:pt idx="28">
                  <c:v>North Ayrshire</c:v>
                </c:pt>
                <c:pt idx="29">
                  <c:v>Highland</c:v>
                </c:pt>
                <c:pt idx="30">
                  <c:v>Scottish Borders</c:v>
                </c:pt>
                <c:pt idx="31">
                  <c:v>Perth &amp; Kinross</c:v>
                </c:pt>
                <c:pt idx="32">
                  <c:v>Na h-Eileanan Siar</c:v>
                </c:pt>
              </c:strCache>
            </c:strRef>
          </c:cat>
          <c:val>
            <c:numRef>
              <c:f>'Chart 3.4 - 2023-24 data'!$D$7:$D$39</c:f>
              <c:numCache>
                <c:formatCode>#,##0</c:formatCode>
                <c:ptCount val="33"/>
                <c:pt idx="0">
                  <c:v>179.002664405959</c:v>
                </c:pt>
                <c:pt idx="1">
                  <c:v>226.00414078675001</c:v>
                </c:pt>
                <c:pt idx="2">
                  <c:v>272.75702733923799</c:v>
                </c:pt>
                <c:pt idx="3">
                  <c:v>302.75788348476698</c:v>
                </c:pt>
                <c:pt idx="4">
                  <c:v>302.92523010969597</c:v>
                </c:pt>
                <c:pt idx="5">
                  <c:v>309.58064856871198</c:v>
                </c:pt>
                <c:pt idx="6">
                  <c:v>313.403588225048</c:v>
                </c:pt>
                <c:pt idx="7">
                  <c:v>340.74277476487998</c:v>
                </c:pt>
                <c:pt idx="8">
                  <c:v>352.08732286480301</c:v>
                </c:pt>
                <c:pt idx="9">
                  <c:v>368.83380281690103</c:v>
                </c:pt>
                <c:pt idx="10">
                  <c:v>379.91166749539298</c:v>
                </c:pt>
                <c:pt idx="11">
                  <c:v>386.96328847386201</c:v>
                </c:pt>
                <c:pt idx="12">
                  <c:v>388.34438343592302</c:v>
                </c:pt>
                <c:pt idx="13">
                  <c:v>393.17773788150799</c:v>
                </c:pt>
                <c:pt idx="14">
                  <c:v>408.03949757869299</c:v>
                </c:pt>
                <c:pt idx="15">
                  <c:v>416.47597867152501</c:v>
                </c:pt>
                <c:pt idx="16">
                  <c:v>431.07505070993898</c:v>
                </c:pt>
                <c:pt idx="17">
                  <c:v>442.82608695652198</c:v>
                </c:pt>
                <c:pt idx="18">
                  <c:v>448.40382723777202</c:v>
                </c:pt>
                <c:pt idx="19">
                  <c:v>451.11855886049398</c:v>
                </c:pt>
                <c:pt idx="20">
                  <c:v>462.01863900123101</c:v>
                </c:pt>
                <c:pt idx="21">
                  <c:v>466.34779637854501</c:v>
                </c:pt>
                <c:pt idx="22">
                  <c:v>492.31630368410299</c:v>
                </c:pt>
                <c:pt idx="23">
                  <c:v>502.486867477891</c:v>
                </c:pt>
                <c:pt idx="24">
                  <c:v>519.20965971459896</c:v>
                </c:pt>
                <c:pt idx="25">
                  <c:v>552.63214324005605</c:v>
                </c:pt>
                <c:pt idx="26">
                  <c:v>579.83182035355901</c:v>
                </c:pt>
                <c:pt idx="27">
                  <c:v>606.18181818181802</c:v>
                </c:pt>
                <c:pt idx="28">
                  <c:v>644.88283297147598</c:v>
                </c:pt>
                <c:pt idx="29">
                  <c:v>672.17873312740699</c:v>
                </c:pt>
                <c:pt idx="30">
                  <c:v>771.54248478093098</c:v>
                </c:pt>
                <c:pt idx="31">
                  <c:v>982.21683272155201</c:v>
                </c:pt>
                <c:pt idx="32">
                  <c:v>1082.7890895121</c:v>
                </c:pt>
              </c:numCache>
            </c:numRef>
          </c:val>
          <c:extLst>
            <c:ext xmlns:c16="http://schemas.microsoft.com/office/drawing/2014/chart" uri="{C3380CC4-5D6E-409C-BE32-E72D297353CC}">
              <c16:uniqueId val="{00000004-E370-41ED-AA1D-E072DBF6C90B}"/>
            </c:ext>
          </c:extLst>
        </c:ser>
        <c:dLbls>
          <c:dLblPos val="inBase"/>
          <c:showLegendKey val="0"/>
          <c:showVal val="1"/>
          <c:showCatName val="0"/>
          <c:showSerName val="0"/>
          <c:showPercent val="0"/>
          <c:showBubbleSize val="0"/>
        </c:dLbls>
        <c:gapWidth val="25"/>
        <c:axId val="700225096"/>
        <c:axId val="700226736"/>
      </c:barChart>
      <c:catAx>
        <c:axId val="700225096"/>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00226736"/>
        <c:crosses val="autoZero"/>
        <c:auto val="1"/>
        <c:lblAlgn val="ctr"/>
        <c:lblOffset val="100"/>
        <c:noMultiLvlLbl val="0"/>
      </c:catAx>
      <c:valAx>
        <c:axId val="700226736"/>
        <c:scaling>
          <c:orientation val="minMax"/>
          <c:min val="0"/>
        </c:scaling>
        <c:delete val="1"/>
        <c:axPos val="t"/>
        <c:majorGridlines>
          <c:spPr>
            <a:ln w="9525" cap="flat" cmpd="sng" algn="ctr">
              <a:solidFill>
                <a:schemeClr val="bg1">
                  <a:lumMod val="95000"/>
                </a:schemeClr>
              </a:solidFill>
              <a:round/>
            </a:ln>
            <a:effectLst/>
          </c:spPr>
        </c:majorGridlines>
        <c:numFmt formatCode="&quot;£&quot;#,##0" sourceLinked="0"/>
        <c:majorTickMark val="out"/>
        <c:minorTickMark val="none"/>
        <c:tickLblPos val="nextTo"/>
        <c:crossAx val="700225096"/>
        <c:crosses val="autoZero"/>
        <c:crossBetween val="between"/>
        <c:majorUnit val="200"/>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200" baseline="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682634931984484"/>
          <c:y val="2.89320933648726E-2"/>
          <c:w val="0.87593219488525143"/>
          <c:h val="0.73113120119244357"/>
        </c:manualLayout>
      </c:layout>
      <c:lineChart>
        <c:grouping val="standard"/>
        <c:varyColors val="0"/>
        <c:ser>
          <c:idx val="0"/>
          <c:order val="0"/>
          <c:tx>
            <c:strRef>
              <c:f>'Chart 3.6'!$A$8</c:f>
              <c:strCache>
                <c:ptCount val="1"/>
                <c:pt idx="0">
                  <c:v>Grants &amp; Contributions</c:v>
                </c:pt>
              </c:strCache>
            </c:strRef>
          </c:tx>
          <c:spPr>
            <a:ln w="28575" cap="rnd">
              <a:solidFill>
                <a:srgbClr val="1F4E79"/>
              </a:solidFill>
              <a:round/>
            </a:ln>
            <a:effectLst/>
          </c:spPr>
          <c:marker>
            <c:symbol val="none"/>
          </c:marker>
          <c:cat>
            <c:strRef>
              <c:f>'Chart 3.6'!$B$7:$F$7</c:f>
              <c:strCache>
                <c:ptCount val="5"/>
                <c:pt idx="0">
                  <c:v>2020-21</c:v>
                </c:pt>
                <c:pt idx="1">
                  <c:v>2021-22</c:v>
                </c:pt>
                <c:pt idx="2">
                  <c:v>2022-23</c:v>
                </c:pt>
                <c:pt idx="3">
                  <c:v>2023-24</c:v>
                </c:pt>
                <c:pt idx="4">
                  <c:v>2024-25</c:v>
                </c:pt>
              </c:strCache>
            </c:strRef>
          </c:cat>
          <c:val>
            <c:numRef>
              <c:f>'Chart 3.6'!$B$8:$F$8</c:f>
              <c:numCache>
                <c:formatCode>#,##0</c:formatCode>
                <c:ptCount val="5"/>
                <c:pt idx="0">
                  <c:v>1321.722</c:v>
                </c:pt>
                <c:pt idx="1">
                  <c:v>1401.643</c:v>
                </c:pt>
                <c:pt idx="2">
                  <c:v>1617.1690000000001</c:v>
                </c:pt>
                <c:pt idx="3">
                  <c:v>1633.425</c:v>
                </c:pt>
                <c:pt idx="4">
                  <c:v>1479.1079999999999</c:v>
                </c:pt>
              </c:numCache>
            </c:numRef>
          </c:val>
          <c:smooth val="0"/>
          <c:extLst>
            <c:ext xmlns:c16="http://schemas.microsoft.com/office/drawing/2014/chart" uri="{C3380CC4-5D6E-409C-BE32-E72D297353CC}">
              <c16:uniqueId val="{00000000-E14E-4BC7-9AC0-797C00E2D7F6}"/>
            </c:ext>
          </c:extLst>
        </c:ser>
        <c:ser>
          <c:idx val="1"/>
          <c:order val="1"/>
          <c:tx>
            <c:strRef>
              <c:f>'Chart 3.6'!$A$9</c:f>
              <c:strCache>
                <c:ptCount val="1"/>
                <c:pt idx="0">
                  <c:v>Borrowing from Loans Fund</c:v>
                </c:pt>
              </c:strCache>
            </c:strRef>
          </c:tx>
          <c:spPr>
            <a:ln w="28575" cap="rnd">
              <a:solidFill>
                <a:srgbClr val="ABC0DD"/>
              </a:solidFill>
              <a:prstDash val="solid"/>
              <a:round/>
            </a:ln>
            <a:effectLst/>
          </c:spPr>
          <c:marker>
            <c:symbol val="none"/>
          </c:marker>
          <c:cat>
            <c:strRef>
              <c:f>'Chart 3.6'!$B$7:$F$7</c:f>
              <c:strCache>
                <c:ptCount val="5"/>
                <c:pt idx="0">
                  <c:v>2020-21</c:v>
                </c:pt>
                <c:pt idx="1">
                  <c:v>2021-22</c:v>
                </c:pt>
                <c:pt idx="2">
                  <c:v>2022-23</c:v>
                </c:pt>
                <c:pt idx="3">
                  <c:v>2023-24</c:v>
                </c:pt>
                <c:pt idx="4">
                  <c:v>2024-25</c:v>
                </c:pt>
              </c:strCache>
            </c:strRef>
          </c:cat>
          <c:val>
            <c:numRef>
              <c:f>'Chart 3.6'!$B$9:$F$9</c:f>
              <c:numCache>
                <c:formatCode>#,##0</c:formatCode>
                <c:ptCount val="5"/>
                <c:pt idx="0">
                  <c:v>833.92399999999998</c:v>
                </c:pt>
                <c:pt idx="1">
                  <c:v>1441.1659999999999</c:v>
                </c:pt>
                <c:pt idx="2">
                  <c:v>1532.9770000000001</c:v>
                </c:pt>
                <c:pt idx="3">
                  <c:v>1705.0730000000001</c:v>
                </c:pt>
                <c:pt idx="4">
                  <c:v>2101.3449999999998</c:v>
                </c:pt>
              </c:numCache>
            </c:numRef>
          </c:val>
          <c:smooth val="0"/>
          <c:extLst>
            <c:ext xmlns:c16="http://schemas.microsoft.com/office/drawing/2014/chart" uri="{C3380CC4-5D6E-409C-BE32-E72D297353CC}">
              <c16:uniqueId val="{00000001-E14E-4BC7-9AC0-797C00E2D7F6}"/>
            </c:ext>
          </c:extLst>
        </c:ser>
        <c:ser>
          <c:idx val="3"/>
          <c:order val="2"/>
          <c:tx>
            <c:strRef>
              <c:f>'Chart 3.6'!$A$11</c:f>
              <c:strCache>
                <c:ptCount val="1"/>
                <c:pt idx="0">
                  <c:v>Capital Reserves</c:v>
                </c:pt>
              </c:strCache>
            </c:strRef>
          </c:tx>
          <c:spPr>
            <a:ln w="28575" cap="rnd">
              <a:solidFill>
                <a:srgbClr val="2C486E"/>
              </a:solidFill>
              <a:prstDash val="sysDot"/>
              <a:round/>
            </a:ln>
            <a:effectLst/>
          </c:spPr>
          <c:marker>
            <c:symbol val="triangle"/>
            <c:size val="10"/>
            <c:spPr>
              <a:solidFill>
                <a:srgbClr val="183C5C"/>
              </a:solidFill>
              <a:ln w="9525">
                <a:solidFill>
                  <a:srgbClr val="2C486E"/>
                </a:solidFill>
              </a:ln>
              <a:effectLst/>
            </c:spPr>
          </c:marker>
          <c:cat>
            <c:strRef>
              <c:f>'Chart 3.6'!$B$7:$F$7</c:f>
              <c:strCache>
                <c:ptCount val="5"/>
                <c:pt idx="0">
                  <c:v>2020-21</c:v>
                </c:pt>
                <c:pt idx="1">
                  <c:v>2021-22</c:v>
                </c:pt>
                <c:pt idx="2">
                  <c:v>2022-23</c:v>
                </c:pt>
                <c:pt idx="3">
                  <c:v>2023-24</c:v>
                </c:pt>
                <c:pt idx="4">
                  <c:v>2024-25</c:v>
                </c:pt>
              </c:strCache>
            </c:strRef>
          </c:cat>
          <c:val>
            <c:numRef>
              <c:f>'Chart 3.6'!$B$11:$F$11</c:f>
              <c:numCache>
                <c:formatCode>#,##0</c:formatCode>
                <c:ptCount val="5"/>
                <c:pt idx="0">
                  <c:v>71.63</c:v>
                </c:pt>
                <c:pt idx="1">
                  <c:v>86.617999999999995</c:v>
                </c:pt>
                <c:pt idx="2">
                  <c:v>105.396</c:v>
                </c:pt>
                <c:pt idx="3">
                  <c:v>118.69</c:v>
                </c:pt>
                <c:pt idx="4">
                  <c:v>111.879</c:v>
                </c:pt>
              </c:numCache>
            </c:numRef>
          </c:val>
          <c:smooth val="0"/>
          <c:extLst>
            <c:ext xmlns:c16="http://schemas.microsoft.com/office/drawing/2014/chart" uri="{C3380CC4-5D6E-409C-BE32-E72D297353CC}">
              <c16:uniqueId val="{00000002-E14E-4BC7-9AC0-797C00E2D7F6}"/>
            </c:ext>
          </c:extLst>
        </c:ser>
        <c:ser>
          <c:idx val="4"/>
          <c:order val="3"/>
          <c:tx>
            <c:strRef>
              <c:f>'Chart 3.6'!$A$12</c:f>
              <c:strCache>
                <c:ptCount val="1"/>
                <c:pt idx="0">
                  <c:v>Capital funded from Revenue</c:v>
                </c:pt>
              </c:strCache>
            </c:strRef>
          </c:tx>
          <c:spPr>
            <a:ln w="28575" cap="rnd">
              <a:solidFill>
                <a:srgbClr val="ABC0DD"/>
              </a:solidFill>
              <a:prstDash val="dash"/>
              <a:round/>
            </a:ln>
            <a:effectLst/>
          </c:spPr>
          <c:marker>
            <c:symbol val="none"/>
          </c:marker>
          <c:cat>
            <c:strRef>
              <c:f>'Chart 3.6'!$B$7:$F$7</c:f>
              <c:strCache>
                <c:ptCount val="5"/>
                <c:pt idx="0">
                  <c:v>2020-21</c:v>
                </c:pt>
                <c:pt idx="1">
                  <c:v>2021-22</c:v>
                </c:pt>
                <c:pt idx="2">
                  <c:v>2022-23</c:v>
                </c:pt>
                <c:pt idx="3">
                  <c:v>2023-24</c:v>
                </c:pt>
                <c:pt idx="4">
                  <c:v>2024-25</c:v>
                </c:pt>
              </c:strCache>
            </c:strRef>
          </c:cat>
          <c:val>
            <c:numRef>
              <c:f>'Chart 3.6'!$B$12:$F$12</c:f>
              <c:numCache>
                <c:formatCode>#,##0</c:formatCode>
                <c:ptCount val="5"/>
                <c:pt idx="0">
                  <c:v>279.80599999999998</c:v>
                </c:pt>
                <c:pt idx="1">
                  <c:v>353.00200000000001</c:v>
                </c:pt>
                <c:pt idx="2">
                  <c:v>263.70499999999998</c:v>
                </c:pt>
                <c:pt idx="3">
                  <c:v>218.928</c:v>
                </c:pt>
                <c:pt idx="4">
                  <c:v>274.71300000000002</c:v>
                </c:pt>
              </c:numCache>
            </c:numRef>
          </c:val>
          <c:smooth val="0"/>
          <c:extLst>
            <c:ext xmlns:c16="http://schemas.microsoft.com/office/drawing/2014/chart" uri="{C3380CC4-5D6E-409C-BE32-E72D297353CC}">
              <c16:uniqueId val="{00000003-E14E-4BC7-9AC0-797C00E2D7F6}"/>
            </c:ext>
          </c:extLst>
        </c:ser>
        <c:ser>
          <c:idx val="7"/>
          <c:order val="4"/>
          <c:tx>
            <c:strRef>
              <c:f>'Chart 3.6'!$A$10</c:f>
              <c:strCache>
                <c:ptCount val="1"/>
                <c:pt idx="0">
                  <c:v>Credit Arrangements</c:v>
                </c:pt>
              </c:strCache>
            </c:strRef>
          </c:tx>
          <c:spPr>
            <a:ln w="28575" cap="rnd">
              <a:solidFill>
                <a:srgbClr val="1F4E79"/>
              </a:solidFill>
              <a:prstDash val="dash"/>
              <a:round/>
            </a:ln>
            <a:effectLst/>
          </c:spPr>
          <c:marker>
            <c:symbol val="none"/>
          </c:marker>
          <c:cat>
            <c:strRef>
              <c:f>'Chart 3.6'!$B$7:$F$7</c:f>
              <c:strCache>
                <c:ptCount val="5"/>
                <c:pt idx="0">
                  <c:v>2020-21</c:v>
                </c:pt>
                <c:pt idx="1">
                  <c:v>2021-22</c:v>
                </c:pt>
                <c:pt idx="2">
                  <c:v>2022-23</c:v>
                </c:pt>
                <c:pt idx="3">
                  <c:v>2023-24</c:v>
                </c:pt>
                <c:pt idx="4">
                  <c:v>2024-25</c:v>
                </c:pt>
              </c:strCache>
            </c:strRef>
          </c:cat>
          <c:val>
            <c:numRef>
              <c:f>'Chart 3.6'!$B$10:$F$10</c:f>
              <c:numCache>
                <c:formatCode>#,##0</c:formatCode>
                <c:ptCount val="5"/>
                <c:pt idx="0">
                  <c:v>96.876999999999995</c:v>
                </c:pt>
                <c:pt idx="1">
                  <c:v>59.058999999999997</c:v>
                </c:pt>
                <c:pt idx="2">
                  <c:v>265.84100000000001</c:v>
                </c:pt>
                <c:pt idx="3">
                  <c:v>1.7230000000000001</c:v>
                </c:pt>
                <c:pt idx="4">
                  <c:v>692.35799999999995</c:v>
                </c:pt>
              </c:numCache>
            </c:numRef>
          </c:val>
          <c:smooth val="0"/>
          <c:extLst>
            <c:ext xmlns:c16="http://schemas.microsoft.com/office/drawing/2014/chart" uri="{C3380CC4-5D6E-409C-BE32-E72D297353CC}">
              <c16:uniqueId val="{00000004-E14E-4BC7-9AC0-797C00E2D7F6}"/>
            </c:ext>
          </c:extLst>
        </c:ser>
        <c:dLbls>
          <c:showLegendKey val="0"/>
          <c:showVal val="0"/>
          <c:showCatName val="0"/>
          <c:showSerName val="0"/>
          <c:showPercent val="0"/>
          <c:showBubbleSize val="0"/>
        </c:dLbls>
        <c:smooth val="0"/>
        <c:axId val="709232568"/>
        <c:axId val="709240112"/>
      </c:lineChart>
      <c:catAx>
        <c:axId val="709232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09240112"/>
        <c:crosses val="autoZero"/>
        <c:auto val="1"/>
        <c:lblAlgn val="ctr"/>
        <c:lblOffset val="100"/>
        <c:noMultiLvlLbl val="0"/>
      </c:catAx>
      <c:valAx>
        <c:axId val="709240112"/>
        <c:scaling>
          <c:orientation val="minMax"/>
        </c:scaling>
        <c:delete val="0"/>
        <c:axPos val="l"/>
        <c:majorGridlines>
          <c:spPr>
            <a:ln w="9525" cap="flat" cmpd="sng" algn="ctr">
              <a:solidFill>
                <a:schemeClr val="bg1">
                  <a:lumMod val="95000"/>
                </a:schemeClr>
              </a:solidFill>
              <a:round/>
            </a:ln>
            <a:effectLst/>
          </c:spPr>
        </c:majorGridlines>
        <c:numFmt formatCode="&quot;£&quot;#,##0&quot;m&quot;"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09232568"/>
        <c:crosses val="autoZero"/>
        <c:crossBetween val="between"/>
        <c:majorUnit val="400"/>
      </c:valAx>
      <c:spPr>
        <a:noFill/>
        <a:ln>
          <a:noFill/>
        </a:ln>
        <a:effectLst/>
      </c:spPr>
    </c:plotArea>
    <c:legend>
      <c:legendPos val="b"/>
      <c:layout>
        <c:manualLayout>
          <c:xMode val="edge"/>
          <c:yMode val="edge"/>
          <c:x val="0.12690751064408473"/>
          <c:y val="0.82821792337686184"/>
          <c:w val="0.81301663083001352"/>
          <c:h val="0.16847995852370307"/>
        </c:manualLayout>
      </c:layout>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sz="1200"/>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3567131667596671"/>
          <c:y val="3.468913843396694E-2"/>
          <c:w val="0.84912790625581247"/>
          <c:h val="0.8918304703437494"/>
        </c:manualLayout>
      </c:layout>
      <c:lineChart>
        <c:grouping val="standard"/>
        <c:varyColors val="0"/>
        <c:ser>
          <c:idx val="0"/>
          <c:order val="0"/>
          <c:tx>
            <c:strRef>
              <c:f>'Chart 5.1'!$A$8</c:f>
              <c:strCache>
                <c:ptCount val="1"/>
                <c:pt idx="0">
                  <c:v>General Fund Loans Fund Advances outstanding</c:v>
                </c:pt>
              </c:strCache>
            </c:strRef>
          </c:tx>
          <c:spPr>
            <a:ln w="28575" cap="rnd">
              <a:solidFill>
                <a:srgbClr val="2C486E"/>
              </a:solidFill>
              <a:round/>
            </a:ln>
            <a:effectLst/>
          </c:spPr>
          <c:marker>
            <c:symbol val="none"/>
          </c:marker>
          <c:cat>
            <c:numRef>
              <c:f>'Chart 5.1'!$B$7:$F$7</c:f>
              <c:numCache>
                <c:formatCode>d\-mmm\-yy</c:formatCode>
                <c:ptCount val="5"/>
                <c:pt idx="0">
                  <c:v>44286</c:v>
                </c:pt>
                <c:pt idx="1">
                  <c:v>44651</c:v>
                </c:pt>
                <c:pt idx="2">
                  <c:v>45016</c:v>
                </c:pt>
                <c:pt idx="3">
                  <c:v>45382</c:v>
                </c:pt>
                <c:pt idx="4">
                  <c:v>45747</c:v>
                </c:pt>
              </c:numCache>
            </c:numRef>
          </c:cat>
          <c:val>
            <c:numRef>
              <c:f>'Chart 5.1'!$B$8:$F$8</c:f>
              <c:numCache>
                <c:formatCode>#,##0</c:formatCode>
                <c:ptCount val="5"/>
                <c:pt idx="0">
                  <c:v>11798.696</c:v>
                </c:pt>
                <c:pt idx="1">
                  <c:v>12423.609</c:v>
                </c:pt>
                <c:pt idx="2">
                  <c:v>13114.200999999999</c:v>
                </c:pt>
                <c:pt idx="3">
                  <c:v>13790.978999999999</c:v>
                </c:pt>
                <c:pt idx="4">
                  <c:v>14745.638000000001</c:v>
                </c:pt>
              </c:numCache>
            </c:numRef>
          </c:val>
          <c:smooth val="0"/>
          <c:extLst>
            <c:ext xmlns:c16="http://schemas.microsoft.com/office/drawing/2014/chart" uri="{C3380CC4-5D6E-409C-BE32-E72D297353CC}">
              <c16:uniqueId val="{00000000-1F63-4B7D-B05E-025AE210FFB9}"/>
            </c:ext>
          </c:extLst>
        </c:ser>
        <c:ser>
          <c:idx val="2"/>
          <c:order val="1"/>
          <c:tx>
            <c:strRef>
              <c:f>'Chart 5.1'!$A$11</c:f>
              <c:strCache>
                <c:ptCount val="1"/>
                <c:pt idx="0">
                  <c:v>HRA Loans Fund Advances outstanding</c:v>
                </c:pt>
              </c:strCache>
            </c:strRef>
          </c:tx>
          <c:spPr>
            <a:ln w="28575" cap="rnd">
              <a:solidFill>
                <a:srgbClr val="A8BEDC"/>
              </a:solidFill>
              <a:round/>
            </a:ln>
            <a:effectLst/>
          </c:spPr>
          <c:marker>
            <c:symbol val="square"/>
            <c:size val="10"/>
            <c:spPr>
              <a:solidFill>
                <a:srgbClr val="ABC0DD"/>
              </a:solidFill>
              <a:ln w="9525">
                <a:solidFill>
                  <a:schemeClr val="accent3"/>
                </a:solidFill>
              </a:ln>
              <a:effectLst/>
            </c:spPr>
          </c:marker>
          <c:cat>
            <c:numRef>
              <c:f>'Chart 5.1'!$B$7:$F$7</c:f>
              <c:numCache>
                <c:formatCode>d\-mmm\-yy</c:formatCode>
                <c:ptCount val="5"/>
                <c:pt idx="0">
                  <c:v>44286</c:v>
                </c:pt>
                <c:pt idx="1">
                  <c:v>44651</c:v>
                </c:pt>
                <c:pt idx="2">
                  <c:v>45016</c:v>
                </c:pt>
                <c:pt idx="3">
                  <c:v>45382</c:v>
                </c:pt>
                <c:pt idx="4">
                  <c:v>45747</c:v>
                </c:pt>
              </c:numCache>
            </c:numRef>
          </c:cat>
          <c:val>
            <c:numRef>
              <c:f>'Chart 5.1'!$B$11:$F$11</c:f>
              <c:numCache>
                <c:formatCode>#,##0</c:formatCode>
                <c:ptCount val="5"/>
                <c:pt idx="0">
                  <c:v>4173.384</c:v>
                </c:pt>
                <c:pt idx="1">
                  <c:v>4517.1040000000003</c:v>
                </c:pt>
                <c:pt idx="2">
                  <c:v>4971.0079999999998</c:v>
                </c:pt>
                <c:pt idx="3">
                  <c:v>5569.7669999999998</c:v>
                </c:pt>
                <c:pt idx="4">
                  <c:v>6271.19</c:v>
                </c:pt>
              </c:numCache>
            </c:numRef>
          </c:val>
          <c:smooth val="0"/>
          <c:extLst>
            <c:ext xmlns:c16="http://schemas.microsoft.com/office/drawing/2014/chart" uri="{C3380CC4-5D6E-409C-BE32-E72D297353CC}">
              <c16:uniqueId val="{00000001-1F63-4B7D-B05E-025AE210FFB9}"/>
            </c:ext>
          </c:extLst>
        </c:ser>
        <c:ser>
          <c:idx val="1"/>
          <c:order val="2"/>
          <c:tx>
            <c:strRef>
              <c:f>'Chart 5.1'!$A$9</c:f>
              <c:strCache>
                <c:ptCount val="1"/>
                <c:pt idx="0">
                  <c:v>General Fund Credit Arrangements</c:v>
                </c:pt>
              </c:strCache>
            </c:strRef>
          </c:tx>
          <c:spPr>
            <a:ln w="28575" cap="rnd">
              <a:solidFill>
                <a:srgbClr val="2C486E"/>
              </a:solidFill>
              <a:prstDash val="dash"/>
              <a:round/>
            </a:ln>
            <a:effectLst/>
          </c:spPr>
          <c:marker>
            <c:symbol val="none"/>
          </c:marker>
          <c:cat>
            <c:numRef>
              <c:f>'Chart 5.1'!$B$7:$F$7</c:f>
              <c:numCache>
                <c:formatCode>d\-mmm\-yy</c:formatCode>
                <c:ptCount val="5"/>
                <c:pt idx="0">
                  <c:v>44286</c:v>
                </c:pt>
                <c:pt idx="1">
                  <c:v>44651</c:v>
                </c:pt>
                <c:pt idx="2">
                  <c:v>45016</c:v>
                </c:pt>
                <c:pt idx="3">
                  <c:v>45382</c:v>
                </c:pt>
                <c:pt idx="4">
                  <c:v>45747</c:v>
                </c:pt>
              </c:numCache>
            </c:numRef>
          </c:cat>
          <c:val>
            <c:numRef>
              <c:f>'Chart 5.1'!$B$9:$F$9</c:f>
              <c:numCache>
                <c:formatCode>#,##0</c:formatCode>
                <c:ptCount val="5"/>
                <c:pt idx="0">
                  <c:v>3732.2689999999998</c:v>
                </c:pt>
                <c:pt idx="1">
                  <c:v>3606.587</c:v>
                </c:pt>
                <c:pt idx="2">
                  <c:v>3712.98</c:v>
                </c:pt>
                <c:pt idx="3">
                  <c:v>3587.6039999999998</c:v>
                </c:pt>
                <c:pt idx="4">
                  <c:v>4278.1769999999997</c:v>
                </c:pt>
              </c:numCache>
            </c:numRef>
          </c:val>
          <c:smooth val="0"/>
          <c:extLst>
            <c:ext xmlns:c16="http://schemas.microsoft.com/office/drawing/2014/chart" uri="{C3380CC4-5D6E-409C-BE32-E72D297353CC}">
              <c16:uniqueId val="{00000002-1F63-4B7D-B05E-025AE210FFB9}"/>
            </c:ext>
          </c:extLst>
        </c:ser>
        <c:ser>
          <c:idx val="3"/>
          <c:order val="3"/>
          <c:tx>
            <c:strRef>
              <c:f>'Chart 5.1'!$A$12</c:f>
              <c:strCache>
                <c:ptCount val="1"/>
                <c:pt idx="0">
                  <c:v>HRA Credit Arrangements</c:v>
                </c:pt>
              </c:strCache>
            </c:strRef>
          </c:tx>
          <c:spPr>
            <a:ln w="28575" cap="rnd">
              <a:solidFill>
                <a:srgbClr val="A8BEDC"/>
              </a:solidFill>
              <a:prstDash val="dash"/>
              <a:round/>
            </a:ln>
            <a:effectLst/>
          </c:spPr>
          <c:marker>
            <c:symbol val="none"/>
          </c:marker>
          <c:cat>
            <c:numRef>
              <c:f>'Chart 5.1'!$B$7:$F$7</c:f>
              <c:numCache>
                <c:formatCode>d\-mmm\-yy</c:formatCode>
                <c:ptCount val="5"/>
                <c:pt idx="0">
                  <c:v>44286</c:v>
                </c:pt>
                <c:pt idx="1">
                  <c:v>44651</c:v>
                </c:pt>
                <c:pt idx="2">
                  <c:v>45016</c:v>
                </c:pt>
                <c:pt idx="3">
                  <c:v>45382</c:v>
                </c:pt>
                <c:pt idx="4">
                  <c:v>45747</c:v>
                </c:pt>
              </c:numCache>
            </c:numRef>
          </c:cat>
          <c:val>
            <c:numRef>
              <c:f>'Chart 5.1'!$B$12:$F$12</c:f>
              <c:numCache>
                <c:formatCode>#,##0</c:formatCode>
                <c:ptCount val="5"/>
                <c:pt idx="0">
                  <c:v>1.901</c:v>
                </c:pt>
                <c:pt idx="1">
                  <c:v>1.764</c:v>
                </c:pt>
                <c:pt idx="2">
                  <c:v>1.5069999999999999</c:v>
                </c:pt>
                <c:pt idx="3">
                  <c:v>1.288</c:v>
                </c:pt>
                <c:pt idx="4">
                  <c:v>1.4359999999999999</c:v>
                </c:pt>
              </c:numCache>
            </c:numRef>
          </c:val>
          <c:smooth val="0"/>
          <c:extLst>
            <c:ext xmlns:c16="http://schemas.microsoft.com/office/drawing/2014/chart" uri="{C3380CC4-5D6E-409C-BE32-E72D297353CC}">
              <c16:uniqueId val="{00000003-1F63-4B7D-B05E-025AE210FFB9}"/>
            </c:ext>
          </c:extLst>
        </c:ser>
        <c:dLbls>
          <c:showLegendKey val="0"/>
          <c:showVal val="0"/>
          <c:showCatName val="0"/>
          <c:showSerName val="0"/>
          <c:showPercent val="0"/>
          <c:showBubbleSize val="0"/>
        </c:dLbls>
        <c:smooth val="0"/>
        <c:axId val="233714416"/>
        <c:axId val="233714744"/>
      </c:lineChart>
      <c:dateAx>
        <c:axId val="233714416"/>
        <c:scaling>
          <c:orientation val="minMax"/>
        </c:scaling>
        <c:delete val="0"/>
        <c:axPos val="b"/>
        <c:numFmt formatCode="mmmm\ \'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233714744"/>
        <c:crosses val="autoZero"/>
        <c:auto val="1"/>
        <c:lblOffset val="100"/>
        <c:baseTimeUnit val="months"/>
        <c:majorUnit val="12"/>
        <c:majorTimeUnit val="months"/>
      </c:dateAx>
      <c:valAx>
        <c:axId val="233714744"/>
        <c:scaling>
          <c:orientation val="minMax"/>
          <c:max val="15000"/>
        </c:scaling>
        <c:delete val="0"/>
        <c:axPos val="l"/>
        <c:majorGridlines>
          <c:spPr>
            <a:ln w="9525" cap="flat" cmpd="sng" algn="ctr">
              <a:solidFill>
                <a:schemeClr val="bg1">
                  <a:lumMod val="95000"/>
                </a:schemeClr>
              </a:solidFill>
              <a:round/>
            </a:ln>
            <a:effectLst/>
          </c:spPr>
        </c:majorGridlines>
        <c:numFmt formatCode="&quot;£&quot;#,##0&quot;m&quot;" sourceLinked="0"/>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233714416"/>
        <c:crosses val="autoZero"/>
        <c:crossBetween val="midCat"/>
        <c:majorUnit val="3000"/>
      </c:valAx>
      <c:spPr>
        <a:noFill/>
        <a:ln>
          <a:noFill/>
        </a:ln>
        <a:effectLst/>
      </c:spPr>
    </c:plotArea>
    <c:legend>
      <c:legendPos val="r"/>
      <c:layout>
        <c:manualLayout>
          <c:xMode val="edge"/>
          <c:yMode val="edge"/>
          <c:x val="0.11905775867443677"/>
          <c:y val="0.24076771436542824"/>
          <c:w val="0.64716663750364545"/>
          <c:h val="0.33382914913461198"/>
        </c:manualLayout>
      </c:layout>
      <c:overlay val="0"/>
      <c:spPr>
        <a:solidFill>
          <a:schemeClr val="bg1"/>
        </a:solidFill>
        <a:ln>
          <a:solidFill>
            <a:schemeClr val="bg1">
              <a:lumMod val="95000"/>
            </a:schemeClr>
          </a:solidFill>
        </a:ln>
        <a:effectLst/>
      </c:spPr>
      <c:txPr>
        <a:bodyPr rot="0" spcFirstLastPara="1" vertOverflow="ellipsis" vert="horz" wrap="square" anchor="ctr" anchorCtr="1"/>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274425645974688"/>
          <c:y val="3.468924323178265E-2"/>
          <c:w val="0.82079484123839297"/>
          <c:h val="0.88440243019761811"/>
        </c:manualLayout>
      </c:layout>
      <c:lineChart>
        <c:grouping val="standard"/>
        <c:varyColors val="0"/>
        <c:ser>
          <c:idx val="0"/>
          <c:order val="0"/>
          <c:tx>
            <c:strRef>
              <c:f>'Key Facts Chart'!$A$4</c:f>
              <c:strCache>
                <c:ptCount val="1"/>
                <c:pt idx="0">
                  <c:v>Total Debt</c:v>
                </c:pt>
              </c:strCache>
            </c:strRef>
          </c:tx>
          <c:spPr>
            <a:ln w="28575" cap="rnd">
              <a:solidFill>
                <a:srgbClr val="2C486E"/>
              </a:solidFill>
              <a:round/>
            </a:ln>
            <a:effectLst/>
          </c:spPr>
          <c:marker>
            <c:symbol val="none"/>
          </c:marker>
          <c:cat>
            <c:numRef>
              <c:f>'Key Facts Chart'!$B$3:$F$3</c:f>
              <c:numCache>
                <c:formatCode>d\-mmm\-yy</c:formatCode>
                <c:ptCount val="5"/>
                <c:pt idx="0">
                  <c:v>44286</c:v>
                </c:pt>
                <c:pt idx="1">
                  <c:v>44651</c:v>
                </c:pt>
                <c:pt idx="2">
                  <c:v>45016</c:v>
                </c:pt>
                <c:pt idx="3">
                  <c:v>45382</c:v>
                </c:pt>
                <c:pt idx="4">
                  <c:v>45747</c:v>
                </c:pt>
              </c:numCache>
            </c:numRef>
          </c:cat>
          <c:val>
            <c:numRef>
              <c:f>'Key Facts Chart'!$B$4:$F$4</c:f>
              <c:numCache>
                <c:formatCode>#,##0</c:formatCode>
                <c:ptCount val="5"/>
                <c:pt idx="0">
                  <c:v>19706.25</c:v>
                </c:pt>
                <c:pt idx="1">
                  <c:v>20549.063999999998</c:v>
                </c:pt>
                <c:pt idx="2">
                  <c:v>21799.696</c:v>
                </c:pt>
                <c:pt idx="3">
                  <c:v>22949.637999999999</c:v>
                </c:pt>
                <c:pt idx="4">
                  <c:v>25296.440999999999</c:v>
                </c:pt>
              </c:numCache>
            </c:numRef>
          </c:val>
          <c:smooth val="0"/>
          <c:extLst>
            <c:ext xmlns:c16="http://schemas.microsoft.com/office/drawing/2014/chart" uri="{C3380CC4-5D6E-409C-BE32-E72D297353CC}">
              <c16:uniqueId val="{00000000-7783-45EE-9A0F-2E5351FA4BF9}"/>
            </c:ext>
          </c:extLst>
        </c:ser>
        <c:dLbls>
          <c:showLegendKey val="0"/>
          <c:showVal val="0"/>
          <c:showCatName val="0"/>
          <c:showSerName val="0"/>
          <c:showPercent val="0"/>
          <c:showBubbleSize val="0"/>
        </c:dLbls>
        <c:smooth val="0"/>
        <c:axId val="233714416"/>
        <c:axId val="233714744"/>
      </c:lineChart>
      <c:catAx>
        <c:axId val="233714416"/>
        <c:scaling>
          <c:orientation val="minMax"/>
        </c:scaling>
        <c:delete val="0"/>
        <c:axPos val="b"/>
        <c:numFmt formatCode="d\-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233714744"/>
        <c:crosses val="autoZero"/>
        <c:auto val="0"/>
        <c:lblAlgn val="ctr"/>
        <c:lblOffset val="100"/>
        <c:noMultiLvlLbl val="0"/>
      </c:catAx>
      <c:valAx>
        <c:axId val="233714744"/>
        <c:scaling>
          <c:orientation val="minMax"/>
          <c:min val="0"/>
        </c:scaling>
        <c:delete val="0"/>
        <c:axPos val="l"/>
        <c:majorGridlines>
          <c:spPr>
            <a:ln w="9525" cap="flat" cmpd="sng" algn="ctr">
              <a:solidFill>
                <a:schemeClr val="bg1">
                  <a:lumMod val="95000"/>
                </a:schemeClr>
              </a:solidFill>
              <a:round/>
            </a:ln>
            <a:effectLst/>
          </c:spPr>
        </c:majorGridlines>
        <c:numFmt formatCode="&quot;£&quot;#,##0&quot;m&quot;" sourceLinked="0"/>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233714416"/>
        <c:crosses val="autoZero"/>
        <c:crossBetween val="between"/>
        <c:majorUnit val="5000"/>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629624557799841"/>
          <c:y val="3.1484972829100587E-2"/>
          <c:w val="0.85928358208955224"/>
          <c:h val="0.8820644954591943"/>
        </c:manualLayout>
      </c:layout>
      <c:lineChart>
        <c:grouping val="standard"/>
        <c:varyColors val="0"/>
        <c:ser>
          <c:idx val="3"/>
          <c:order val="0"/>
          <c:tx>
            <c:strRef>
              <c:f>'Chart 5.2'!$A$9</c:f>
              <c:strCache>
                <c:ptCount val="1"/>
                <c:pt idx="0">
                  <c:v>Authorised Limit for External Debt</c:v>
                </c:pt>
              </c:strCache>
            </c:strRef>
          </c:tx>
          <c:spPr>
            <a:ln w="28575" cap="rnd">
              <a:solidFill>
                <a:srgbClr val="2C486E"/>
              </a:solidFill>
              <a:prstDash val="solid"/>
              <a:round/>
            </a:ln>
            <a:effectLst/>
          </c:spPr>
          <c:marker>
            <c:symbol val="none"/>
          </c:marker>
          <c:cat>
            <c:numRef>
              <c:f>'Chart 5.2'!$B$8:$F$8</c:f>
              <c:numCache>
                <c:formatCode>d\-mmm\-yy</c:formatCode>
                <c:ptCount val="5"/>
                <c:pt idx="0">
                  <c:v>44286</c:v>
                </c:pt>
                <c:pt idx="1">
                  <c:v>44651</c:v>
                </c:pt>
                <c:pt idx="2">
                  <c:v>45016</c:v>
                </c:pt>
                <c:pt idx="3">
                  <c:v>45382</c:v>
                </c:pt>
                <c:pt idx="4">
                  <c:v>45747</c:v>
                </c:pt>
              </c:numCache>
            </c:numRef>
          </c:cat>
          <c:val>
            <c:numRef>
              <c:f>'Chart 5.2'!$B$9:$F$9</c:f>
              <c:numCache>
                <c:formatCode>#,##0</c:formatCode>
                <c:ptCount val="5"/>
                <c:pt idx="0">
                  <c:v>22850.249</c:v>
                </c:pt>
                <c:pt idx="1">
                  <c:v>23460.637999999999</c:v>
                </c:pt>
                <c:pt idx="2">
                  <c:v>24607.597000000002</c:v>
                </c:pt>
                <c:pt idx="3">
                  <c:v>26895.15</c:v>
                </c:pt>
                <c:pt idx="4">
                  <c:v>29076.2</c:v>
                </c:pt>
              </c:numCache>
            </c:numRef>
          </c:val>
          <c:smooth val="0"/>
          <c:extLst>
            <c:ext xmlns:c16="http://schemas.microsoft.com/office/drawing/2014/chart" uri="{C3380CC4-5D6E-409C-BE32-E72D297353CC}">
              <c16:uniqueId val="{00000000-8011-4D26-AFA3-F88AA506ECC5}"/>
            </c:ext>
          </c:extLst>
        </c:ser>
        <c:ser>
          <c:idx val="2"/>
          <c:order val="1"/>
          <c:tx>
            <c:strRef>
              <c:f>'Chart 5.2'!$A$10</c:f>
              <c:strCache>
                <c:ptCount val="1"/>
                <c:pt idx="0">
                  <c:v>Operational Boundary for External Debt</c:v>
                </c:pt>
              </c:strCache>
            </c:strRef>
          </c:tx>
          <c:spPr>
            <a:ln w="28575" cap="rnd">
              <a:solidFill>
                <a:srgbClr val="2C486E"/>
              </a:solidFill>
              <a:prstDash val="dash"/>
              <a:round/>
            </a:ln>
            <a:effectLst/>
          </c:spPr>
          <c:marker>
            <c:symbol val="none"/>
          </c:marker>
          <c:cat>
            <c:numRef>
              <c:f>'Chart 5.2'!$B$8:$F$8</c:f>
              <c:numCache>
                <c:formatCode>d\-mmm\-yy</c:formatCode>
                <c:ptCount val="5"/>
                <c:pt idx="0">
                  <c:v>44286</c:v>
                </c:pt>
                <c:pt idx="1">
                  <c:v>44651</c:v>
                </c:pt>
                <c:pt idx="2">
                  <c:v>45016</c:v>
                </c:pt>
                <c:pt idx="3">
                  <c:v>45382</c:v>
                </c:pt>
                <c:pt idx="4">
                  <c:v>45747</c:v>
                </c:pt>
              </c:numCache>
            </c:numRef>
          </c:cat>
          <c:val>
            <c:numRef>
              <c:f>'Chart 5.2'!$B$10:$F$10</c:f>
              <c:numCache>
                <c:formatCode>#,##0</c:formatCode>
                <c:ptCount val="5"/>
                <c:pt idx="0">
                  <c:v>20893.924999999999</c:v>
                </c:pt>
                <c:pt idx="1">
                  <c:v>22040.61</c:v>
                </c:pt>
                <c:pt idx="2">
                  <c:v>23008.352999999999</c:v>
                </c:pt>
                <c:pt idx="3">
                  <c:v>25277.733</c:v>
                </c:pt>
                <c:pt idx="4">
                  <c:v>27377.498</c:v>
                </c:pt>
              </c:numCache>
            </c:numRef>
          </c:val>
          <c:smooth val="0"/>
          <c:extLst>
            <c:ext xmlns:c16="http://schemas.microsoft.com/office/drawing/2014/chart" uri="{C3380CC4-5D6E-409C-BE32-E72D297353CC}">
              <c16:uniqueId val="{00000001-8011-4D26-AFA3-F88AA506ECC5}"/>
            </c:ext>
          </c:extLst>
        </c:ser>
        <c:ser>
          <c:idx val="0"/>
          <c:order val="2"/>
          <c:tx>
            <c:strRef>
              <c:f>'Chart 5.2'!$A$11</c:f>
              <c:strCache>
                <c:ptCount val="1"/>
                <c:pt idx="0">
                  <c:v>Capital Financing Requirement</c:v>
                </c:pt>
              </c:strCache>
            </c:strRef>
          </c:tx>
          <c:spPr>
            <a:ln w="28575" cap="rnd">
              <a:solidFill>
                <a:srgbClr val="A8BEDC"/>
              </a:solidFill>
              <a:prstDash val="solid"/>
              <a:round/>
            </a:ln>
            <a:effectLst/>
          </c:spPr>
          <c:marker>
            <c:symbol val="square"/>
            <c:size val="10"/>
            <c:spPr>
              <a:solidFill>
                <a:schemeClr val="accent1">
                  <a:lumMod val="40000"/>
                  <a:lumOff val="60000"/>
                </a:schemeClr>
              </a:solidFill>
              <a:ln w="9525">
                <a:solidFill>
                  <a:srgbClr val="B5C8E1"/>
                </a:solidFill>
              </a:ln>
              <a:effectLst/>
            </c:spPr>
          </c:marker>
          <c:cat>
            <c:numRef>
              <c:f>'Chart 5.2'!$B$8:$F$8</c:f>
              <c:numCache>
                <c:formatCode>d\-mmm\-yy</c:formatCode>
                <c:ptCount val="5"/>
                <c:pt idx="0">
                  <c:v>44286</c:v>
                </c:pt>
                <c:pt idx="1">
                  <c:v>44651</c:v>
                </c:pt>
                <c:pt idx="2">
                  <c:v>45016</c:v>
                </c:pt>
                <c:pt idx="3">
                  <c:v>45382</c:v>
                </c:pt>
                <c:pt idx="4">
                  <c:v>45747</c:v>
                </c:pt>
              </c:numCache>
            </c:numRef>
          </c:cat>
          <c:val>
            <c:numRef>
              <c:f>'Chart 5.2'!$B$11:$F$11</c:f>
              <c:numCache>
                <c:formatCode>#,##0</c:formatCode>
                <c:ptCount val="5"/>
                <c:pt idx="0">
                  <c:v>19774.830999999998</c:v>
                </c:pt>
                <c:pt idx="1">
                  <c:v>20706.785</c:v>
                </c:pt>
                <c:pt idx="2">
                  <c:v>22456.203000000001</c:v>
                </c:pt>
                <c:pt idx="3">
                  <c:v>24247.456999999999</c:v>
                </c:pt>
                <c:pt idx="4">
                  <c:v>26667.602999999999</c:v>
                </c:pt>
              </c:numCache>
            </c:numRef>
          </c:val>
          <c:smooth val="0"/>
          <c:extLst>
            <c:ext xmlns:c16="http://schemas.microsoft.com/office/drawing/2014/chart" uri="{C3380CC4-5D6E-409C-BE32-E72D297353CC}">
              <c16:uniqueId val="{00000002-8011-4D26-AFA3-F88AA506ECC5}"/>
            </c:ext>
          </c:extLst>
        </c:ser>
        <c:ser>
          <c:idx val="1"/>
          <c:order val="3"/>
          <c:tx>
            <c:strRef>
              <c:f>'Chart 5.2'!$A$12</c:f>
              <c:strCache>
                <c:ptCount val="1"/>
                <c:pt idx="0">
                  <c:v>Total External Debt</c:v>
                </c:pt>
              </c:strCache>
            </c:strRef>
          </c:tx>
          <c:spPr>
            <a:ln w="28575" cap="rnd">
              <a:solidFill>
                <a:srgbClr val="A8BEDC"/>
              </a:solidFill>
              <a:prstDash val="dash"/>
              <a:round/>
            </a:ln>
            <a:effectLst/>
          </c:spPr>
          <c:marker>
            <c:symbol val="triangle"/>
            <c:size val="10"/>
            <c:spPr>
              <a:solidFill>
                <a:srgbClr val="ABC0DD"/>
              </a:solidFill>
              <a:ln w="9525">
                <a:solidFill>
                  <a:srgbClr val="A8BEDC"/>
                </a:solidFill>
              </a:ln>
              <a:effectLst/>
            </c:spPr>
          </c:marker>
          <c:cat>
            <c:numRef>
              <c:f>'Chart 5.2'!$B$8:$F$8</c:f>
              <c:numCache>
                <c:formatCode>d\-mmm\-yy</c:formatCode>
                <c:ptCount val="5"/>
                <c:pt idx="0">
                  <c:v>44286</c:v>
                </c:pt>
                <c:pt idx="1">
                  <c:v>44651</c:v>
                </c:pt>
                <c:pt idx="2">
                  <c:v>45016</c:v>
                </c:pt>
                <c:pt idx="3">
                  <c:v>45382</c:v>
                </c:pt>
                <c:pt idx="4">
                  <c:v>45747</c:v>
                </c:pt>
              </c:numCache>
            </c:numRef>
          </c:cat>
          <c:val>
            <c:numRef>
              <c:f>'Chart 5.2'!$B$12:$F$12</c:f>
              <c:numCache>
                <c:formatCode>#,##0</c:formatCode>
                <c:ptCount val="5"/>
                <c:pt idx="0">
                  <c:v>18465.128000000001</c:v>
                </c:pt>
                <c:pt idx="1">
                  <c:v>18684.05</c:v>
                </c:pt>
                <c:pt idx="2">
                  <c:v>19050.501</c:v>
                </c:pt>
                <c:pt idx="3">
                  <c:v>20730.519</c:v>
                </c:pt>
                <c:pt idx="4">
                  <c:v>23448.43</c:v>
                </c:pt>
              </c:numCache>
            </c:numRef>
          </c:val>
          <c:smooth val="0"/>
          <c:extLst>
            <c:ext xmlns:c16="http://schemas.microsoft.com/office/drawing/2014/chart" uri="{C3380CC4-5D6E-409C-BE32-E72D297353CC}">
              <c16:uniqueId val="{00000003-8011-4D26-AFA3-F88AA506ECC5}"/>
            </c:ext>
          </c:extLst>
        </c:ser>
        <c:dLbls>
          <c:showLegendKey val="0"/>
          <c:showVal val="0"/>
          <c:showCatName val="0"/>
          <c:showSerName val="0"/>
          <c:showPercent val="0"/>
          <c:showBubbleSize val="0"/>
        </c:dLbls>
        <c:smooth val="0"/>
        <c:axId val="913600128"/>
        <c:axId val="913601112"/>
      </c:lineChart>
      <c:dateAx>
        <c:axId val="913600128"/>
        <c:scaling>
          <c:orientation val="minMax"/>
        </c:scaling>
        <c:delete val="0"/>
        <c:axPos val="b"/>
        <c:numFmt formatCode="mmmm\ \'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913601112"/>
        <c:crosses val="autoZero"/>
        <c:auto val="1"/>
        <c:lblOffset val="100"/>
        <c:baseTimeUnit val="months"/>
        <c:majorUnit val="12"/>
        <c:majorTimeUnit val="months"/>
      </c:dateAx>
      <c:valAx>
        <c:axId val="913601112"/>
        <c:scaling>
          <c:orientation val="minMax"/>
        </c:scaling>
        <c:delete val="0"/>
        <c:axPos val="l"/>
        <c:majorGridlines>
          <c:spPr>
            <a:ln w="9525" cap="flat" cmpd="sng" algn="ctr">
              <a:solidFill>
                <a:schemeClr val="bg1">
                  <a:lumMod val="95000"/>
                </a:schemeClr>
              </a:solidFill>
              <a:round/>
            </a:ln>
            <a:effectLst/>
          </c:spPr>
        </c:majorGridlines>
        <c:numFmt formatCode="&quot;£&quot;#,##0&quot;m&quot;"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913600128"/>
        <c:crosses val="autoZero"/>
        <c:crossBetween val="midCat"/>
      </c:valAx>
      <c:spPr>
        <a:noFill/>
        <a:ln>
          <a:noFill/>
        </a:ln>
        <a:effectLst/>
      </c:spPr>
    </c:plotArea>
    <c:legend>
      <c:legendPos val="b"/>
      <c:layout>
        <c:manualLayout>
          <c:xMode val="edge"/>
          <c:yMode val="edge"/>
          <c:x val="0.36151637221400329"/>
          <c:y val="0.49607450075451975"/>
          <c:w val="0.54073150463385644"/>
          <c:h val="0.2836473395371033"/>
        </c:manualLayout>
      </c:layout>
      <c:overlay val="0"/>
      <c:spPr>
        <a:solidFill>
          <a:schemeClr val="bg1"/>
        </a:solidFill>
        <a:ln>
          <a:solidFill>
            <a:schemeClr val="bg1">
              <a:lumMod val="95000"/>
            </a:schemeClr>
          </a:solidFill>
        </a:ln>
        <a:effectLst/>
      </c:spPr>
      <c:txPr>
        <a:bodyPr rot="0" spcFirstLastPara="1" vertOverflow="ellipsis" vert="horz" wrap="square" anchor="ctr" anchorCtr="1"/>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sz="1200" baseline="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'Chart 6.1'!$B$6</c:f>
              <c:strCache>
                <c:ptCount val="1"/>
                <c:pt idx="0">
                  <c:v>Closing Net Assets</c:v>
                </c:pt>
              </c:strCache>
            </c:strRef>
          </c:tx>
          <c:spPr>
            <a:ln w="28575" cap="rnd">
              <a:solidFill>
                <a:srgbClr val="2C486E"/>
              </a:solidFill>
              <a:round/>
            </a:ln>
            <a:effectLst/>
          </c:spPr>
          <c:marker>
            <c:symbol val="none"/>
          </c:marker>
          <c:cat>
            <c:numRef>
              <c:f>'Chart 6.1'!$A$7:$A$11</c:f>
              <c:numCache>
                <c:formatCode>[$-F800]dddd\,\ mmmm\ dd\,\ yyyy</c:formatCode>
                <c:ptCount val="5"/>
                <c:pt idx="0">
                  <c:v>44286</c:v>
                </c:pt>
                <c:pt idx="1">
                  <c:v>44651</c:v>
                </c:pt>
                <c:pt idx="2">
                  <c:v>45016</c:v>
                </c:pt>
                <c:pt idx="3">
                  <c:v>45382</c:v>
                </c:pt>
                <c:pt idx="4">
                  <c:v>45747</c:v>
                </c:pt>
              </c:numCache>
            </c:numRef>
          </c:cat>
          <c:val>
            <c:numRef>
              <c:f>'Chart 6.1'!$B$7:$B$11</c:f>
              <c:numCache>
                <c:formatCode>#,##0</c:formatCode>
                <c:ptCount val="5"/>
                <c:pt idx="0">
                  <c:v>57653.6085805361</c:v>
                </c:pt>
                <c:pt idx="1">
                  <c:v>61826.292731716101</c:v>
                </c:pt>
                <c:pt idx="2">
                  <c:v>60363.1514256261</c:v>
                </c:pt>
                <c:pt idx="3">
                  <c:v>65775.098121258896</c:v>
                </c:pt>
                <c:pt idx="4">
                  <c:v>67084.551314688899</c:v>
                </c:pt>
              </c:numCache>
            </c:numRef>
          </c:val>
          <c:smooth val="0"/>
          <c:extLst>
            <c:ext xmlns:c16="http://schemas.microsoft.com/office/drawing/2014/chart" uri="{C3380CC4-5D6E-409C-BE32-E72D297353CC}">
              <c16:uniqueId val="{00000000-C17C-4AE5-8E04-BB85C50C7FAF}"/>
            </c:ext>
          </c:extLst>
        </c:ser>
        <c:dLbls>
          <c:showLegendKey val="0"/>
          <c:showVal val="0"/>
          <c:showCatName val="0"/>
          <c:showSerName val="0"/>
          <c:showPercent val="0"/>
          <c:showBubbleSize val="0"/>
        </c:dLbls>
        <c:smooth val="0"/>
        <c:axId val="1058708544"/>
        <c:axId val="1058702312"/>
      </c:lineChart>
      <c:dateAx>
        <c:axId val="1058708544"/>
        <c:scaling>
          <c:orientation val="minMax"/>
        </c:scaling>
        <c:delete val="0"/>
        <c:axPos val="b"/>
        <c:numFmt formatCode="mmm\ \'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058702312"/>
        <c:crosses val="autoZero"/>
        <c:auto val="1"/>
        <c:lblOffset val="100"/>
        <c:baseTimeUnit val="months"/>
        <c:majorUnit val="12"/>
        <c:majorTimeUnit val="months"/>
      </c:dateAx>
      <c:valAx>
        <c:axId val="1058702312"/>
        <c:scaling>
          <c:orientation val="minMax"/>
          <c:max val="80000"/>
          <c:min val="0"/>
        </c:scaling>
        <c:delete val="0"/>
        <c:axPos val="l"/>
        <c:majorGridlines>
          <c:spPr>
            <a:ln w="9525" cap="flat" cmpd="sng" algn="ctr">
              <a:solidFill>
                <a:schemeClr val="bg1">
                  <a:lumMod val="95000"/>
                </a:schemeClr>
              </a:solidFill>
              <a:round/>
            </a:ln>
            <a:effectLst/>
          </c:spPr>
        </c:majorGridlines>
        <c:numFmt formatCode="&quot;£&quot;#,##0&quot;m&quot;"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058708544"/>
        <c:crosses val="autoZero"/>
        <c:crossBetween val="midCat"/>
        <c:majorUnit val="20000"/>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200" baseline="0"/>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manualLayout>
          <c:layoutTarget val="inner"/>
          <c:xMode val="edge"/>
          <c:yMode val="edge"/>
          <c:x val="0.15913534105614716"/>
          <c:y val="8.2976272261269357E-2"/>
          <c:w val="0.77586436371928158"/>
          <c:h val="0.82625752317873002"/>
        </c:manualLayout>
      </c:layout>
      <c:barChart>
        <c:barDir val="bar"/>
        <c:grouping val="stacked"/>
        <c:varyColors val="0"/>
        <c:ser>
          <c:idx val="0"/>
          <c:order val="0"/>
          <c:tx>
            <c:strRef>
              <c:f>'Chart 6.2'!$A$7</c:f>
              <c:strCache>
                <c:ptCount val="1"/>
                <c:pt idx="0">
                  <c:v>Active</c:v>
                </c:pt>
              </c:strCache>
            </c:strRef>
          </c:tx>
          <c:spPr>
            <a:solidFill>
              <a:srgbClr val="2C486E"/>
            </a:solidFill>
            <a:ln>
              <a:solidFill>
                <a:srgbClr val="2C486E"/>
              </a:solidFill>
            </a:ln>
            <a:effectLst/>
          </c:spPr>
          <c:invertIfNegative val="0"/>
          <c:cat>
            <c:strRef>
              <c:f>'Chart 6.2'!$B$6:$F$6</c:f>
              <c:strCache>
                <c:ptCount val="5"/>
                <c:pt idx="0">
                  <c:v>31-Mar-21</c:v>
                </c:pt>
                <c:pt idx="1">
                  <c:v>31-Mar-22</c:v>
                </c:pt>
                <c:pt idx="2">
                  <c:v>31-Mar-23</c:v>
                </c:pt>
                <c:pt idx="3">
                  <c:v>31-Mar-24</c:v>
                </c:pt>
                <c:pt idx="4">
                  <c:v>31-Mar-25</c:v>
                </c:pt>
              </c:strCache>
            </c:strRef>
          </c:cat>
          <c:val>
            <c:numRef>
              <c:f>'Chart 6.2'!$B$7:$F$7</c:f>
              <c:numCache>
                <c:formatCode>#,##0</c:formatCode>
                <c:ptCount val="5"/>
                <c:pt idx="0">
                  <c:v>251322</c:v>
                </c:pt>
                <c:pt idx="1">
                  <c:v>256624</c:v>
                </c:pt>
                <c:pt idx="2">
                  <c:v>262108</c:v>
                </c:pt>
                <c:pt idx="3">
                  <c:v>263293</c:v>
                </c:pt>
                <c:pt idx="4">
                  <c:v>258980</c:v>
                </c:pt>
              </c:numCache>
            </c:numRef>
          </c:val>
          <c:extLst>
            <c:ext xmlns:c16="http://schemas.microsoft.com/office/drawing/2014/chart" uri="{C3380CC4-5D6E-409C-BE32-E72D297353CC}">
              <c16:uniqueId val="{00000000-E2EA-4819-B259-94B3058EB711}"/>
            </c:ext>
          </c:extLst>
        </c:ser>
        <c:ser>
          <c:idx val="1"/>
          <c:order val="1"/>
          <c:tx>
            <c:strRef>
              <c:f>'Chart 6.2'!$A$8</c:f>
              <c:strCache>
                <c:ptCount val="1"/>
                <c:pt idx="0">
                  <c:v>Deferred</c:v>
                </c:pt>
              </c:strCache>
            </c:strRef>
          </c:tx>
          <c:spPr>
            <a:solidFill>
              <a:srgbClr val="4774B1"/>
            </a:solidFill>
            <a:ln>
              <a:solidFill>
                <a:srgbClr val="2C486E"/>
              </a:solidFill>
            </a:ln>
            <a:effectLst/>
          </c:spPr>
          <c:invertIfNegative val="0"/>
          <c:cat>
            <c:strRef>
              <c:f>'Chart 6.2'!$B$6:$F$6</c:f>
              <c:strCache>
                <c:ptCount val="5"/>
                <c:pt idx="0">
                  <c:v>31-Mar-21</c:v>
                </c:pt>
                <c:pt idx="1">
                  <c:v>31-Mar-22</c:v>
                </c:pt>
                <c:pt idx="2">
                  <c:v>31-Mar-23</c:v>
                </c:pt>
                <c:pt idx="3">
                  <c:v>31-Mar-24</c:v>
                </c:pt>
                <c:pt idx="4">
                  <c:v>31-Mar-25</c:v>
                </c:pt>
              </c:strCache>
            </c:strRef>
          </c:cat>
          <c:val>
            <c:numRef>
              <c:f>'Chart 6.2'!$B$8:$F$8</c:f>
              <c:numCache>
                <c:formatCode>#,##0</c:formatCode>
                <c:ptCount val="5"/>
                <c:pt idx="0">
                  <c:v>154938</c:v>
                </c:pt>
                <c:pt idx="1">
                  <c:v>159079</c:v>
                </c:pt>
                <c:pt idx="2">
                  <c:v>167260</c:v>
                </c:pt>
                <c:pt idx="3">
                  <c:v>173772</c:v>
                </c:pt>
                <c:pt idx="4">
                  <c:v>179078</c:v>
                </c:pt>
              </c:numCache>
            </c:numRef>
          </c:val>
          <c:extLst>
            <c:ext xmlns:c16="http://schemas.microsoft.com/office/drawing/2014/chart" uri="{C3380CC4-5D6E-409C-BE32-E72D297353CC}">
              <c16:uniqueId val="{00000001-E2EA-4819-B259-94B3058EB711}"/>
            </c:ext>
          </c:extLst>
        </c:ser>
        <c:ser>
          <c:idx val="2"/>
          <c:order val="2"/>
          <c:tx>
            <c:strRef>
              <c:f>'Chart 6.2'!$A$9</c:f>
              <c:strCache>
                <c:ptCount val="1"/>
                <c:pt idx="0">
                  <c:v>Retired pensioners</c:v>
                </c:pt>
              </c:strCache>
            </c:strRef>
          </c:tx>
          <c:spPr>
            <a:solidFill>
              <a:srgbClr val="A0B8D8"/>
            </a:solidFill>
            <a:ln>
              <a:solidFill>
                <a:srgbClr val="2C486E"/>
              </a:solidFill>
            </a:ln>
            <a:effectLst/>
          </c:spPr>
          <c:invertIfNegative val="0"/>
          <c:cat>
            <c:strRef>
              <c:f>'Chart 6.2'!$B$6:$F$6</c:f>
              <c:strCache>
                <c:ptCount val="5"/>
                <c:pt idx="0">
                  <c:v>31-Mar-21</c:v>
                </c:pt>
                <c:pt idx="1">
                  <c:v>31-Mar-22</c:v>
                </c:pt>
                <c:pt idx="2">
                  <c:v>31-Mar-23</c:v>
                </c:pt>
                <c:pt idx="3">
                  <c:v>31-Mar-24</c:v>
                </c:pt>
                <c:pt idx="4">
                  <c:v>31-Mar-25</c:v>
                </c:pt>
              </c:strCache>
            </c:strRef>
          </c:cat>
          <c:val>
            <c:numRef>
              <c:f>'Chart 6.2'!$B$9:$F$9</c:f>
              <c:numCache>
                <c:formatCode>#,##0</c:formatCode>
                <c:ptCount val="5"/>
                <c:pt idx="0">
                  <c:v>177511</c:v>
                </c:pt>
                <c:pt idx="1">
                  <c:v>185463</c:v>
                </c:pt>
                <c:pt idx="2">
                  <c:v>192721</c:v>
                </c:pt>
                <c:pt idx="3">
                  <c:v>201709</c:v>
                </c:pt>
                <c:pt idx="4">
                  <c:v>211196</c:v>
                </c:pt>
              </c:numCache>
            </c:numRef>
          </c:val>
          <c:extLst>
            <c:ext xmlns:c16="http://schemas.microsoft.com/office/drawing/2014/chart" uri="{C3380CC4-5D6E-409C-BE32-E72D297353CC}">
              <c16:uniqueId val="{00000002-E2EA-4819-B259-94B3058EB711}"/>
            </c:ext>
          </c:extLst>
        </c:ser>
        <c:ser>
          <c:idx val="3"/>
          <c:order val="3"/>
          <c:tx>
            <c:strRef>
              <c:f>'Chart 6.2'!$A$10</c:f>
              <c:strCache>
                <c:ptCount val="1"/>
                <c:pt idx="0">
                  <c:v>Pensioners' dependents</c:v>
                </c:pt>
              </c:strCache>
            </c:strRef>
          </c:tx>
          <c:spPr>
            <a:solidFill>
              <a:srgbClr val="DDE5F1"/>
            </a:solidFill>
            <a:ln>
              <a:solidFill>
                <a:srgbClr val="2C486E"/>
              </a:solidFill>
            </a:ln>
            <a:effectLst/>
          </c:spPr>
          <c:invertIfNegative val="0"/>
          <c:cat>
            <c:strRef>
              <c:f>'Chart 6.2'!$B$6:$F$6</c:f>
              <c:strCache>
                <c:ptCount val="5"/>
                <c:pt idx="0">
                  <c:v>31-Mar-21</c:v>
                </c:pt>
                <c:pt idx="1">
                  <c:v>31-Mar-22</c:v>
                </c:pt>
                <c:pt idx="2">
                  <c:v>31-Mar-23</c:v>
                </c:pt>
                <c:pt idx="3">
                  <c:v>31-Mar-24</c:v>
                </c:pt>
                <c:pt idx="4">
                  <c:v>31-Mar-25</c:v>
                </c:pt>
              </c:strCache>
            </c:strRef>
          </c:cat>
          <c:val>
            <c:numRef>
              <c:f>'Chart 6.2'!$B$10:$F$10</c:f>
              <c:numCache>
                <c:formatCode>#,##0</c:formatCode>
                <c:ptCount val="5"/>
                <c:pt idx="0">
                  <c:v>29424</c:v>
                </c:pt>
                <c:pt idx="1">
                  <c:v>30118</c:v>
                </c:pt>
                <c:pt idx="2">
                  <c:v>30664</c:v>
                </c:pt>
                <c:pt idx="3">
                  <c:v>31277</c:v>
                </c:pt>
                <c:pt idx="4">
                  <c:v>31920</c:v>
                </c:pt>
              </c:numCache>
            </c:numRef>
          </c:val>
          <c:extLst>
            <c:ext xmlns:c16="http://schemas.microsoft.com/office/drawing/2014/chart" uri="{C3380CC4-5D6E-409C-BE32-E72D297353CC}">
              <c16:uniqueId val="{00000003-E2EA-4819-B259-94B3058EB711}"/>
            </c:ext>
          </c:extLst>
        </c:ser>
        <c:dLbls>
          <c:showLegendKey val="0"/>
          <c:showVal val="0"/>
          <c:showCatName val="0"/>
          <c:showSerName val="0"/>
          <c:showPercent val="0"/>
          <c:showBubbleSize val="0"/>
        </c:dLbls>
        <c:gapWidth val="40"/>
        <c:overlap val="100"/>
        <c:axId val="1058705920"/>
        <c:axId val="1058700672"/>
      </c:barChart>
      <c:catAx>
        <c:axId val="105870592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058700672"/>
        <c:crosses val="autoZero"/>
        <c:auto val="1"/>
        <c:lblAlgn val="ctr"/>
        <c:lblOffset val="100"/>
        <c:noMultiLvlLbl val="0"/>
      </c:catAx>
      <c:valAx>
        <c:axId val="1058700672"/>
        <c:scaling>
          <c:orientation val="minMax"/>
          <c:max val="800000"/>
        </c:scaling>
        <c:delete val="0"/>
        <c:axPos val="t"/>
        <c:majorGridlines>
          <c:spPr>
            <a:ln w="9525" cap="flat" cmpd="sng" algn="ctr">
              <a:solidFill>
                <a:schemeClr val="bg1">
                  <a:lumMod val="9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058705920"/>
        <c:crosses val="autoZero"/>
        <c:crossBetween val="between"/>
      </c:valAx>
      <c:spPr>
        <a:noFill/>
        <a:ln>
          <a:noFill/>
        </a:ln>
        <a:effectLst/>
      </c:spPr>
    </c:plotArea>
    <c:legend>
      <c:legendPos val="b"/>
      <c:layout>
        <c:manualLayout>
          <c:xMode val="edge"/>
          <c:yMode val="edge"/>
          <c:x val="8.5710038285093618E-2"/>
          <c:y val="0.92730962320985044"/>
          <c:w val="0.89999993149307755"/>
          <c:h val="5.7497108163492995E-2"/>
        </c:manualLayout>
      </c:layout>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sz="1200" baseline="0"/>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140483701366982"/>
          <c:y val="3.4778683299160909E-2"/>
          <c:w val="0.8465040308447247"/>
          <c:h val="0.89380841617992512"/>
        </c:manualLayout>
      </c:layout>
      <c:lineChart>
        <c:grouping val="standard"/>
        <c:varyColors val="0"/>
        <c:ser>
          <c:idx val="0"/>
          <c:order val="0"/>
          <c:tx>
            <c:v>Employee Contributions</c:v>
          </c:tx>
          <c:spPr>
            <a:ln w="28575" cap="rnd">
              <a:solidFill>
                <a:srgbClr val="2C486E"/>
              </a:solidFill>
              <a:prstDash val="dash"/>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0-AFCA-4B68-9681-82C1A3AD91C5}"/>
                </c:ext>
              </c:extLst>
            </c:dLbl>
            <c:dLbl>
              <c:idx val="1"/>
              <c:delete val="1"/>
              <c:extLst>
                <c:ext xmlns:c15="http://schemas.microsoft.com/office/drawing/2012/chart" uri="{CE6537A1-D6FC-4f65-9D91-7224C49458BB}"/>
                <c:ext xmlns:c16="http://schemas.microsoft.com/office/drawing/2014/chart" uri="{C3380CC4-5D6E-409C-BE32-E72D297353CC}">
                  <c16:uniqueId val="{00000001-AFCA-4B68-9681-82C1A3AD91C5}"/>
                </c:ext>
              </c:extLst>
            </c:dLbl>
            <c:dLbl>
              <c:idx val="2"/>
              <c:delete val="1"/>
              <c:extLst>
                <c:ext xmlns:c15="http://schemas.microsoft.com/office/drawing/2012/chart" uri="{CE6537A1-D6FC-4f65-9D91-7224C49458BB}"/>
                <c:ext xmlns:c16="http://schemas.microsoft.com/office/drawing/2014/chart" uri="{C3380CC4-5D6E-409C-BE32-E72D297353CC}">
                  <c16:uniqueId val="{00000002-AFCA-4B68-9681-82C1A3AD91C5}"/>
                </c:ext>
              </c:extLst>
            </c:dLbl>
            <c:dLbl>
              <c:idx val="3"/>
              <c:delete val="1"/>
              <c:extLst>
                <c:ext xmlns:c15="http://schemas.microsoft.com/office/drawing/2012/chart" uri="{CE6537A1-D6FC-4f65-9D91-7224C49458BB}"/>
                <c:ext xmlns:c16="http://schemas.microsoft.com/office/drawing/2014/chart" uri="{C3380CC4-5D6E-409C-BE32-E72D297353CC}">
                  <c16:uniqueId val="{00000003-AFCA-4B68-9681-82C1A3AD91C5}"/>
                </c:ext>
              </c:extLst>
            </c:dLbl>
            <c:dLbl>
              <c:idx val="4"/>
              <c:layout>
                <c:manualLayout>
                  <c:x val="-2.972809323519111E-2"/>
                  <c:y val="-5.9155510375207478E-2"/>
                </c:manualLayout>
              </c:layout>
              <c:showLegendKey val="0"/>
              <c:showVal val="0"/>
              <c:showCatName val="0"/>
              <c:showSerName val="1"/>
              <c:showPercent val="0"/>
              <c:showBubbleSize val="0"/>
              <c:extLst>
                <c:ext xmlns:c15="http://schemas.microsoft.com/office/drawing/2012/chart" uri="{CE6537A1-D6FC-4f65-9D91-7224C49458BB}">
                  <c15:layout>
                    <c:manualLayout>
                      <c:w val="0.30198348788610374"/>
                      <c:h val="7.5656713589138322E-2"/>
                    </c:manualLayout>
                  </c15:layout>
                </c:ext>
                <c:ext xmlns:c16="http://schemas.microsoft.com/office/drawing/2014/chart" uri="{C3380CC4-5D6E-409C-BE32-E72D297353CC}">
                  <c16:uniqueId val="{00000004-AFCA-4B68-9681-82C1A3AD91C5}"/>
                </c:ext>
              </c:extLst>
            </c:dLbl>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strRef>
              <c:f>'Chart 6.3'!$B$7:$F$7</c:f>
              <c:strCache>
                <c:ptCount val="5"/>
                <c:pt idx="0">
                  <c:v>2020-21</c:v>
                </c:pt>
                <c:pt idx="1">
                  <c:v>2021-22</c:v>
                </c:pt>
                <c:pt idx="2">
                  <c:v>2022-23</c:v>
                </c:pt>
                <c:pt idx="3">
                  <c:v>2023-24</c:v>
                </c:pt>
                <c:pt idx="4">
                  <c:v>2024-25</c:v>
                </c:pt>
              </c:strCache>
            </c:strRef>
          </c:cat>
          <c:val>
            <c:numRef>
              <c:f>'Chart 6.3'!$B$8:$F$8</c:f>
              <c:numCache>
                <c:formatCode>#,##0</c:formatCode>
                <c:ptCount val="5"/>
                <c:pt idx="0">
                  <c:v>335.46557984999998</c:v>
                </c:pt>
                <c:pt idx="1">
                  <c:v>354.75398018999999</c:v>
                </c:pt>
                <c:pt idx="2">
                  <c:v>379.40800000000002</c:v>
                </c:pt>
                <c:pt idx="3">
                  <c:v>413.33531069999998</c:v>
                </c:pt>
                <c:pt idx="4">
                  <c:v>419.07389535999999</c:v>
                </c:pt>
              </c:numCache>
            </c:numRef>
          </c:val>
          <c:smooth val="0"/>
          <c:extLst>
            <c:ext xmlns:c16="http://schemas.microsoft.com/office/drawing/2014/chart" uri="{C3380CC4-5D6E-409C-BE32-E72D297353CC}">
              <c16:uniqueId val="{00000005-AFCA-4B68-9681-82C1A3AD91C5}"/>
            </c:ext>
          </c:extLst>
        </c:ser>
        <c:ser>
          <c:idx val="1"/>
          <c:order val="1"/>
          <c:tx>
            <c:v>Employer Contributions</c:v>
          </c:tx>
          <c:spPr>
            <a:ln w="28575" cap="rnd">
              <a:solidFill>
                <a:srgbClr val="2C486E"/>
              </a:solidFill>
              <a:prstDash val="solid"/>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6-AFCA-4B68-9681-82C1A3AD91C5}"/>
                </c:ext>
              </c:extLst>
            </c:dLbl>
            <c:dLbl>
              <c:idx val="1"/>
              <c:delete val="1"/>
              <c:extLst>
                <c:ext xmlns:c15="http://schemas.microsoft.com/office/drawing/2012/chart" uri="{CE6537A1-D6FC-4f65-9D91-7224C49458BB}"/>
                <c:ext xmlns:c16="http://schemas.microsoft.com/office/drawing/2014/chart" uri="{C3380CC4-5D6E-409C-BE32-E72D297353CC}">
                  <c16:uniqueId val="{00000007-AFCA-4B68-9681-82C1A3AD91C5}"/>
                </c:ext>
              </c:extLst>
            </c:dLbl>
            <c:dLbl>
              <c:idx val="2"/>
              <c:delete val="1"/>
              <c:extLst>
                <c:ext xmlns:c15="http://schemas.microsoft.com/office/drawing/2012/chart" uri="{CE6537A1-D6FC-4f65-9D91-7224C49458BB}"/>
                <c:ext xmlns:c16="http://schemas.microsoft.com/office/drawing/2014/chart" uri="{C3380CC4-5D6E-409C-BE32-E72D297353CC}">
                  <c16:uniqueId val="{00000008-AFCA-4B68-9681-82C1A3AD91C5}"/>
                </c:ext>
              </c:extLst>
            </c:dLbl>
            <c:dLbl>
              <c:idx val="3"/>
              <c:delete val="1"/>
              <c:extLst>
                <c:ext xmlns:c15="http://schemas.microsoft.com/office/drawing/2012/chart" uri="{CE6537A1-D6FC-4f65-9D91-7224C49458BB}"/>
                <c:ext xmlns:c16="http://schemas.microsoft.com/office/drawing/2014/chart" uri="{C3380CC4-5D6E-409C-BE32-E72D297353CC}">
                  <c16:uniqueId val="{00000009-AFCA-4B68-9681-82C1A3AD91C5}"/>
                </c:ext>
              </c:extLst>
            </c:dLbl>
            <c:dLbl>
              <c:idx val="4"/>
              <c:layout>
                <c:manualLayout>
                  <c:x val="-0.17535528597940941"/>
                  <c:y val="-2.4271815067904129E-2"/>
                </c:manualLayout>
              </c:layout>
              <c:showLegendKey val="0"/>
              <c:showVal val="0"/>
              <c:showCatName val="0"/>
              <c:showSerName val="1"/>
              <c:showPercent val="0"/>
              <c:showBubbleSize val="0"/>
              <c:extLst>
                <c:ext xmlns:c15="http://schemas.microsoft.com/office/drawing/2012/chart" uri="{CE6537A1-D6FC-4f65-9D91-7224C49458BB}">
                  <c15:layout>
                    <c:manualLayout>
                      <c:w val="0.29108622278686691"/>
                      <c:h val="8.8110638248993498E-2"/>
                    </c:manualLayout>
                  </c15:layout>
                </c:ext>
                <c:ext xmlns:c16="http://schemas.microsoft.com/office/drawing/2014/chart" uri="{C3380CC4-5D6E-409C-BE32-E72D297353CC}">
                  <c16:uniqueId val="{0000000A-AFCA-4B68-9681-82C1A3AD91C5}"/>
                </c:ext>
              </c:extLst>
            </c:dLbl>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strRef>
              <c:f>'Chart 6.3'!$B$7:$F$7</c:f>
              <c:strCache>
                <c:ptCount val="5"/>
                <c:pt idx="0">
                  <c:v>2020-21</c:v>
                </c:pt>
                <c:pt idx="1">
                  <c:v>2021-22</c:v>
                </c:pt>
                <c:pt idx="2">
                  <c:v>2022-23</c:v>
                </c:pt>
                <c:pt idx="3">
                  <c:v>2023-24</c:v>
                </c:pt>
                <c:pt idx="4">
                  <c:v>2024-25</c:v>
                </c:pt>
              </c:strCache>
            </c:strRef>
          </c:cat>
          <c:val>
            <c:numRef>
              <c:f>'Chart 6.3'!$B$9:$F$9</c:f>
              <c:numCache>
                <c:formatCode>#,##0</c:formatCode>
                <c:ptCount val="5"/>
                <c:pt idx="0">
                  <c:v>1144.1794642499999</c:v>
                </c:pt>
                <c:pt idx="1">
                  <c:v>1212.09689409</c:v>
                </c:pt>
                <c:pt idx="2">
                  <c:v>1267.26523608</c:v>
                </c:pt>
                <c:pt idx="3">
                  <c:v>1398.62676588</c:v>
                </c:pt>
                <c:pt idx="4">
                  <c:v>933.84213439999996</c:v>
                </c:pt>
              </c:numCache>
            </c:numRef>
          </c:val>
          <c:smooth val="0"/>
          <c:extLst>
            <c:ext xmlns:c16="http://schemas.microsoft.com/office/drawing/2014/chart" uri="{C3380CC4-5D6E-409C-BE32-E72D297353CC}">
              <c16:uniqueId val="{0000000B-AFCA-4B68-9681-82C1A3AD91C5}"/>
            </c:ext>
          </c:extLst>
        </c:ser>
        <c:dLbls>
          <c:showLegendKey val="0"/>
          <c:showVal val="0"/>
          <c:showCatName val="0"/>
          <c:showSerName val="0"/>
          <c:showPercent val="0"/>
          <c:showBubbleSize val="0"/>
        </c:dLbls>
        <c:smooth val="0"/>
        <c:axId val="913600128"/>
        <c:axId val="913601112"/>
        <c:extLst/>
      </c:lineChart>
      <c:catAx>
        <c:axId val="913600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913601112"/>
        <c:crosses val="autoZero"/>
        <c:auto val="1"/>
        <c:lblAlgn val="ctr"/>
        <c:lblOffset val="100"/>
        <c:noMultiLvlLbl val="0"/>
      </c:catAx>
      <c:valAx>
        <c:axId val="913601112"/>
        <c:scaling>
          <c:orientation val="minMax"/>
        </c:scaling>
        <c:delete val="0"/>
        <c:axPos val="l"/>
        <c:majorGridlines>
          <c:spPr>
            <a:ln w="9525" cap="flat" cmpd="sng" algn="ctr">
              <a:solidFill>
                <a:schemeClr val="bg1">
                  <a:lumMod val="95000"/>
                </a:schemeClr>
              </a:solidFill>
              <a:round/>
            </a:ln>
            <a:effectLst/>
          </c:spPr>
        </c:majorGridlines>
        <c:numFmt formatCode="&quot;£&quot;#,##0&quot;m&quot;"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913600128"/>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200" baseline="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manualLayout>
          <c:layoutTarget val="inner"/>
          <c:xMode val="edge"/>
          <c:yMode val="edge"/>
          <c:x val="0.14140483701366982"/>
          <c:y val="3.5249504765490991E-2"/>
          <c:w val="0.84524079915878025"/>
          <c:h val="0.8920130304652808"/>
        </c:manualLayout>
      </c:layout>
      <c:lineChart>
        <c:grouping val="standard"/>
        <c:varyColors val="0"/>
        <c:ser>
          <c:idx val="0"/>
          <c:order val="0"/>
          <c:tx>
            <c:strRef>
              <c:f>'Chart 6.4'!$A$8</c:f>
              <c:strCache>
                <c:ptCount val="1"/>
                <c:pt idx="0">
                  <c:v>Pensions</c:v>
                </c:pt>
              </c:strCache>
            </c:strRef>
          </c:tx>
          <c:spPr>
            <a:ln w="28575" cap="rnd">
              <a:solidFill>
                <a:srgbClr val="2C486E"/>
              </a:solidFill>
              <a:prstDash val="solid"/>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0-0C73-4565-9CE1-1B822A9ADE37}"/>
                </c:ext>
              </c:extLst>
            </c:dLbl>
            <c:dLbl>
              <c:idx val="1"/>
              <c:delete val="1"/>
              <c:extLst>
                <c:ext xmlns:c15="http://schemas.microsoft.com/office/drawing/2012/chart" uri="{CE6537A1-D6FC-4f65-9D91-7224C49458BB}"/>
                <c:ext xmlns:c16="http://schemas.microsoft.com/office/drawing/2014/chart" uri="{C3380CC4-5D6E-409C-BE32-E72D297353CC}">
                  <c16:uniqueId val="{00000001-0C73-4565-9CE1-1B822A9ADE37}"/>
                </c:ext>
              </c:extLst>
            </c:dLbl>
            <c:dLbl>
              <c:idx val="2"/>
              <c:delete val="1"/>
              <c:extLst>
                <c:ext xmlns:c15="http://schemas.microsoft.com/office/drawing/2012/chart" uri="{CE6537A1-D6FC-4f65-9D91-7224C49458BB}"/>
                <c:ext xmlns:c16="http://schemas.microsoft.com/office/drawing/2014/chart" uri="{C3380CC4-5D6E-409C-BE32-E72D297353CC}">
                  <c16:uniqueId val="{00000002-0C73-4565-9CE1-1B822A9ADE37}"/>
                </c:ext>
              </c:extLst>
            </c:dLbl>
            <c:dLbl>
              <c:idx val="3"/>
              <c:delete val="1"/>
              <c:extLst>
                <c:ext xmlns:c15="http://schemas.microsoft.com/office/drawing/2012/chart" uri="{CE6537A1-D6FC-4f65-9D91-7224C49458BB}"/>
                <c:ext xmlns:c16="http://schemas.microsoft.com/office/drawing/2014/chart" uri="{C3380CC4-5D6E-409C-BE32-E72D297353CC}">
                  <c16:uniqueId val="{00000003-0C73-4565-9CE1-1B822A9ADE37}"/>
                </c:ext>
              </c:extLst>
            </c:dLbl>
            <c:dLbl>
              <c:idx val="4"/>
              <c:layout>
                <c:manualLayout>
                  <c:x val="-7.9685418857343149E-2"/>
                  <c:y val="5.5363590102802965E-2"/>
                </c:manualLayout>
              </c:layout>
              <c:tx>
                <c:rich>
                  <a:bodyPr/>
                  <a:lstStyle/>
                  <a:p>
                    <a:fld id="{2C7A362C-0840-45B8-817D-7BEB3CD46EF7}" type="SERIESNAME">
                      <a:rPr lang="en-US" sz="1100">
                        <a:latin typeface="Arial" panose="020B0604020202020204" pitchFamily="34" charset="0"/>
                        <a:cs typeface="Arial" panose="020B0604020202020204" pitchFamily="34" charset="0"/>
                      </a:rPr>
                      <a:pPr/>
                      <a:t>[SERIES NAME]</a:t>
                    </a:fld>
                    <a:endParaRPr lang="en-GB"/>
                  </a:p>
                </c:rich>
              </c:tx>
              <c:showLegendKey val="0"/>
              <c:showVal val="0"/>
              <c:showCatName val="0"/>
              <c:showSerName val="1"/>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0C73-4565-9CE1-1B822A9ADE37}"/>
                </c:ext>
              </c:extLst>
            </c:dLbl>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strRef>
              <c:f>'Chart 6.4'!$B$7:$F$7</c:f>
              <c:strCache>
                <c:ptCount val="5"/>
                <c:pt idx="0">
                  <c:v>2020-21</c:v>
                </c:pt>
                <c:pt idx="1">
                  <c:v>2021-22</c:v>
                </c:pt>
                <c:pt idx="2">
                  <c:v>2022-23</c:v>
                </c:pt>
                <c:pt idx="3">
                  <c:v>2023-24</c:v>
                </c:pt>
                <c:pt idx="4">
                  <c:v>2024-25</c:v>
                </c:pt>
              </c:strCache>
            </c:strRef>
          </c:cat>
          <c:val>
            <c:numRef>
              <c:f>'Chart 6.4'!$B$8:$F$8</c:f>
              <c:numCache>
                <c:formatCode>#,##0</c:formatCode>
                <c:ptCount val="5"/>
                <c:pt idx="0">
                  <c:v>1185.3910125899999</c:v>
                </c:pt>
                <c:pt idx="1">
                  <c:v>1215.5909999999999</c:v>
                </c:pt>
                <c:pt idx="2">
                  <c:v>1292.6489999999999</c:v>
                </c:pt>
                <c:pt idx="3">
                  <c:v>1438.46112911</c:v>
                </c:pt>
                <c:pt idx="4">
                  <c:v>1590.2929999999999</c:v>
                </c:pt>
              </c:numCache>
            </c:numRef>
          </c:val>
          <c:smooth val="0"/>
          <c:extLst>
            <c:ext xmlns:c16="http://schemas.microsoft.com/office/drawing/2014/chart" uri="{C3380CC4-5D6E-409C-BE32-E72D297353CC}">
              <c16:uniqueId val="{00000005-0C73-4565-9CE1-1B822A9ADE37}"/>
            </c:ext>
          </c:extLst>
        </c:ser>
        <c:ser>
          <c:idx val="1"/>
          <c:order val="1"/>
          <c:tx>
            <c:strRef>
              <c:f>'Chart 6.4'!$A$9</c:f>
              <c:strCache>
                <c:ptCount val="1"/>
                <c:pt idx="0">
                  <c:v>Lump Sums</c:v>
                </c:pt>
              </c:strCache>
            </c:strRef>
          </c:tx>
          <c:spPr>
            <a:ln w="28575" cap="rnd">
              <a:solidFill>
                <a:srgbClr val="002060"/>
              </a:solidFill>
              <a:prstDash val="dash"/>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6-0C73-4565-9CE1-1B822A9ADE37}"/>
                </c:ext>
              </c:extLst>
            </c:dLbl>
            <c:dLbl>
              <c:idx val="1"/>
              <c:delete val="1"/>
              <c:extLst>
                <c:ext xmlns:c15="http://schemas.microsoft.com/office/drawing/2012/chart" uri="{CE6537A1-D6FC-4f65-9D91-7224C49458BB}"/>
                <c:ext xmlns:c16="http://schemas.microsoft.com/office/drawing/2014/chart" uri="{C3380CC4-5D6E-409C-BE32-E72D297353CC}">
                  <c16:uniqueId val="{00000007-0C73-4565-9CE1-1B822A9ADE37}"/>
                </c:ext>
              </c:extLst>
            </c:dLbl>
            <c:dLbl>
              <c:idx val="2"/>
              <c:delete val="1"/>
              <c:extLst>
                <c:ext xmlns:c15="http://schemas.microsoft.com/office/drawing/2012/chart" uri="{CE6537A1-D6FC-4f65-9D91-7224C49458BB}"/>
                <c:ext xmlns:c16="http://schemas.microsoft.com/office/drawing/2014/chart" uri="{C3380CC4-5D6E-409C-BE32-E72D297353CC}">
                  <c16:uniqueId val="{00000008-0C73-4565-9CE1-1B822A9ADE37}"/>
                </c:ext>
              </c:extLst>
            </c:dLbl>
            <c:dLbl>
              <c:idx val="3"/>
              <c:delete val="1"/>
              <c:extLst>
                <c:ext xmlns:c15="http://schemas.microsoft.com/office/drawing/2012/chart" uri="{CE6537A1-D6FC-4f65-9D91-7224C49458BB}"/>
                <c:ext xmlns:c16="http://schemas.microsoft.com/office/drawing/2014/chart" uri="{C3380CC4-5D6E-409C-BE32-E72D297353CC}">
                  <c16:uniqueId val="{00000009-0C73-4565-9CE1-1B822A9ADE37}"/>
                </c:ext>
              </c:extLst>
            </c:dLbl>
            <c:dLbl>
              <c:idx val="4"/>
              <c:layout>
                <c:manualLayout>
                  <c:x val="-7.2260077111812121E-2"/>
                  <c:y val="-7.3464962721658048E-2"/>
                </c:manualLayout>
              </c:layou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A-0C73-4565-9CE1-1B822A9ADE37}"/>
                </c:ext>
              </c:extLst>
            </c:dLbl>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strRef>
              <c:f>'Chart 6.4'!$B$7:$F$7</c:f>
              <c:strCache>
                <c:ptCount val="5"/>
                <c:pt idx="0">
                  <c:v>2020-21</c:v>
                </c:pt>
                <c:pt idx="1">
                  <c:v>2021-22</c:v>
                </c:pt>
                <c:pt idx="2">
                  <c:v>2022-23</c:v>
                </c:pt>
                <c:pt idx="3">
                  <c:v>2023-24</c:v>
                </c:pt>
                <c:pt idx="4">
                  <c:v>2024-25</c:v>
                </c:pt>
              </c:strCache>
            </c:strRef>
          </c:cat>
          <c:val>
            <c:numRef>
              <c:f>'Chart 6.4'!$B$9:$F$9</c:f>
              <c:numCache>
                <c:formatCode>#,##0</c:formatCode>
                <c:ptCount val="5"/>
                <c:pt idx="0">
                  <c:v>300.59897171</c:v>
                </c:pt>
                <c:pt idx="1">
                  <c:v>350.60314786999999</c:v>
                </c:pt>
                <c:pt idx="2">
                  <c:v>372.69914394</c:v>
                </c:pt>
                <c:pt idx="3">
                  <c:v>446.53592166999999</c:v>
                </c:pt>
                <c:pt idx="4">
                  <c:v>514.19852118999995</c:v>
                </c:pt>
              </c:numCache>
            </c:numRef>
          </c:val>
          <c:smooth val="0"/>
          <c:extLst>
            <c:ext xmlns:c16="http://schemas.microsoft.com/office/drawing/2014/chart" uri="{C3380CC4-5D6E-409C-BE32-E72D297353CC}">
              <c16:uniqueId val="{0000000B-0C73-4565-9CE1-1B822A9ADE37}"/>
            </c:ext>
          </c:extLst>
        </c:ser>
        <c:dLbls>
          <c:showLegendKey val="0"/>
          <c:showVal val="0"/>
          <c:showCatName val="0"/>
          <c:showSerName val="0"/>
          <c:showPercent val="0"/>
          <c:showBubbleSize val="0"/>
        </c:dLbls>
        <c:smooth val="0"/>
        <c:axId val="537647448"/>
        <c:axId val="537643184"/>
      </c:lineChart>
      <c:catAx>
        <c:axId val="537647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537643184"/>
        <c:crosses val="autoZero"/>
        <c:auto val="1"/>
        <c:lblAlgn val="ctr"/>
        <c:lblOffset val="100"/>
        <c:noMultiLvlLbl val="0"/>
      </c:catAx>
      <c:valAx>
        <c:axId val="537643184"/>
        <c:scaling>
          <c:orientation val="minMax"/>
          <c:min val="0"/>
        </c:scaling>
        <c:delete val="0"/>
        <c:axPos val="l"/>
        <c:majorGridlines>
          <c:spPr>
            <a:ln w="9525" cap="flat" cmpd="sng" algn="ctr">
              <a:solidFill>
                <a:schemeClr val="bg1">
                  <a:lumMod val="95000"/>
                </a:schemeClr>
              </a:solidFill>
              <a:round/>
            </a:ln>
            <a:effectLst/>
          </c:spPr>
        </c:majorGridlines>
        <c:numFmt formatCode="&quot;£&quot;#,##0&quot;m&quot;"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537647448"/>
        <c:crosses val="autoZero"/>
        <c:crossBetween val="between"/>
        <c:majorUnit val="300"/>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1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2C486E"/>
            </a:solidFill>
            <a:ln>
              <a:solidFill>
                <a:srgbClr val="2C486E"/>
              </a:solidFill>
            </a:ln>
            <a:effectLst/>
          </c:spPr>
          <c:invertIfNegative val="0"/>
          <c:dLbls>
            <c:dLbl>
              <c:idx val="1"/>
              <c:layout>
                <c:manualLayout>
                  <c:x val="8.2515981465303579E-4"/>
                  <c:y val="0.1833729175461459"/>
                </c:manualLayout>
              </c:layout>
              <c:tx>
                <c:rich>
                  <a:bodyPr/>
                  <a:lstStyle/>
                  <a:p>
                    <a:fld id="{58714533-F438-4E60-8949-C9500B218AD6}" type="VALUE">
                      <a:rPr lang="en-US">
                        <a:solidFill>
                          <a:schemeClr val="bg1"/>
                        </a:solidFill>
                      </a:rPr>
                      <a:pPr/>
                      <a:t>[VALUE]</a:t>
                    </a:fld>
                    <a:endParaRPr lang="en-GB"/>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6251-4386-AAB1-545556F6B715}"/>
                </c:ext>
              </c:extLst>
            </c:dLbl>
            <c:dLbl>
              <c:idx val="2"/>
              <c:layout>
                <c:manualLayout>
                  <c:x val="-5.7191260137066729E-4"/>
                  <c:y val="6.583188307025764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05C-4ACA-9018-072F958BB423}"/>
                </c:ext>
              </c:extLst>
            </c:dLbl>
            <c:dLbl>
              <c:idx val="4"/>
              <c:layout>
                <c:manualLayout>
                  <c:x val="1.433779243162372E-3"/>
                  <c:y val="0.12432085849408696"/>
                </c:manualLayout>
              </c:layout>
              <c:tx>
                <c:rich>
                  <a:bodyPr/>
                  <a:lstStyle/>
                  <a:p>
                    <a:fld id="{0D25C622-416C-4D5B-B544-BF1C9451B1BA}" type="VALUE">
                      <a:rPr lang="en-US">
                        <a:solidFill>
                          <a:schemeClr val="bg1"/>
                        </a:solidFill>
                      </a:rPr>
                      <a:pPr/>
                      <a:t>[VALUE]</a:t>
                    </a:fld>
                    <a:endParaRPr lang="en-GB"/>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6251-4386-AAB1-545556F6B715}"/>
                </c:ext>
              </c:extLst>
            </c:dLbl>
            <c:numFmt formatCode="&quot;£&quot;#,##0&quot;m&quot;"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'Chart 6.5'!$B$10:$F$10</c:f>
              <c:strCache>
                <c:ptCount val="5"/>
                <c:pt idx="0">
                  <c:v>2020-21</c:v>
                </c:pt>
                <c:pt idx="1">
                  <c:v>2021-22</c:v>
                </c:pt>
                <c:pt idx="2">
                  <c:v>2022-23</c:v>
                </c:pt>
                <c:pt idx="3">
                  <c:v>2023-24</c:v>
                </c:pt>
                <c:pt idx="4">
                  <c:v>2024-25</c:v>
                </c:pt>
              </c:strCache>
            </c:strRef>
          </c:cat>
          <c:val>
            <c:numRef>
              <c:f>'Chart 6.5'!$B$15:$F$15</c:f>
              <c:numCache>
                <c:formatCode>#,##0</c:formatCode>
                <c:ptCount val="5"/>
                <c:pt idx="0">
                  <c:v>11977.182000000001</c:v>
                </c:pt>
                <c:pt idx="1">
                  <c:v>4487.2730282800003</c:v>
                </c:pt>
                <c:pt idx="2">
                  <c:v>-1053.6228833600001</c:v>
                </c:pt>
                <c:pt idx="3">
                  <c:v>5898.4229733969296</c:v>
                </c:pt>
                <c:pt idx="4">
                  <c:v>2421.5624592099998</c:v>
                </c:pt>
              </c:numCache>
            </c:numRef>
          </c:val>
          <c:extLst>
            <c:ext xmlns:c16="http://schemas.microsoft.com/office/drawing/2014/chart" uri="{C3380CC4-5D6E-409C-BE32-E72D297353CC}">
              <c16:uniqueId val="{00000001-405C-4ACA-9018-072F958BB423}"/>
            </c:ext>
          </c:extLst>
        </c:ser>
        <c:dLbls>
          <c:showLegendKey val="0"/>
          <c:showVal val="0"/>
          <c:showCatName val="0"/>
          <c:showSerName val="0"/>
          <c:showPercent val="0"/>
          <c:showBubbleSize val="0"/>
        </c:dLbls>
        <c:gapWidth val="80"/>
        <c:axId val="888672200"/>
        <c:axId val="888668592"/>
      </c:barChart>
      <c:catAx>
        <c:axId val="8886722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0"/>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888668592"/>
        <c:crossesAt val="0"/>
        <c:auto val="1"/>
        <c:lblAlgn val="ctr"/>
        <c:lblOffset val="1000"/>
        <c:noMultiLvlLbl val="0"/>
      </c:catAx>
      <c:valAx>
        <c:axId val="888668592"/>
        <c:scaling>
          <c:orientation val="minMax"/>
          <c:min val="-2000"/>
        </c:scaling>
        <c:delete val="1"/>
        <c:axPos val="l"/>
        <c:majorGridlines>
          <c:spPr>
            <a:ln w="9525" cap="flat" cmpd="sng" algn="ctr">
              <a:solidFill>
                <a:schemeClr val="bg1">
                  <a:lumMod val="95000"/>
                </a:schemeClr>
              </a:solidFill>
              <a:round/>
            </a:ln>
            <a:effectLst/>
          </c:spPr>
        </c:majorGridlines>
        <c:numFmt formatCode="#,##0" sourceLinked="0"/>
        <c:majorTickMark val="out"/>
        <c:minorTickMark val="none"/>
        <c:tickLblPos val="nextTo"/>
        <c:crossAx val="888672200"/>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E88593B0-82B5-4719-82C3-C85E6D941B47}" formatIdx="0">
          <cx:spPr>
            <a:solidFill>
              <a:srgbClr val="2C486E"/>
            </a:solidFill>
          </cx:spPr>
          <cx:dataPt idx="0">
            <cx:spPr>
              <a:solidFill>
                <a:srgbClr val="2A4568"/>
              </a:solidFill>
            </cx:spPr>
          </cx:dataPt>
          <cx:dataPt idx="1">
            <cx:spPr>
              <a:solidFill>
                <a:srgbClr val="385A88"/>
              </a:solidFill>
            </cx:spPr>
          </cx:dataPt>
          <cx:dataPt idx="3">
            <cx:spPr>
              <a:solidFill>
                <a:srgbClr val="8FABD1"/>
              </a:solidFill>
            </cx:spPr>
          </cx:dataPt>
          <cx:dataPt idx="7">
            <cx:spPr>
              <a:solidFill>
                <a:srgbClr val="6A90C2"/>
              </a:solidFill>
            </cx:spPr>
          </cx:dataPt>
          <cx:dataPt idx="8">
            <cx:spPr>
              <a:solidFill>
                <a:srgbClr val="1D2F47"/>
              </a:solidFill>
            </cx:spPr>
          </cx:dataPt>
          <cx:dataPt idx="9">
            <cx:spPr>
              <a:solidFill>
                <a:srgbClr val="ADC2DD"/>
              </a:solidFill>
            </cx:spPr>
          </cx:dataPt>
          <cx:dataLabels>
            <cx:numFmt formatCode="£#,##0&quot;m&quot;" sourceLinked="0"/>
            <cx:txPr>
              <a:bodyPr spcFirstLastPara="1" vertOverflow="ellipsis" wrap="square" lIns="0" tIns="0" rIns="0" bIns="0" anchor="ctr" anchorCtr="1">
                <a:spAutoFit/>
              </a:bodyPr>
              <a:lstStyle/>
              <a:p>
                <a:pPr>
                  <a:defRPr lang="en-US" sz="1100" b="0" i="0" u="none" strike="noStrike" kern="1200" baseline="0">
                    <a:solidFill>
                      <a:sysClr val="window" lastClr="FFFFFF"/>
                    </a:solidFill>
                    <a:latin typeface="Arial" panose="020B0604020202020204" pitchFamily="34" charset="0"/>
                    <a:ea typeface="Arial" panose="020B0604020202020204" pitchFamily="34" charset="0"/>
                    <a:cs typeface="Arial" panose="020B0604020202020204" pitchFamily="34" charset="0"/>
                  </a:defRPr>
                </a:pPr>
                <a:endParaRPr lang="en-US" sz="1100">
                  <a:latin typeface="Arial" panose="020B0604020202020204" pitchFamily="34" charset="0"/>
                  <a:cs typeface="Arial" panose="020B0604020202020204" pitchFamily="34" charset="0"/>
                </a:endParaRPr>
              </a:p>
            </cx:txPr>
            <cx:visibility seriesName="0" categoryName="1" value="1"/>
            <cx:separator>
</cx:separator>
            <cx:dataLabel idx="0">
              <cx:numFmt formatCode="£#,##0&quot;m&quot;" sourceLinked="0"/>
              <cx:txPr>
                <a:bodyPr spcFirstLastPara="1" vertOverflow="ellipsis" wrap="square" lIns="0" tIns="0" rIns="0" bIns="0" anchor="ctr" anchorCtr="1">
                  <a:spAutoFit/>
                </a:bodyPr>
                <a:lstStyle/>
                <a:p>
                  <a:pPr>
                    <a:defRPr sz="1300" baseline="0"/>
                  </a:pPr>
                  <a:r>
                    <a:rPr lang="en-US" sz="1300" baseline="0">
                      <a:latin typeface="Arial" panose="020B0604020202020204" pitchFamily="34" charset="0"/>
                      <a:cs typeface="Arial" panose="020B0604020202020204" pitchFamily="34" charset="0"/>
                    </a:rPr>
                    <a:t>SBBS
£251m</a:t>
                  </a:r>
                </a:p>
              </cx:txPr>
              <cx:visibility seriesName="0" categoryName="1" value="1"/>
              <cx:separator>
</cx:separator>
            </cx:dataLabel>
            <cx:dataLabel idx="1">
              <cx:numFmt formatCode="£#,##0&quot;m&quot;" sourceLinked="0"/>
              <cx:txPr>
                <a:bodyPr spcFirstLastPara="1" vertOverflow="ellipsis" wrap="square" lIns="0" tIns="0" rIns="0" bIns="0" anchor="ctr" anchorCtr="1">
                  <a:spAutoFit/>
                </a:bodyPr>
                <a:lstStyle/>
                <a:p>
                  <a:pPr>
                    <a:defRPr lang="en-US" sz="1300" b="0" i="0" u="none" strike="noStrike" kern="1200" baseline="0">
                      <a:solidFill>
                        <a:sysClr val="window" lastClr="FFFFFF"/>
                      </a:solidFill>
                      <a:latin typeface="Arial" panose="020B0604020202020204" pitchFamily="34" charset="0"/>
                      <a:ea typeface="Arial" panose="020B0604020202020204" pitchFamily="34" charset="0"/>
                      <a:cs typeface="Arial" panose="020B0604020202020204" pitchFamily="34" charset="0"/>
                    </a:defRPr>
                  </a:pPr>
                  <a:r>
                    <a:rPr lang="en-US" sz="1300" baseline="0">
                      <a:latin typeface="Arial" panose="020B0604020202020204" pitchFamily="34" charset="0"/>
                      <a:cs typeface="Arial" panose="020B0604020202020204" pitchFamily="34" charset="0"/>
                    </a:rPr>
                    <a:t>Charity
£247m</a:t>
                  </a:r>
                </a:p>
              </cx:txPr>
              <cx:visibility seriesName="0" categoryName="1" value="1"/>
              <cx:separator>
</cx:separator>
            </cx:dataLabel>
            <cx:dataLabel idx="3">
              <cx:numFmt formatCode="£#,##0&quot;m&quot;" sourceLinked="0"/>
              <cx:txPr>
                <a:bodyPr spcFirstLastPara="1" vertOverflow="ellipsis" wrap="square" lIns="0" tIns="0" rIns="0" bIns="0" anchor="ctr" anchorCtr="1">
                  <a:spAutoFit/>
                </a:bodyPr>
                <a:lstStyle/>
                <a:p>
                  <a:pPr>
                    <a:defRPr sz="1300" baseline="0">
                      <a:solidFill>
                        <a:schemeClr val="tx1"/>
                      </a:solidFill>
                    </a:defRPr>
                  </a:pPr>
                  <a:r>
                    <a:rPr lang="en-US" sz="1300" baseline="0">
                      <a:solidFill>
                        <a:schemeClr val="tx1"/>
                      </a:solidFill>
                      <a:latin typeface="Arial" panose="020B0604020202020204" pitchFamily="34" charset="0"/>
                      <a:cs typeface="Arial" panose="020B0604020202020204" pitchFamily="34" charset="0"/>
                    </a:rPr>
                    <a:t>Disabled Rates Relief
£72m</a:t>
                  </a:r>
                </a:p>
              </cx:txPr>
              <cx:visibility seriesName="0" categoryName="1" value="1"/>
              <cx:separator>
</cx:separator>
            </cx:dataLabel>
            <cx:dataLabel idx="7">
              <cx:numFmt formatCode="£#,##0&quot;m&quot;" sourceLinked="0"/>
              <cx:txPr>
                <a:bodyPr spcFirstLastPara="1" vertOverflow="ellipsis" wrap="square" lIns="0" tIns="0" rIns="0" bIns="0" anchor="ctr" anchorCtr="1">
                  <a:spAutoFit/>
                </a:bodyPr>
                <a:lstStyle/>
                <a:p>
                  <a:pPr>
                    <a:defRPr sz="1300" baseline="0">
                      <a:solidFill>
                        <a:schemeClr val="tx1"/>
                      </a:solidFill>
                    </a:defRPr>
                  </a:pPr>
                  <a:r>
                    <a:rPr lang="en-US" sz="1300" baseline="0">
                      <a:solidFill>
                        <a:schemeClr val="tx1"/>
                      </a:solidFill>
                      <a:latin typeface="Arial" panose="020B0604020202020204" pitchFamily="34" charset="0"/>
                      <a:cs typeface="Arial" panose="020B0604020202020204" pitchFamily="34" charset="0"/>
                    </a:rPr>
                    <a:t>8</a:t>
                  </a:r>
                </a:p>
              </cx:txPr>
              <cx:visibility seriesName="0" categoryName="1" value="1"/>
              <cx:separator>
</cx:separator>
            </cx:dataLabel>
            <cx:dataLabel idx="8">
              <cx:numFmt formatCode="£#,##0&quot;m&quot;" sourceLinked="0"/>
              <cx:txPr>
                <a:bodyPr spcFirstLastPara="1" vertOverflow="ellipsis" wrap="square" lIns="0" tIns="0" rIns="0" bIns="0" anchor="ctr" anchorCtr="1">
                  <a:spAutoFit/>
                </a:bodyPr>
                <a:lstStyle/>
                <a:p>
                  <a:pPr>
                    <a:defRPr sz="1300" baseline="0"/>
                  </a:pPr>
                  <a:r>
                    <a:rPr lang="en-US" sz="1300" baseline="0">
                      <a:latin typeface="Arial" panose="020B0604020202020204" pitchFamily="34" charset="0"/>
                      <a:cs typeface="Arial" panose="020B0604020202020204" pitchFamily="34" charset="0"/>
                    </a:rPr>
                    <a:t>9
£594m</a:t>
                  </a:r>
                </a:p>
              </cx:txPr>
              <cx:visibility seriesName="0" categoryName="1" value="1"/>
              <cx:separator>
</cx:separator>
            </cx:dataLabel>
            <cx:dataLabel idx="9">
              <cx:numFmt formatCode="£#,##0&quot;m&quot;" sourceLinked="0"/>
              <cx:txPr>
                <a:bodyPr spcFirstLastPara="1" vertOverflow="ellipsis" wrap="square" lIns="0" tIns="0" rIns="0" bIns="0" anchor="ctr" anchorCtr="1">
                  <a:spAutoFit/>
                </a:bodyPr>
                <a:lstStyle/>
                <a:p>
                  <a:pPr>
                    <a:defRPr lang="en-US" sz="1100" b="0" i="0" u="none" strike="noStrike" kern="1200" baseline="0">
                      <a:solidFill>
                        <a:sysClr val="windowText" lastClr="000000"/>
                      </a:solidFill>
                      <a:latin typeface="Arial" panose="020B0604020202020204" pitchFamily="34" charset="0"/>
                      <a:ea typeface="Arial" panose="020B0604020202020204" pitchFamily="34" charset="0"/>
                      <a:cs typeface="Arial" panose="020B0604020202020204" pitchFamily="34" charset="0"/>
                    </a:defRPr>
                  </a:pPr>
                  <a:r>
                    <a:rPr lang="en-US" sz="1100">
                      <a:solidFill>
                        <a:sysClr val="windowText" lastClr="000000"/>
                      </a:solidFill>
                      <a:latin typeface="Arial" panose="020B0604020202020204" pitchFamily="34" charset="0"/>
                      <a:cs typeface="Arial" panose="020B0604020202020204" pitchFamily="34" charset="0"/>
                    </a:rPr>
                    <a:t>Other reliefs
£80m</a:t>
                  </a:r>
                </a:p>
              </cx:txPr>
              <cx:visibility seriesName="0" categoryName="1" value="1"/>
              <cx:separator>
</cx:separator>
            </cx:dataLabel>
          </cx:dataLabels>
          <cx:dataId val="0"/>
          <cx:layoutPr/>
        </cx:series>
      </cx:plotAreaRegion>
    </cx:plotArea>
  </cx:chart>
  <cx:spPr>
    <a:solidFill>
      <a:srgbClr val="7030A0"/>
    </a:solidFill>
    <a:ln>
      <a:noFill/>
    </a:ln>
  </cx:spPr>
  <cx:clrMapOvr bg1="lt1" tx1="dk1" bg2="lt2" tx2="dk2" accent1="accent1" accent2="accent2" accent3="accent3" accent4="accent4" accent5="accent5" accent6="accent6" hlink="hlink" folHlink="folHlink"/>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plotArea>
      <cx:plotAreaRegion>
        <cx:series layoutId="treemap" uniqueId="{E88593B0-82B5-4719-82C3-C85E6D941B47}" formatIdx="0">
          <cx:spPr>
            <a:solidFill>
              <a:srgbClr val="2C486E"/>
            </a:solidFill>
          </cx:spPr>
          <cx:dataPt idx="0">
            <cx:spPr>
              <a:solidFill>
                <a:srgbClr val="2A4568"/>
              </a:solidFill>
            </cx:spPr>
          </cx:dataPt>
          <cx:dataPt idx="1">
            <cx:spPr>
              <a:solidFill>
                <a:srgbClr val="385A88"/>
              </a:solidFill>
            </cx:spPr>
          </cx:dataPt>
          <cx:dataPt idx="3">
            <cx:spPr>
              <a:solidFill>
                <a:srgbClr val="8FABD1"/>
              </a:solidFill>
            </cx:spPr>
          </cx:dataPt>
          <cx:dataPt idx="7">
            <cx:spPr>
              <a:solidFill>
                <a:srgbClr val="6A90C2"/>
              </a:solidFill>
            </cx:spPr>
          </cx:dataPt>
          <cx:dataPt idx="8">
            <cx:spPr>
              <a:solidFill>
                <a:srgbClr val="1D2F47"/>
              </a:solidFill>
            </cx:spPr>
          </cx:dataPt>
          <cx:dataPt idx="9">
            <cx:spPr>
              <a:solidFill>
                <a:srgbClr val="ADC2DD"/>
              </a:solidFill>
            </cx:spPr>
          </cx:dataPt>
          <cx:dataLabels>
            <cx:numFmt formatCode="£#,##0&quot;m&quot;" sourceLinked="0"/>
            <cx:txPr>
              <a:bodyPr spcFirstLastPara="1" vertOverflow="ellipsis" wrap="square" lIns="0" tIns="0" rIns="0" bIns="0" anchor="ctr" anchorCtr="1">
                <a:spAutoFit/>
              </a:bodyPr>
              <a:lstStyle/>
              <a:p>
                <a:pPr>
                  <a:defRPr lang="en-US" sz="1100" b="0" i="0" u="none" strike="noStrike" kern="1200" baseline="0">
                    <a:solidFill>
                      <a:sysClr val="window" lastClr="FFFFFF"/>
                    </a:solidFill>
                    <a:latin typeface="Arial" panose="020B0604020202020204" pitchFamily="34" charset="0"/>
                    <a:ea typeface="Arial" panose="020B0604020202020204" pitchFamily="34" charset="0"/>
                    <a:cs typeface="Arial" panose="020B0604020202020204" pitchFamily="34" charset="0"/>
                  </a:defRPr>
                </a:pPr>
                <a:endParaRPr lang="en-US" sz="1100">
                  <a:latin typeface="Arial" panose="020B0604020202020204" pitchFamily="34" charset="0"/>
                  <a:cs typeface="Arial" panose="020B0604020202020204" pitchFamily="34" charset="0"/>
                </a:endParaRPr>
              </a:p>
            </cx:txPr>
            <cx:visibility seriesName="0" categoryName="1" value="1"/>
            <cx:separator>
</cx:separator>
            <cx:dataLabel idx="0">
              <cx:numFmt formatCode="£#,##0&quot;m&quot;" sourceLinked="0"/>
              <cx:txPr>
                <a:bodyPr spcFirstLastPara="1" vertOverflow="ellipsis" wrap="square" lIns="0" tIns="0" rIns="0" bIns="0" anchor="ctr" anchorCtr="1">
                  <a:spAutoFit/>
                </a:bodyPr>
                <a:lstStyle/>
                <a:p>
                  <a:pPr>
                    <a:defRPr sz="1300" baseline="0"/>
                  </a:pPr>
                  <a:r>
                    <a:rPr lang="en-US" sz="1300" baseline="0">
                      <a:latin typeface="Arial" panose="020B0604020202020204" pitchFamily="34" charset="0"/>
                      <a:cs typeface="Arial" panose="020B0604020202020204" pitchFamily="34" charset="0"/>
                    </a:rPr>
                    <a:t>SBBS
£251m</a:t>
                  </a:r>
                </a:p>
              </cx:txPr>
              <cx:visibility seriesName="0" categoryName="1" value="1"/>
              <cx:separator>
</cx:separator>
            </cx:dataLabel>
            <cx:dataLabel idx="1">
              <cx:numFmt formatCode="£#,##0&quot;m&quot;" sourceLinked="0"/>
              <cx:txPr>
                <a:bodyPr spcFirstLastPara="1" vertOverflow="ellipsis" wrap="square" lIns="0" tIns="0" rIns="0" bIns="0" anchor="ctr" anchorCtr="1">
                  <a:spAutoFit/>
                </a:bodyPr>
                <a:lstStyle/>
                <a:p>
                  <a:pPr>
                    <a:defRPr lang="en-US" sz="1300" b="0" i="0" u="none" strike="noStrike" kern="1200" baseline="0">
                      <a:solidFill>
                        <a:sysClr val="window" lastClr="FFFFFF"/>
                      </a:solidFill>
                      <a:latin typeface="Arial" panose="020B0604020202020204" pitchFamily="34" charset="0"/>
                      <a:ea typeface="Arial" panose="020B0604020202020204" pitchFamily="34" charset="0"/>
                      <a:cs typeface="Arial" panose="020B0604020202020204" pitchFamily="34" charset="0"/>
                    </a:defRPr>
                  </a:pPr>
                  <a:r>
                    <a:rPr lang="en-US" sz="1300" baseline="0">
                      <a:latin typeface="Arial" panose="020B0604020202020204" pitchFamily="34" charset="0"/>
                      <a:cs typeface="Arial" panose="020B0604020202020204" pitchFamily="34" charset="0"/>
                    </a:rPr>
                    <a:t>Charity
£247m</a:t>
                  </a:r>
                </a:p>
              </cx:txPr>
              <cx:visibility seriesName="0" categoryName="1" value="1"/>
              <cx:separator>
</cx:separator>
            </cx:dataLabel>
            <cx:dataLabel idx="3">
              <cx:numFmt formatCode="£#,##0&quot;m&quot;" sourceLinked="0"/>
              <cx:txPr>
                <a:bodyPr spcFirstLastPara="1" vertOverflow="ellipsis" wrap="square" lIns="0" tIns="0" rIns="0" bIns="0" anchor="ctr" anchorCtr="1">
                  <a:spAutoFit/>
                </a:bodyPr>
                <a:lstStyle/>
                <a:p>
                  <a:pPr>
                    <a:defRPr sz="1300" baseline="0">
                      <a:solidFill>
                        <a:schemeClr val="tx1"/>
                      </a:solidFill>
                    </a:defRPr>
                  </a:pPr>
                  <a:r>
                    <a:rPr lang="en-US" sz="1300" baseline="0">
                      <a:solidFill>
                        <a:schemeClr val="tx1"/>
                      </a:solidFill>
                      <a:latin typeface="Arial" panose="020B0604020202020204" pitchFamily="34" charset="0"/>
                      <a:cs typeface="Arial" panose="020B0604020202020204" pitchFamily="34" charset="0"/>
                    </a:rPr>
                    <a:t>Disabled Rates Relief
£72m</a:t>
                  </a:r>
                </a:p>
              </cx:txPr>
              <cx:visibility seriesName="0" categoryName="1" value="1"/>
              <cx:separator>
</cx:separator>
            </cx:dataLabel>
            <cx:dataLabel idx="7">
              <cx:numFmt formatCode="£#,##0&quot;m&quot;" sourceLinked="0"/>
              <cx:txPr>
                <a:bodyPr spcFirstLastPara="1" vertOverflow="ellipsis" wrap="square" lIns="0" tIns="0" rIns="0" bIns="0" anchor="ctr" anchorCtr="1">
                  <a:spAutoFit/>
                </a:bodyPr>
                <a:lstStyle/>
                <a:p>
                  <a:pPr>
                    <a:defRPr sz="1300" baseline="0">
                      <a:solidFill>
                        <a:schemeClr val="tx1"/>
                      </a:solidFill>
                    </a:defRPr>
                  </a:pPr>
                  <a:r>
                    <a:rPr lang="en-US" sz="1300" baseline="0">
                      <a:solidFill>
                        <a:schemeClr val="tx1"/>
                      </a:solidFill>
                      <a:latin typeface="Arial" panose="020B0604020202020204" pitchFamily="34" charset="0"/>
                      <a:cs typeface="Arial" panose="020B0604020202020204" pitchFamily="34" charset="0"/>
                    </a:rPr>
                    <a:t>8</a:t>
                  </a:r>
                </a:p>
              </cx:txPr>
              <cx:visibility seriesName="0" categoryName="1" value="1"/>
              <cx:separator>
</cx:separator>
            </cx:dataLabel>
            <cx:dataLabel idx="8">
              <cx:numFmt formatCode="£#,##0&quot;m&quot;" sourceLinked="0"/>
              <cx:txPr>
                <a:bodyPr spcFirstLastPara="1" vertOverflow="ellipsis" wrap="square" lIns="0" tIns="0" rIns="0" bIns="0" anchor="ctr" anchorCtr="1">
                  <a:spAutoFit/>
                </a:bodyPr>
                <a:lstStyle/>
                <a:p>
                  <a:pPr>
                    <a:defRPr sz="1300" baseline="0"/>
                  </a:pPr>
                  <a:r>
                    <a:rPr lang="en-US" sz="1300" baseline="0">
                      <a:latin typeface="Arial" panose="020B0604020202020204" pitchFamily="34" charset="0"/>
                      <a:cs typeface="Arial" panose="020B0604020202020204" pitchFamily="34" charset="0"/>
                    </a:rPr>
                    <a:t>9
£594m</a:t>
                  </a:r>
                </a:p>
              </cx:txPr>
              <cx:visibility seriesName="0" categoryName="1" value="1"/>
              <cx:separator>
</cx:separator>
            </cx:dataLabel>
            <cx:dataLabel idx="9">
              <cx:numFmt formatCode="£#,##0&quot;m&quot;" sourceLinked="0"/>
              <cx:txPr>
                <a:bodyPr spcFirstLastPara="1" vertOverflow="ellipsis" wrap="square" lIns="0" tIns="0" rIns="0" bIns="0" anchor="ctr" anchorCtr="1">
                  <a:spAutoFit/>
                </a:bodyPr>
                <a:lstStyle/>
                <a:p>
                  <a:pPr>
                    <a:defRPr lang="en-US" sz="1100" b="0" i="0" u="none" strike="noStrike" kern="1200" baseline="0">
                      <a:solidFill>
                        <a:sysClr val="windowText" lastClr="000000"/>
                      </a:solidFill>
                      <a:latin typeface="Arial" panose="020B0604020202020204" pitchFamily="34" charset="0"/>
                      <a:ea typeface="Arial" panose="020B0604020202020204" pitchFamily="34" charset="0"/>
                      <a:cs typeface="Arial" panose="020B0604020202020204" pitchFamily="34" charset="0"/>
                    </a:defRPr>
                  </a:pPr>
                  <a:r>
                    <a:rPr lang="en-US" sz="1100">
                      <a:solidFill>
                        <a:sysClr val="windowText" lastClr="000000"/>
                      </a:solidFill>
                      <a:latin typeface="Arial" panose="020B0604020202020204" pitchFamily="34" charset="0"/>
                      <a:cs typeface="Arial" panose="020B0604020202020204" pitchFamily="34" charset="0"/>
                    </a:rPr>
                    <a:t>Other reliefs
£80m</a:t>
                  </a:r>
                </a:p>
              </cx:txPr>
              <cx:visibility seriesName="0" categoryName="1" value="1"/>
              <cx:separator>
</cx:separator>
            </cx:dataLabel>
          </cx:dataLabels>
          <cx:dataId val="0"/>
          <cx:layoutPr/>
        </cx:series>
      </cx:plotAreaRegion>
    </cx:plotArea>
  </cx:chart>
  <cx:spPr>
    <a:solidFill>
      <a:schemeClr val="bg1"/>
    </a:solidFill>
    <a:ln>
      <a:noFill/>
    </a:ln>
  </cx:spPr>
  <cx:clrMapOvr bg1="lt1" tx1="dk1" bg2="lt2" tx2="dk2" accent1="accent1" accent2="accent2" accent3="accent3" accent4="accent4" accent5="accent5" accent6="accent6" hlink="hlink" folHlink="folHlink"/>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size">
        <cx:f>_xlchart.v1.6</cx:f>
      </cx:numDim>
    </cx:data>
  </cx:chartData>
  <cx:chart>
    <cx:plotArea>
      <cx:plotAreaRegion>
        <cx:plotSurface>
          <cx:spPr>
            <a:noFill/>
            <a:ln>
              <a:noFill/>
            </a:ln>
          </cx:spPr>
        </cx:plotSurface>
        <cx:series layoutId="treemap" uniqueId="{00000000-C550-49D2-8F45-6642A113EE08}">
          <cx:tx>
            <cx:txData>
              <cx:f>_xlchart.v1.5</cx:f>
              <cx:v>2024-25</cx:v>
            </cx:txData>
          </cx:tx>
          <cx:dataPt idx="0">
            <cx:spPr>
              <a:solidFill>
                <a:srgbClr val="1D2F47"/>
              </a:solidFill>
            </cx:spPr>
          </cx:dataPt>
          <cx:dataPt idx="1">
            <cx:spPr>
              <a:solidFill>
                <a:srgbClr val="2A4568"/>
              </a:solidFill>
            </cx:spPr>
          </cx:dataPt>
          <cx:dataPt idx="2">
            <cx:spPr>
              <a:solidFill>
                <a:srgbClr val="3A5E8E"/>
              </a:solidFill>
            </cx:spPr>
          </cx:dataPt>
          <cx:dataPt idx="3">
            <cx:spPr>
              <a:solidFill>
                <a:srgbClr val="5C85BC"/>
              </a:solidFill>
            </cx:spPr>
          </cx:dataPt>
          <cx:dataPt idx="4">
            <cx:spPr>
              <a:solidFill>
                <a:srgbClr val="8BA8CF"/>
              </a:solidFill>
            </cx:spPr>
          </cx:dataPt>
          <cx:dataPt idx="5">
            <cx:spPr>
              <a:solidFill>
                <a:srgbClr val="B5C8E1"/>
              </a:solidFill>
            </cx:spPr>
          </cx:dataPt>
          <cx:dataPt idx="6">
            <cx:spPr>
              <a:solidFill>
                <a:srgbClr val="D6E0EE"/>
              </a:solidFill>
            </cx:spPr>
          </cx:dataPt>
          <cx:dataPt idx="7">
            <cx:spPr>
              <a:solidFill>
                <a:srgbClr val="EEF2F8"/>
              </a:solidFill>
            </cx:spPr>
          </cx:dataPt>
          <cx:dataLabels>
            <cx:numFmt formatCode="£#,##0&quot;m&quot;" sourceLinked="0"/>
            <cx:txPr>
              <a:bodyPr spcFirstLastPara="1" vertOverflow="ellipsis" wrap="square" lIns="0" tIns="0" rIns="0" bIns="0" anchor="ctr" anchorCtr="1">
                <a:spAutoFit/>
              </a:bodyPr>
              <a:lstStyle/>
              <a:p>
                <a:pPr>
                  <a:defRPr lang="en-US" sz="1200" b="0" i="0" u="none" strike="noStrike" kern="1200" baseline="0">
                    <a:solidFill>
                      <a:sysClr val="window" lastClr="FFFFFF"/>
                    </a:solidFill>
                    <a:latin typeface="Arial" panose="020B0604020202020204" pitchFamily="34" charset="0"/>
                    <a:ea typeface="Arial" panose="020B0604020202020204" pitchFamily="34" charset="0"/>
                    <a:cs typeface="Arial" panose="020B0604020202020204" pitchFamily="34" charset="0"/>
                  </a:defRPr>
                </a:pPr>
                <a:endParaRPr lang="en-US" sz="1200">
                  <a:latin typeface="Arial" panose="020B0604020202020204" pitchFamily="34" charset="0"/>
                  <a:cs typeface="Arial" panose="020B0604020202020204" pitchFamily="34" charset="0"/>
                </a:endParaRPr>
              </a:p>
            </cx:txPr>
            <cx:visibility seriesName="0" categoryName="1" value="1"/>
            <cx:separator>; </cx:separator>
            <cx:dataLabel idx="0">
              <cx:visibility seriesName="0" categoryName="1" value="1"/>
              <cx:separator>; </cx:separator>
            </cx:dataLabel>
            <cx:dataLabel idx="4">
              <cx:numFmt formatCode="£#,##0&quot;m&quot;" sourceLinked="0"/>
              <cx:txPr>
                <a:bodyPr spcFirstLastPara="1" vertOverflow="ellipsis" wrap="square" lIns="0" tIns="0" rIns="0" bIns="0" anchor="ctr" anchorCtr="1">
                  <a:spAutoFit/>
                </a:bodyPr>
                <a:lstStyle/>
                <a:p>
                  <a:pPr>
                    <a:defRPr lang="en-US" sz="1200" b="0" i="0" u="none" strike="noStrike" kern="1200" baseline="0">
                      <a:solidFill>
                        <a:sysClr val="windowText" lastClr="000000"/>
                      </a:solidFill>
                      <a:latin typeface="Arial" panose="020B0604020202020204" pitchFamily="34" charset="0"/>
                      <a:ea typeface="Arial" panose="020B0604020202020204" pitchFamily="34" charset="0"/>
                      <a:cs typeface="Arial" panose="020B0604020202020204" pitchFamily="34" charset="0"/>
                    </a:defRPr>
                  </a:pPr>
                  <a:r>
                    <a:rPr lang="en-US" sz="1200">
                      <a:solidFill>
                        <a:sysClr val="windowText" lastClr="000000"/>
                      </a:solidFill>
                      <a:latin typeface="Arial" panose="020B0604020202020204" pitchFamily="34" charset="0"/>
                      <a:cs typeface="Arial" panose="020B0604020202020204" pitchFamily="34" charset="0"/>
                    </a:rPr>
                    <a:t>Building, Planning &amp; Development; £322m</a:t>
                  </a:r>
                </a:p>
              </cx:txPr>
              <cx:visibility seriesName="0" categoryName="1" value="1"/>
              <cx:separator>; </cx:separator>
            </cx:dataLabel>
            <cx:dataLabel idx="5">
              <cx:numFmt formatCode="£#,##0&quot;m&quot;" sourceLinked="0"/>
              <cx:txPr>
                <a:bodyPr spcFirstLastPara="1" vertOverflow="ellipsis" wrap="square" lIns="0" tIns="0" rIns="0" bIns="0" anchor="ctr" anchorCtr="1">
                  <a:spAutoFit/>
                </a:bodyPr>
                <a:lstStyle/>
                <a:p>
                  <a:pPr>
                    <a:defRPr lang="en-US" sz="1200" b="0" i="0" u="none" strike="noStrike" kern="1200" baseline="0">
                      <a:solidFill>
                        <a:sysClr val="windowText" lastClr="000000"/>
                      </a:solidFill>
                      <a:latin typeface="Arial" panose="020B0604020202020204" pitchFamily="34" charset="0"/>
                      <a:ea typeface="Arial" panose="020B0604020202020204" pitchFamily="34" charset="0"/>
                      <a:cs typeface="Arial" panose="020B0604020202020204" pitchFamily="34" charset="0"/>
                    </a:defRPr>
                  </a:pPr>
                  <a:r>
                    <a:rPr lang="en-US" sz="1200">
                      <a:solidFill>
                        <a:sysClr val="windowText" lastClr="000000"/>
                      </a:solidFill>
                      <a:latin typeface="Arial" panose="020B0604020202020204" pitchFamily="34" charset="0"/>
                      <a:cs typeface="Arial" panose="020B0604020202020204" pitchFamily="34" charset="0"/>
                    </a:rPr>
                    <a:t>Non-HRA Housing; £245m</a:t>
                  </a:r>
                </a:p>
              </cx:txPr>
              <cx:visibility seriesName="0" categoryName="1" value="1"/>
              <cx:separator>; </cx:separator>
            </cx:dataLabel>
            <cx:dataLabel idx="6">
              <cx:numFmt formatCode="£#,##0&quot;m&quot;" sourceLinked="0"/>
              <cx:txPr>
                <a:bodyPr spcFirstLastPara="1" vertOverflow="ellipsis" wrap="square" lIns="0" tIns="0" rIns="0" bIns="0" anchor="ctr" anchorCtr="1">
                  <a:spAutoFit/>
                </a:bodyPr>
                <a:lstStyle/>
                <a:p>
                  <a:pPr>
                    <a:defRPr lang="en-US" sz="1200" b="0" i="0" u="none" strike="noStrike" kern="1200" baseline="0">
                      <a:solidFill>
                        <a:sysClr val="windowText" lastClr="000000"/>
                      </a:solidFill>
                      <a:latin typeface="Arial" panose="020B0604020202020204" pitchFamily="34" charset="0"/>
                      <a:ea typeface="Arial" panose="020B0604020202020204" pitchFamily="34" charset="0"/>
                      <a:cs typeface="Arial" panose="020B0604020202020204" pitchFamily="34" charset="0"/>
                    </a:defRPr>
                  </a:pPr>
                  <a:r>
                    <a:rPr lang="en-US" sz="1200">
                      <a:solidFill>
                        <a:sysClr val="windowText" lastClr="000000"/>
                      </a:solidFill>
                      <a:latin typeface="Arial" panose="020B0604020202020204" pitchFamily="34" charset="0"/>
                      <a:cs typeface="Arial" panose="020B0604020202020204" pitchFamily="34" charset="0"/>
                    </a:rPr>
                    <a:t>Culture &amp; Related Services; £233m</a:t>
                  </a:r>
                </a:p>
              </cx:txPr>
              <cx:visibility seriesName="0" categoryName="1" value="1"/>
              <cx:separator>; </cx:separator>
            </cx:dataLabel>
            <cx:dataLabel idx="7">
              <cx:numFmt formatCode="£#,##0&quot;m&quot;" sourceLinked="0"/>
              <cx:txPr>
                <a:bodyPr spcFirstLastPara="1" vertOverflow="ellipsis" wrap="square" lIns="0" tIns="0" rIns="0" bIns="0" anchor="ctr" anchorCtr="1">
                  <a:spAutoFit/>
                </a:bodyPr>
                <a:lstStyle/>
                <a:p>
                  <a:pPr>
                    <a:defRPr lang="en-US" sz="1200" b="0" i="0" u="none" strike="noStrike" kern="1200" baseline="0">
                      <a:solidFill>
                        <a:sysClr val="windowText" lastClr="000000"/>
                      </a:solidFill>
                      <a:latin typeface="Arial" panose="020B0604020202020204" pitchFamily="34" charset="0"/>
                      <a:ea typeface="Arial" panose="020B0604020202020204" pitchFamily="34" charset="0"/>
                      <a:cs typeface="Arial" panose="020B0604020202020204" pitchFamily="34" charset="0"/>
                    </a:defRPr>
                  </a:pPr>
                  <a:r>
                    <a:rPr lang="en-US" sz="1200">
                      <a:solidFill>
                        <a:sysClr val="windowText" lastClr="000000"/>
                      </a:solidFill>
                      <a:latin typeface="Arial" panose="020B0604020202020204" pitchFamily="34" charset="0"/>
                      <a:cs typeface="Arial" panose="020B0604020202020204" pitchFamily="34" charset="0"/>
                    </a:rPr>
                    <a:t>Environmental Services; £159m</a:t>
                  </a:r>
                </a:p>
              </cx:txPr>
              <cx:visibility seriesName="0" categoryName="1" value="1"/>
              <cx:separator>; </cx:separator>
            </cx:dataLabel>
          </cx:dataLabels>
          <cx:dataId val="0"/>
          <cx:layoutPr/>
        </cx:series>
      </cx:plotAreaRegion>
    </cx:plotArea>
  </cx:chart>
  <cx:spPr>
    <a:noFill/>
    <a:ln>
      <a:noFill/>
    </a:ln>
  </cx:spPr>
  <cx:clrMapOvr bg1="lt1" tx1="dk1" bg2="lt2" tx2="dk2" accent1="accent1" accent2="accent2" accent3="accent3" accent4="accent4" accent5="accent5" accent6="accent6" hlink="hlink" folHlink="folHlink"/>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size">
        <cx:f>_xlchart.v1.9</cx:f>
      </cx:numDim>
    </cx:data>
  </cx:chartData>
  <cx:chart>
    <cx:plotArea>
      <cx:plotAreaRegion>
        <cx:plotSurface>
          <cx:spPr>
            <a:solidFill>
              <a:srgbClr val="7030A0"/>
            </a:solidFill>
          </cx:spPr>
        </cx:plotSurface>
        <cx:series layoutId="treemap" uniqueId="{00000000-C550-49D2-8F45-6642A113EE08}">
          <cx:tx>
            <cx:txData>
              <cx:f>_xlchart.v1.8</cx:f>
              <cx:v>2024-25</cx:v>
            </cx:txData>
          </cx:tx>
          <cx:dataPt idx="0">
            <cx:spPr>
              <a:solidFill>
                <a:srgbClr val="1D2F47"/>
              </a:solidFill>
            </cx:spPr>
          </cx:dataPt>
          <cx:dataPt idx="1">
            <cx:spPr>
              <a:solidFill>
                <a:srgbClr val="2A4568"/>
              </a:solidFill>
            </cx:spPr>
          </cx:dataPt>
          <cx:dataPt idx="2">
            <cx:spPr>
              <a:solidFill>
                <a:srgbClr val="3A5E8E"/>
              </a:solidFill>
            </cx:spPr>
          </cx:dataPt>
          <cx:dataPt idx="3">
            <cx:spPr>
              <a:solidFill>
                <a:srgbClr val="5C85BC"/>
              </a:solidFill>
            </cx:spPr>
          </cx:dataPt>
          <cx:dataPt idx="4">
            <cx:spPr>
              <a:solidFill>
                <a:srgbClr val="8BA8CF"/>
              </a:solidFill>
            </cx:spPr>
          </cx:dataPt>
          <cx:dataPt idx="5">
            <cx:spPr>
              <a:solidFill>
                <a:srgbClr val="B5C8E1"/>
              </a:solidFill>
            </cx:spPr>
          </cx:dataPt>
          <cx:dataPt idx="6">
            <cx:spPr>
              <a:solidFill>
                <a:srgbClr val="D6E0EE"/>
              </a:solidFill>
            </cx:spPr>
          </cx:dataPt>
          <cx:dataPt idx="7">
            <cx:spPr>
              <a:solidFill>
                <a:srgbClr val="EEF2F8"/>
              </a:solidFill>
            </cx:spPr>
          </cx:dataPt>
          <cx:dataLabels>
            <cx:numFmt formatCode="£#,##0&quot;m&quot;" sourceLinked="0"/>
            <cx:txPr>
              <a:bodyPr spcFirstLastPara="1" vertOverflow="ellipsis" wrap="square" lIns="0" tIns="0" rIns="0" bIns="0" anchor="ctr" anchorCtr="1">
                <a:spAutoFit/>
              </a:bodyPr>
              <a:lstStyle/>
              <a:p>
                <a:pPr>
                  <a:defRPr lang="en-US" sz="1200" b="0" i="0" u="none" strike="noStrike" kern="1200" baseline="0">
                    <a:solidFill>
                      <a:sysClr val="window" lastClr="FFFFFF"/>
                    </a:solidFill>
                    <a:latin typeface="Arial" panose="020B0604020202020204" pitchFamily="34" charset="0"/>
                    <a:ea typeface="Arial" panose="020B0604020202020204" pitchFamily="34" charset="0"/>
                    <a:cs typeface="Arial" panose="020B0604020202020204" pitchFamily="34" charset="0"/>
                  </a:defRPr>
                </a:pPr>
                <a:endParaRPr lang="en-US" sz="1200">
                  <a:latin typeface="Arial" panose="020B0604020202020204" pitchFamily="34" charset="0"/>
                  <a:cs typeface="Arial" panose="020B0604020202020204" pitchFamily="34" charset="0"/>
                </a:endParaRPr>
              </a:p>
            </cx:txPr>
            <cx:visibility seriesName="0" categoryName="1" value="1"/>
            <cx:separator>; </cx:separator>
            <cx:dataLabel idx="4">
              <cx:numFmt formatCode="£#,##0&quot;m&quot;" sourceLinked="0"/>
              <cx:txPr>
                <a:bodyPr spcFirstLastPara="1" vertOverflow="ellipsis" wrap="square" lIns="0" tIns="0" rIns="0" bIns="0" anchor="ctr" anchorCtr="1">
                  <a:spAutoFit/>
                </a:bodyPr>
                <a:lstStyle/>
                <a:p>
                  <a:pPr>
                    <a:defRPr lang="en-US" sz="1200" b="0" i="0" u="none" strike="noStrike" kern="1200" baseline="0">
                      <a:solidFill>
                        <a:sysClr val="windowText" lastClr="000000"/>
                      </a:solidFill>
                      <a:latin typeface="Arial" panose="020B0604020202020204" pitchFamily="34" charset="0"/>
                      <a:ea typeface="Arial" panose="020B0604020202020204" pitchFamily="34" charset="0"/>
                      <a:cs typeface="Arial" panose="020B0604020202020204" pitchFamily="34" charset="0"/>
                    </a:defRPr>
                  </a:pPr>
                  <a:r>
                    <a:rPr lang="en-US" sz="1200">
                      <a:solidFill>
                        <a:sysClr val="windowText" lastClr="000000"/>
                      </a:solidFill>
                      <a:latin typeface="Arial" panose="020B0604020202020204" pitchFamily="34" charset="0"/>
                      <a:cs typeface="Arial" panose="020B0604020202020204" pitchFamily="34" charset="0"/>
                    </a:rPr>
                    <a:t>Building, Planning &amp; Development; £322m</a:t>
                  </a:r>
                </a:p>
              </cx:txPr>
              <cx:visibility seriesName="0" categoryName="1" value="1"/>
              <cx:separator>; </cx:separator>
            </cx:dataLabel>
            <cx:dataLabel idx="5">
              <cx:numFmt formatCode="£#,##0&quot;m&quot;" sourceLinked="0"/>
              <cx:txPr>
                <a:bodyPr spcFirstLastPara="1" vertOverflow="ellipsis" wrap="square" lIns="0" tIns="0" rIns="0" bIns="0" anchor="ctr" anchorCtr="1">
                  <a:spAutoFit/>
                </a:bodyPr>
                <a:lstStyle/>
                <a:p>
                  <a:pPr>
                    <a:defRPr lang="en-US" sz="1200" b="0" i="0" u="none" strike="noStrike" kern="1200" baseline="0">
                      <a:solidFill>
                        <a:sysClr val="windowText" lastClr="000000"/>
                      </a:solidFill>
                      <a:latin typeface="Arial" panose="020B0604020202020204" pitchFamily="34" charset="0"/>
                      <a:ea typeface="Arial" panose="020B0604020202020204" pitchFamily="34" charset="0"/>
                      <a:cs typeface="Arial" panose="020B0604020202020204" pitchFamily="34" charset="0"/>
                    </a:defRPr>
                  </a:pPr>
                  <a:r>
                    <a:rPr lang="en-US" sz="1200">
                      <a:solidFill>
                        <a:sysClr val="windowText" lastClr="000000"/>
                      </a:solidFill>
                      <a:latin typeface="Arial" panose="020B0604020202020204" pitchFamily="34" charset="0"/>
                      <a:cs typeface="Arial" panose="020B0604020202020204" pitchFamily="34" charset="0"/>
                    </a:rPr>
                    <a:t>Non-HRA Housing; £245m</a:t>
                  </a:r>
                </a:p>
              </cx:txPr>
              <cx:visibility seriesName="0" categoryName="1" value="1"/>
              <cx:separator>; </cx:separator>
            </cx:dataLabel>
            <cx:dataLabel idx="6">
              <cx:numFmt formatCode="£#,##0&quot;m&quot;" sourceLinked="0"/>
              <cx:txPr>
                <a:bodyPr spcFirstLastPara="1" vertOverflow="ellipsis" wrap="square" lIns="0" tIns="0" rIns="0" bIns="0" anchor="ctr" anchorCtr="1">
                  <a:spAutoFit/>
                </a:bodyPr>
                <a:lstStyle/>
                <a:p>
                  <a:pPr>
                    <a:defRPr lang="en-US" sz="1200" b="0" i="0" u="none" strike="noStrike" kern="1200" baseline="0">
                      <a:solidFill>
                        <a:sysClr val="windowText" lastClr="000000"/>
                      </a:solidFill>
                      <a:latin typeface="Arial" panose="020B0604020202020204" pitchFamily="34" charset="0"/>
                      <a:ea typeface="Arial" panose="020B0604020202020204" pitchFamily="34" charset="0"/>
                      <a:cs typeface="Arial" panose="020B0604020202020204" pitchFamily="34" charset="0"/>
                    </a:defRPr>
                  </a:pPr>
                  <a:r>
                    <a:rPr lang="en-US" sz="1200">
                      <a:solidFill>
                        <a:sysClr val="windowText" lastClr="000000"/>
                      </a:solidFill>
                      <a:latin typeface="Arial" panose="020B0604020202020204" pitchFamily="34" charset="0"/>
                      <a:cs typeface="Arial" panose="020B0604020202020204" pitchFamily="34" charset="0"/>
                    </a:rPr>
                    <a:t>Culture &amp; Related Services; £233m</a:t>
                  </a:r>
                </a:p>
              </cx:txPr>
              <cx:visibility seriesName="0" categoryName="1" value="1"/>
              <cx:separator>; </cx:separator>
            </cx:dataLabel>
            <cx:dataLabel idx="7">
              <cx:numFmt formatCode="£#,##0&quot;m&quot;" sourceLinked="0"/>
              <cx:txPr>
                <a:bodyPr spcFirstLastPara="1" vertOverflow="ellipsis" wrap="square" lIns="0" tIns="0" rIns="0" bIns="0" anchor="ctr" anchorCtr="1">
                  <a:spAutoFit/>
                </a:bodyPr>
                <a:lstStyle/>
                <a:p>
                  <a:pPr>
                    <a:defRPr lang="en-US" sz="1200" b="0" i="0" u="none" strike="noStrike" kern="1200" baseline="0">
                      <a:solidFill>
                        <a:sysClr val="windowText" lastClr="000000"/>
                      </a:solidFill>
                      <a:latin typeface="Arial" panose="020B0604020202020204" pitchFamily="34" charset="0"/>
                      <a:ea typeface="Arial" panose="020B0604020202020204" pitchFamily="34" charset="0"/>
                      <a:cs typeface="Arial" panose="020B0604020202020204" pitchFamily="34" charset="0"/>
                    </a:defRPr>
                  </a:pPr>
                  <a:r>
                    <a:rPr lang="en-US" sz="1200">
                      <a:solidFill>
                        <a:sysClr val="windowText" lastClr="000000"/>
                      </a:solidFill>
                      <a:latin typeface="Arial" panose="020B0604020202020204" pitchFamily="34" charset="0"/>
                      <a:cs typeface="Arial" panose="020B0604020202020204" pitchFamily="34" charset="0"/>
                    </a:rPr>
                    <a:t>Environmental Services; £159m</a:t>
                  </a:r>
                </a:p>
              </cx:txPr>
              <cx:visibility seriesName="0" categoryName="1" value="1"/>
              <cx:separator>; </cx:separator>
            </cx:dataLabel>
          </cx:dataLabels>
          <cx:dataId val="0"/>
          <cx:layoutPr/>
        </cx:series>
      </cx:plotAreaRegion>
    </cx:plotArea>
  </cx:chart>
  <cx:spPr>
    <a:ln>
      <a:noFill/>
    </a:ln>
  </cx:spPr>
  <cx:clrMapOvr bg1="lt1" tx1="dk1" bg2="lt2" tx2="dk2" accent1="accent1" accent2="accent2" accent3="accent3" accent4="accent4" accent5="accent5" accent6="accent6" hlink="hlink" folHlink="folHlink"/>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_xlchart.v1.10</cx:f>
      </cx:strDim>
      <cx:numDim type="size">
        <cx:f>_xlchart.v1.11</cx:f>
      </cx:numDim>
    </cx:data>
  </cx:chartData>
  <cx:chart>
    <cx:plotArea>
      <cx:plotAreaRegion>
        <cx:series layoutId="treemap" uniqueId="{948D7A6A-ABFF-4E7C-99A3-A556CEC1998D}">
          <cx:dataPt idx="0">
            <cx:spPr>
              <a:solidFill>
                <a:srgbClr val="1D2F47"/>
              </a:solidFill>
            </cx:spPr>
          </cx:dataPt>
          <cx:dataPt idx="1">
            <cx:spPr>
              <a:solidFill>
                <a:srgbClr val="3A5E8E"/>
              </a:solidFill>
            </cx:spPr>
          </cx:dataPt>
          <cx:dataPt idx="2">
            <cx:spPr>
              <a:solidFill>
                <a:srgbClr val="B5C8E1"/>
              </a:solidFill>
            </cx:spPr>
          </cx:dataPt>
          <cx:dataPt idx="3">
            <cx:spPr>
              <a:solidFill>
                <a:srgbClr val="EEF2F8"/>
              </a:solidFill>
            </cx:spPr>
          </cx:dataPt>
          <cx:dataPt idx="4">
            <cx:spPr>
              <a:solidFill>
                <a:srgbClr val="5C85BC"/>
              </a:solidFill>
              <a:ln>
                <a:solidFill>
                  <a:schemeClr val="bg1">
                    <a:lumMod val="95000"/>
                  </a:schemeClr>
                </a:solidFill>
              </a:ln>
            </cx:spPr>
          </cx:dataPt>
          <cx:dataLabels>
            <cx:numFmt formatCode="£#,##0&quot;m&quot;" sourceLinked="0"/>
            <cx:txPr>
              <a:bodyPr spcFirstLastPara="1" vertOverflow="ellipsis" horzOverflow="overflow" wrap="square" lIns="38100" tIns="19050" rIns="38100" bIns="19050" anchor="ctr" anchorCtr="1">
                <a:spAutoFit/>
              </a:bodyPr>
              <a:lstStyle/>
              <a:p>
                <a:pPr algn="ctr" rtl="0">
                  <a:defRPr sz="1400" b="0">
                    <a:latin typeface="Arial" panose="020B0604020202020204" pitchFamily="34" charset="0"/>
                    <a:ea typeface="Arial" panose="020B0604020202020204" pitchFamily="34" charset="0"/>
                    <a:cs typeface="Arial" panose="020B0604020202020204" pitchFamily="34" charset="0"/>
                  </a:defRPr>
                </a:pPr>
                <a:endParaRPr lang="en-GB" sz="1400" b="0" i="0" u="none" strike="noStrike" kern="1200" baseline="0">
                  <a:solidFill>
                    <a:sysClr val="window" lastClr="FFFFFF"/>
                  </a:solidFill>
                  <a:latin typeface="Arial" panose="020B0604020202020204" pitchFamily="34" charset="0"/>
                  <a:cs typeface="Arial" panose="020B0604020202020204" pitchFamily="34" charset="0"/>
                </a:endParaRPr>
              </a:p>
            </cx:txPr>
            <cx:visibility seriesName="0" categoryName="1" value="1"/>
            <cx:separator>, </cx:separator>
            <cx:dataLabel idx="2">
              <cx:txPr>
                <a:bodyPr spcFirstLastPara="1" vertOverflow="ellipsis" horzOverflow="overflow" wrap="square" lIns="38100" tIns="19050" rIns="38100" bIns="19050" anchor="ctr" anchorCtr="1">
                  <a:spAutoFit/>
                </a:bodyPr>
                <a:lstStyle/>
                <a:p>
                  <a:pPr algn="ctr" rtl="0">
                    <a:defRPr>
                      <a:solidFill>
                        <a:sysClr val="windowText" lastClr="000000"/>
                      </a:solidFill>
                    </a:defRPr>
                  </a:pPr>
                  <a:r>
                    <a:rPr lang="en-GB" sz="1400" b="0" i="0" u="none" strike="noStrike" kern="1200" baseline="0">
                      <a:solidFill>
                        <a:sysClr val="windowText" lastClr="000000"/>
                      </a:solidFill>
                      <a:latin typeface="Arial" panose="020B0604020202020204" pitchFamily="34" charset="0"/>
                      <a:cs typeface="Arial" panose="020B0604020202020204" pitchFamily="34" charset="0"/>
                    </a:rPr>
                    <a:t>Credit Arrangements, £692m</a:t>
                  </a:r>
                </a:p>
              </cx:txPr>
            </cx:dataLabel>
            <cx:dataLabel idx="3">
              <cx:txPr>
                <a:bodyPr spcFirstLastPara="1" vertOverflow="ellipsis" horzOverflow="overflow" wrap="square" lIns="38100" tIns="19050" rIns="38100" bIns="19050" anchor="ctr" anchorCtr="1">
                  <a:spAutoFit/>
                </a:bodyPr>
                <a:lstStyle/>
                <a:p>
                  <a:pPr algn="ctr" rtl="0">
                    <a:defRPr sz="1100">
                      <a:solidFill>
                        <a:schemeClr val="tx1"/>
                      </a:solidFill>
                    </a:defRPr>
                  </a:pPr>
                  <a:r>
                    <a:rPr lang="en-GB" sz="1100" b="0" i="0" u="none" strike="noStrike" kern="1200" baseline="0">
                      <a:solidFill>
                        <a:schemeClr val="tx1"/>
                      </a:solidFill>
                      <a:latin typeface="Arial" panose="020B0604020202020204" pitchFamily="34" charset="0"/>
                      <a:cs typeface="Arial" panose="020B0604020202020204" pitchFamily="34" charset="0"/>
                    </a:rPr>
                    <a:t>Capital Reserves, £112m</a:t>
                  </a:r>
                </a:p>
              </cx:txPr>
            </cx:dataLabel>
          </cx:dataLabels>
          <cx:dataId val="0"/>
          <cx:layoutPr>
            <cx:parentLabelLayout val="overlapping"/>
          </cx:layoutPr>
        </cx:series>
      </cx:plotAreaRegion>
    </cx:plotArea>
  </cx:chart>
  <cx:spPr>
    <a:noFill/>
    <a:ln>
      <a:noFill/>
    </a:ln>
  </cx:spPr>
  <cx:clrMapOvr bg1="lt1" tx1="dk1" bg2="lt2" tx2="dk2" accent1="accent1" accent2="accent2" accent3="accent3" accent4="accent4" accent5="accent5" accent6="accent6" hlink="hlink" folHlink="folHlink"/>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strDim type="cat">
        <cx:f>_xlchart.v1.12</cx:f>
      </cx:strDim>
      <cx:numDim type="size">
        <cx:f>_xlchart.v1.13</cx:f>
      </cx:numDim>
    </cx:data>
  </cx:chartData>
  <cx:chart>
    <cx:plotArea>
      <cx:plotAreaRegion>
        <cx:series layoutId="treemap" uniqueId="{00000000-F08E-4DF2-A9D4-EBBB28EEE240}">
          <cx:dataPt idx="1">
            <cx:spPr>
              <a:solidFill>
                <a:srgbClr val="1D2F47"/>
              </a:solidFill>
            </cx:spPr>
          </cx:dataPt>
          <cx:dataPt idx="2">
            <cx:spPr>
              <a:solidFill>
                <a:srgbClr val="5C85BC"/>
              </a:solidFill>
            </cx:spPr>
          </cx:dataPt>
          <cx:dataPt idx="3">
            <cx:spPr>
              <a:solidFill>
                <a:srgbClr val="3A5E8E"/>
              </a:solidFill>
            </cx:spPr>
          </cx:dataPt>
          <cx:dataPt idx="4">
            <cx:spPr>
              <a:solidFill>
                <a:srgbClr val="B5C8E1"/>
              </a:solidFill>
            </cx:spPr>
          </cx:dataPt>
          <cx:dataPt idx="5">
            <cx:spPr>
              <a:solidFill>
                <a:srgbClr val="EEF2F8"/>
              </a:solidFill>
            </cx:spPr>
          </cx:dataPt>
          <cx:dataPt idx="7">
            <cx:spPr>
              <a:solidFill>
                <a:srgbClr val="626262"/>
              </a:solidFill>
            </cx:spPr>
          </cx:dataPt>
          <cx:dataPt idx="8">
            <cx:spPr>
              <a:solidFill>
                <a:srgbClr val="DEDEDE"/>
              </a:solidFill>
            </cx:spPr>
          </cx:dataPt>
          <cx:dataLabels>
            <cx:numFmt formatCode="£#,##0&quot;m&quot;" sourceLinked="0"/>
            <cx:txPr>
              <a:bodyPr spcFirstLastPara="1" vertOverflow="ellipsis" wrap="square" lIns="0" tIns="0" rIns="0" bIns="0" anchor="ctr" anchorCtr="1">
                <a:spAutoFit/>
              </a:bodyPr>
              <a:lstStyle/>
              <a:p>
                <a:pPr>
                  <a:defRPr lang="en-US" sz="1200" b="0" i="0" u="none" strike="noStrike" kern="1200" baseline="0">
                    <a:solidFill>
                      <a:sysClr val="window" lastClr="FFFFFF"/>
                    </a:solidFill>
                    <a:latin typeface="Arial" panose="020B0604020202020204" pitchFamily="34" charset="0"/>
                    <a:ea typeface="Arial" panose="020B0604020202020204" pitchFamily="34" charset="0"/>
                    <a:cs typeface="Arial" panose="020B0604020202020204" pitchFamily="34" charset="0"/>
                  </a:defRPr>
                </a:pPr>
                <a:endParaRPr lang="en-US" sz="1200">
                  <a:latin typeface="Arial" panose="020B0604020202020204" pitchFamily="34" charset="0"/>
                  <a:cs typeface="Arial" panose="020B0604020202020204" pitchFamily="34" charset="0"/>
                </a:endParaRPr>
              </a:p>
            </cx:txPr>
            <cx:visibility seriesName="0" categoryName="1" value="1"/>
            <cx:separator>
</cx:separator>
            <cx:dataLabel idx="1">
              <cx:numFmt formatCode="£#,##0&quot;m&quot;" sourceLinked="0"/>
              <cx:visibility seriesName="0" categoryName="1" value="1"/>
              <cx:separator>; </cx:separator>
            </cx:dataLabel>
            <cx:dataLabel idx="2">
              <cx:separator>; </cx:separator>
            </cx:dataLabel>
            <cx:dataLabel idx="3">
              <cx:separator>; </cx:separator>
            </cx:dataLabel>
            <cx:dataLabel idx="4">
              <cx:numFmt formatCode="£#,##0&quot;m&quot;" sourceLinked="0"/>
              <cx:txPr>
                <a:bodyPr spcFirstLastPara="1" vertOverflow="ellipsis" wrap="square" lIns="0" tIns="0" rIns="0" bIns="0" anchor="ctr" anchorCtr="1">
                  <a:spAutoFit/>
                </a:bodyPr>
                <a:lstStyle/>
                <a:p>
                  <a:pPr>
                    <a:defRPr lang="en-US" sz="1200" b="0" i="0" u="none" strike="noStrike" kern="1200" baseline="0">
                      <a:solidFill>
                        <a:sysClr val="windowText" lastClr="000000"/>
                      </a:solidFill>
                      <a:latin typeface="Arial" panose="020B0604020202020204" pitchFamily="34" charset="0"/>
                      <a:ea typeface="Arial" panose="020B0604020202020204" pitchFamily="34" charset="0"/>
                      <a:cs typeface="Arial" panose="020B0604020202020204" pitchFamily="34" charset="0"/>
                    </a:defRPr>
                  </a:pPr>
                  <a:r>
                    <a:rPr lang="en-US" sz="1200">
                      <a:solidFill>
                        <a:sysClr val="windowText" lastClr="000000"/>
                      </a:solidFill>
                      <a:latin typeface="Arial" panose="020B0604020202020204" pitchFamily="34" charset="0"/>
                      <a:cs typeface="Arial" panose="020B0604020202020204" pitchFamily="34" charset="0"/>
                    </a:rPr>
                    <a:t>Renewal and Repairs; £143m</a:t>
                  </a:r>
                </a:p>
              </cx:txPr>
              <cx:visibility seriesName="0" categoryName="1" value="1"/>
              <cx:separator>; </cx:separator>
            </cx:dataLabel>
            <cx:dataLabel idx="5">
              <cx:numFmt formatCode="£#,##0&quot;m&quot;" sourceLinked="0"/>
              <cx:txPr>
                <a:bodyPr spcFirstLastPara="1" vertOverflow="ellipsis" wrap="square" lIns="0" tIns="0" rIns="0" bIns="0" anchor="ctr" anchorCtr="1">
                  <a:spAutoFit/>
                </a:bodyPr>
                <a:lstStyle/>
                <a:p>
                  <a:pPr>
                    <a:defRPr lang="en-US" sz="1200" b="0" i="0" u="none" strike="noStrike" kern="1200" baseline="0">
                      <a:solidFill>
                        <a:sysClr val="windowText" lastClr="000000"/>
                      </a:solidFill>
                      <a:latin typeface="Arial" panose="020B0604020202020204" pitchFamily="34" charset="0"/>
                      <a:ea typeface="Arial" panose="020B0604020202020204" pitchFamily="34" charset="0"/>
                      <a:cs typeface="Arial" panose="020B0604020202020204" pitchFamily="34" charset="0"/>
                    </a:defRPr>
                  </a:pPr>
                  <a:r>
                    <a:rPr lang="en-US" sz="1200">
                      <a:solidFill>
                        <a:sysClr val="windowText" lastClr="000000"/>
                      </a:solidFill>
                      <a:latin typeface="Arial" panose="020B0604020202020204" pitchFamily="34" charset="0"/>
                      <a:cs typeface="Arial" panose="020B0604020202020204" pitchFamily="34" charset="0"/>
                    </a:rPr>
                    <a:t>Other; £89m</a:t>
                  </a:r>
                </a:p>
              </cx:txPr>
              <cx:visibility seriesName="0" categoryName="1" value="1"/>
              <cx:separator>; </cx:separator>
            </cx:dataLabel>
            <cx:dataLabel idx="7">
              <cx:separator>; </cx:separator>
            </cx:dataLabel>
            <cx:dataLabel idx="8">
              <cx:numFmt formatCode="£#,##0&quot;m&quot;" sourceLinked="0"/>
              <cx:txPr>
                <a:bodyPr spcFirstLastPara="1" vertOverflow="ellipsis" wrap="square" lIns="0" tIns="0" rIns="0" bIns="0" anchor="ctr" anchorCtr="1">
                  <a:spAutoFit/>
                </a:bodyPr>
                <a:lstStyle/>
                <a:p>
                  <a:pPr>
                    <a:defRPr lang="en-US" sz="1000" b="0" i="0" u="none" strike="noStrike" kern="1200" baseline="0">
                      <a:solidFill>
                        <a:sysClr val="windowText" lastClr="000000"/>
                      </a:solidFill>
                      <a:latin typeface="Arial" panose="020B0604020202020204" pitchFamily="34" charset="0"/>
                      <a:ea typeface="Arial" panose="020B0604020202020204" pitchFamily="34" charset="0"/>
                      <a:cs typeface="Arial" panose="020B0604020202020204" pitchFamily="34" charset="0"/>
                    </a:defRPr>
                  </a:pPr>
                  <a:r>
                    <a:rPr lang="en-US" sz="1000">
                      <a:solidFill>
                        <a:sysClr val="windowText" lastClr="000000"/>
                      </a:solidFill>
                      <a:latin typeface="Arial" panose="020B0604020202020204" pitchFamily="34" charset="0"/>
                      <a:cs typeface="Arial" panose="020B0604020202020204" pitchFamily="34" charset="0"/>
                    </a:rPr>
                    <a:t>Capital Grants and Receipts Unapplied; £152m</a:t>
                  </a:r>
                </a:p>
              </cx:txPr>
              <cx:visibility seriesName="0" categoryName="1" value="1"/>
              <cx:separator>; </cx:separator>
            </cx:dataLabel>
            <cx:dataLabelHidden idx="0"/>
            <cx:dataLabelHidden idx="6"/>
          </cx:dataLabels>
          <cx:dataId val="0"/>
          <cx:layoutPr/>
        </cx:series>
      </cx:plotAreaRegion>
    </cx:plotArea>
  </cx:chart>
  <cx:spPr>
    <a:ln>
      <a:noFill/>
    </a:ln>
  </cx:spPr>
  <cx:clrMapOvr bg1="lt1" tx1="dk1" bg2="lt2" tx2="dk2" accent1="accent1" accent2="accent2" accent3="accent3" accent4="accent4" accent5="accent5" accent6="accent6" hlink="hlink" folHlink="folHlink"/>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8">
  <a:schemeClr val="accent5"/>
</cs:colorStyle>
</file>

<file path=xl/charts/colors10.xml><?xml version="1.0" encoding="utf-8"?>
<cs:colorStyle xmlns:cs="http://schemas.microsoft.com/office/drawing/2012/chartStyle" xmlns:a="http://schemas.openxmlformats.org/drawingml/2006/main" meth="withinLinear" id="18">
  <a:schemeClr val="accent5"/>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withinLinear" id="18">
  <a:schemeClr val="accent5"/>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withinLinearReversed" id="25">
  <a:schemeClr val="accent5"/>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withinLinear" id="18">
  <a:schemeClr val="accent5"/>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bg1"/>
    </cs:fontRef>
    <cs:defRPr sz="900" kern="1200"/>
    <cs:bodyPr lIns="38100" tIns="19050" rIns="38100" bIns="19050">
      <a:spAutoFit/>
    </cs:bodyPr>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defRPr sz="900"/>
  </cs:dataTable>
  <cs:downBar>
    <cs:lnRef idx="0"/>
    <cs:fillRef idx="0"/>
    <cs:effectRef idx="0"/>
    <cs:fontRef idx="minor">
      <a:schemeClr val="tx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lumOff val="10000"/>
          </a:schemeClr>
        </a:solidFill>
        <a:round/>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tx1"/>
    </cs:fontRef>
    <cs:spPr>
      <a:solidFill>
        <a:schemeClr val="lt1"/>
      </a:solidFill>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bg1"/>
    </cs:fontRef>
    <cs:defRPr sz="900" kern="1200"/>
    <cs:bodyPr lIns="38100" tIns="19050" rIns="38100" bIns="19050">
      <a:spAutoFit/>
    </cs:bodyPr>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defRPr sz="900"/>
  </cs:dataTable>
  <cs:downBar>
    <cs:lnRef idx="0"/>
    <cs:fillRef idx="0"/>
    <cs:effectRef idx="0"/>
    <cs:fontRef idx="minor">
      <a:schemeClr val="tx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lumOff val="10000"/>
          </a:schemeClr>
        </a:solidFill>
        <a:round/>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tx1"/>
    </cs:fontRef>
    <cs:spPr>
      <a:solidFill>
        <a:schemeClr val="lt1"/>
      </a:solidFill>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bg1"/>
    </cs:fontRef>
    <cs:defRPr sz="900" kern="1200"/>
    <cs:bodyPr lIns="38100" tIns="19050" rIns="38100" bIns="19050">
      <a:spAutoFit/>
    </cs:bodyPr>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defRPr sz="900"/>
  </cs:dataTable>
  <cs:downBar>
    <cs:lnRef idx="0"/>
    <cs:fillRef idx="0"/>
    <cs:effectRef idx="0"/>
    <cs:fontRef idx="minor">
      <a:schemeClr val="tx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lumOff val="10000"/>
          </a:schemeClr>
        </a:solidFill>
        <a:round/>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tx1"/>
    </cs:fontRef>
    <cs:spPr>
      <a:solidFill>
        <a:schemeClr val="lt1"/>
      </a:solidFill>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bg1"/>
    </cs:fontRef>
    <cs:defRPr sz="900" kern="1200"/>
    <cs:bodyPr lIns="38100" tIns="19050" rIns="38100" bIns="19050">
      <a:spAutoFit/>
    </cs:bodyPr>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defRPr sz="900"/>
  </cs:dataTable>
  <cs:downBar>
    <cs:lnRef idx="0"/>
    <cs:fillRef idx="0"/>
    <cs:effectRef idx="0"/>
    <cs:fontRef idx="minor">
      <a:schemeClr val="tx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lumOff val="10000"/>
          </a:schemeClr>
        </a:solidFill>
        <a:round/>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tx1"/>
    </cs:fontRef>
    <cs:spPr>
      <a:solidFill>
        <a:schemeClr val="lt1"/>
      </a:solidFill>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bg1"/>
    </cs:fontRef>
    <cs:defRPr sz="900" kern="1200"/>
    <cs:bodyPr lIns="38100" tIns="19050" rIns="38100" bIns="19050">
      <a:spAutoFit/>
    </cs:bodyPr>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defRPr sz="900"/>
  </cs:dataTable>
  <cs:downBar>
    <cs:lnRef idx="0"/>
    <cs:fillRef idx="0"/>
    <cs:effectRef idx="0"/>
    <cs:fontRef idx="minor">
      <a:schemeClr val="tx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lumOff val="10000"/>
          </a:schemeClr>
        </a:solidFill>
        <a:round/>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tx1"/>
    </cs:fontRef>
    <cs:spPr>
      <a:solidFill>
        <a:schemeClr val="lt1"/>
      </a:solidFill>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bg1"/>
    </cs:fontRef>
    <cs:defRPr sz="900" kern="1200"/>
    <cs:bodyPr lIns="38100" tIns="19050" rIns="38100" bIns="19050">
      <a:spAutoFit/>
    </cs:bodyPr>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defRPr sz="900"/>
  </cs:dataTable>
  <cs:downBar>
    <cs:lnRef idx="0"/>
    <cs:fillRef idx="0"/>
    <cs:effectRef idx="0"/>
    <cs:fontRef idx="minor">
      <a:schemeClr val="tx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lumOff val="10000"/>
          </a:schemeClr>
        </a:solidFill>
        <a:round/>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tx1"/>
    </cs:fontRef>
    <cs:spPr>
      <a:solidFill>
        <a:schemeClr val="lt1"/>
      </a:solidFill>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bg1"/>
    </cs:fontRef>
    <cs:defRPr sz="900" kern="1200"/>
    <cs:bodyPr lIns="38100" tIns="19050" rIns="38100" bIns="19050">
      <a:spAutoFit/>
    </cs:bodyPr>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defRPr sz="900"/>
  </cs:dataTable>
  <cs:downBar>
    <cs:lnRef idx="0"/>
    <cs:fillRef idx="0"/>
    <cs:effectRef idx="0"/>
    <cs:fontRef idx="minor">
      <a:schemeClr val="tx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lumOff val="10000"/>
          </a:schemeClr>
        </a:solidFill>
        <a:round/>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tx1"/>
    </cs:fontRef>
    <cs:spPr>
      <a:solidFill>
        <a:schemeClr val="lt1"/>
      </a:solidFill>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2" Type="http://schemas.microsoft.com/office/2014/relationships/chartEx" Target="../charts/chartEx2.xml"/><Relationship Id="rId1" Type="http://schemas.microsoft.com/office/2014/relationships/chartEx" Target="../charts/chartEx1.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5.xml.rels><?xml version="1.0" encoding="UTF-8" standalone="yes"?>
<Relationships xmlns="http://schemas.openxmlformats.org/package/2006/relationships"><Relationship Id="rId1" Type="http://schemas.microsoft.com/office/2014/relationships/chartEx" Target="../charts/chartEx3.xml"/></Relationships>
</file>

<file path=xl/drawings/_rels/drawing16.xml.rels><?xml version="1.0" encoding="UTF-8" standalone="yes"?>
<Relationships xmlns="http://schemas.openxmlformats.org/package/2006/relationships"><Relationship Id="rId1" Type="http://schemas.microsoft.com/office/2014/relationships/chartEx" Target="../charts/chartEx4.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20.xml.rels><?xml version="1.0" encoding="UTF-8" standalone="yes"?>
<Relationships xmlns="http://schemas.openxmlformats.org/package/2006/relationships"><Relationship Id="rId1" Type="http://schemas.microsoft.com/office/2014/relationships/chartEx" Target="../charts/chartEx5.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22.xml.rels><?xml version="1.0" encoding="UTF-8" standalone="yes"?>
<Relationships xmlns="http://schemas.openxmlformats.org/package/2006/relationships"><Relationship Id="rId1" Type="http://schemas.microsoft.com/office/2014/relationships/chartEx" Target="../charts/chartEx6.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24.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25.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26.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27.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28.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29.xml.rels><?xml version="1.0" encoding="UTF-8" standalone="yes"?>
<Relationships xmlns="http://schemas.openxmlformats.org/package/2006/relationships"><Relationship Id="rId1" Type="http://schemas.openxmlformats.org/officeDocument/2006/relationships/chart" Target="../charts/chart23.xml"/></Relationships>
</file>

<file path=xl/drawings/_rels/drawing30.xml.rels><?xml version="1.0" encoding="UTF-8" standalone="yes"?>
<Relationships xmlns="http://schemas.openxmlformats.org/package/2006/relationships"><Relationship Id="rId1" Type="http://schemas.openxmlformats.org/officeDocument/2006/relationships/chart" Target="../charts/chart24.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342900</xdr:colOff>
      <xdr:row>3</xdr:row>
      <xdr:rowOff>196850</xdr:rowOff>
    </xdr:to>
    <xdr:pic>
      <xdr:nvPicPr>
        <xdr:cNvPr id="3" name="Graphic 2">
          <a:extLst>
            <a:ext uri="{FF2B5EF4-FFF2-40B4-BE49-F238E27FC236}">
              <a16:creationId xmlns:a16="http://schemas.microsoft.com/office/drawing/2014/main" id="{93E69155-F92D-40E4-A3EE-CC53E560963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049375" y="0"/>
          <a:ext cx="952500" cy="9525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247650</xdr:colOff>
      <xdr:row>3</xdr:row>
      <xdr:rowOff>85726</xdr:rowOff>
    </xdr:from>
    <xdr:to>
      <xdr:col>16</xdr:col>
      <xdr:colOff>85725</xdr:colOff>
      <xdr:row>18</xdr:row>
      <xdr:rowOff>133350</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336549</xdr:colOff>
      <xdr:row>4</xdr:row>
      <xdr:rowOff>82550</xdr:rowOff>
    </xdr:from>
    <xdr:to>
      <xdr:col>18</xdr:col>
      <xdr:colOff>215900</xdr:colOff>
      <xdr:row>39</xdr:row>
      <xdr:rowOff>76201</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1504950</xdr:colOff>
      <xdr:row>16</xdr:row>
      <xdr:rowOff>161925</xdr:rowOff>
    </xdr:from>
    <xdr:to>
      <xdr:col>8</xdr:col>
      <xdr:colOff>450850</xdr:colOff>
      <xdr:row>43</xdr:row>
      <xdr:rowOff>95250</xdr:rowOff>
    </xdr:to>
    <xdr:graphicFrame macro="">
      <xdr:nvGraphicFramePr>
        <xdr:cNvPr id="2" name="Chart 1">
          <a:extLst>
            <a:ext uri="{FF2B5EF4-FFF2-40B4-BE49-F238E27FC236}">
              <a16:creationId xmlns:a16="http://schemas.microsoft.com/office/drawing/2014/main" id="{00000000-0008-0000-0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657226</xdr:colOff>
      <xdr:row>17</xdr:row>
      <xdr:rowOff>38100</xdr:rowOff>
    </xdr:from>
    <xdr:to>
      <xdr:col>4</xdr:col>
      <xdr:colOff>1266826</xdr:colOff>
      <xdr:row>43</xdr:row>
      <xdr:rowOff>47625</xdr:rowOff>
    </xdr:to>
    <xdr:graphicFrame macro="">
      <xdr:nvGraphicFramePr>
        <xdr:cNvPr id="2" name="Chart 1">
          <a:extLst>
            <a:ext uri="{FF2B5EF4-FFF2-40B4-BE49-F238E27FC236}">
              <a16:creationId xmlns:a16="http://schemas.microsoft.com/office/drawing/2014/main" id="{00000000-0008-0000-0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10</xdr:col>
      <xdr:colOff>176211</xdr:colOff>
      <xdr:row>1</xdr:row>
      <xdr:rowOff>180975</xdr:rowOff>
    </xdr:from>
    <xdr:to>
      <xdr:col>20</xdr:col>
      <xdr:colOff>381000</xdr:colOff>
      <xdr:row>25</xdr:row>
      <xdr:rowOff>0</xdr:rowOff>
    </xdr:to>
    <xdr:graphicFrame macro="">
      <xdr:nvGraphicFramePr>
        <xdr:cNvPr id="3" name="Chart 2">
          <a:extLst>
            <a:ext uri="{FF2B5EF4-FFF2-40B4-BE49-F238E27FC236}">
              <a16:creationId xmlns:a16="http://schemas.microsoft.com/office/drawing/2014/main" id="{00000000-0008-0000-0E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276225</xdr:colOff>
      <xdr:row>4</xdr:row>
      <xdr:rowOff>152401</xdr:rowOff>
    </xdr:from>
    <xdr:to>
      <xdr:col>13</xdr:col>
      <xdr:colOff>200025</xdr:colOff>
      <xdr:row>13</xdr:row>
      <xdr:rowOff>95250</xdr:rowOff>
    </xdr:to>
    <xdr:graphicFrame macro="">
      <xdr:nvGraphicFramePr>
        <xdr:cNvPr id="5" name="Chart 4">
          <a:extLst>
            <a:ext uri="{FF2B5EF4-FFF2-40B4-BE49-F238E27FC236}">
              <a16:creationId xmlns:a16="http://schemas.microsoft.com/office/drawing/2014/main" id="{00000000-0008-0000-1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762000</xdr:colOff>
      <xdr:row>13</xdr:row>
      <xdr:rowOff>171450</xdr:rowOff>
    </xdr:from>
    <xdr:to>
      <xdr:col>5</xdr:col>
      <xdr:colOff>790574</xdr:colOff>
      <xdr:row>38</xdr:row>
      <xdr:rowOff>9525</xdr:rowOff>
    </xdr:to>
    <xdr:graphicFrame macro="">
      <xdr:nvGraphicFramePr>
        <xdr:cNvPr id="2" name="Chart 1">
          <a:extLst>
            <a:ext uri="{FF2B5EF4-FFF2-40B4-BE49-F238E27FC236}">
              <a16:creationId xmlns:a16="http://schemas.microsoft.com/office/drawing/2014/main" id="{83173C34-A962-46E4-8119-26E42A7E50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9</xdr:col>
      <xdr:colOff>390524</xdr:colOff>
      <xdr:row>3</xdr:row>
      <xdr:rowOff>238125</xdr:rowOff>
    </xdr:from>
    <xdr:to>
      <xdr:col>19</xdr:col>
      <xdr:colOff>228600</xdr:colOff>
      <xdr:row>40</xdr:row>
      <xdr:rowOff>95250</xdr:rowOff>
    </xdr:to>
    <xdr:graphicFrame macro="">
      <xdr:nvGraphicFramePr>
        <xdr:cNvPr id="2" name="Chart 1">
          <a:extLst>
            <a:ext uri="{FF2B5EF4-FFF2-40B4-BE49-F238E27FC236}">
              <a16:creationId xmlns:a16="http://schemas.microsoft.com/office/drawing/2014/main" id="{16BD7E88-DB39-4F1F-8A0D-7DD5698AC1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2</xdr:col>
      <xdr:colOff>390524</xdr:colOff>
      <xdr:row>5</xdr:row>
      <xdr:rowOff>142875</xdr:rowOff>
    </xdr:from>
    <xdr:to>
      <xdr:col>12</xdr:col>
      <xdr:colOff>104775</xdr:colOff>
      <xdr:row>39</xdr:row>
      <xdr:rowOff>76200</xdr:rowOff>
    </xdr:to>
    <xdr:graphicFrame macro="">
      <xdr:nvGraphicFramePr>
        <xdr:cNvPr id="2" name="Chart 1">
          <a:extLst>
            <a:ext uri="{FF2B5EF4-FFF2-40B4-BE49-F238E27FC236}">
              <a16:creationId xmlns:a16="http://schemas.microsoft.com/office/drawing/2014/main" id="{CF49DB35-FE74-4692-902B-97C8EAA247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2264</xdr:colOff>
      <xdr:row>7</xdr:row>
      <xdr:rowOff>708932</xdr:rowOff>
    </xdr:from>
    <xdr:to>
      <xdr:col>23</xdr:col>
      <xdr:colOff>67127</xdr:colOff>
      <xdr:row>41</xdr:row>
      <xdr:rowOff>63500</xdr:rowOff>
    </xdr:to>
    <xdr:graphicFrame macro="">
      <xdr:nvGraphicFramePr>
        <xdr:cNvPr id="2" name="Chart 1">
          <a:extLst>
            <a:ext uri="{FF2B5EF4-FFF2-40B4-BE49-F238E27FC236}">
              <a16:creationId xmlns:a16="http://schemas.microsoft.com/office/drawing/2014/main" id="{755BC5E8-39D0-4D12-AA32-B6E1DDC291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10</xdr:col>
      <xdr:colOff>233793</xdr:colOff>
      <xdr:row>6</xdr:row>
      <xdr:rowOff>54840</xdr:rowOff>
    </xdr:from>
    <xdr:to>
      <xdr:col>23</xdr:col>
      <xdr:colOff>71437</xdr:colOff>
      <xdr:row>41</xdr:row>
      <xdr:rowOff>66963</xdr:rowOff>
    </xdr:to>
    <xdr:graphicFrame macro="">
      <xdr:nvGraphicFramePr>
        <xdr:cNvPr id="2" name="Chart 1">
          <a:extLst>
            <a:ext uri="{FF2B5EF4-FFF2-40B4-BE49-F238E27FC236}">
              <a16:creationId xmlns:a16="http://schemas.microsoft.com/office/drawing/2014/main" id="{705E0F54-56A7-4800-AEF0-044335889A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4</xdr:col>
      <xdr:colOff>409574</xdr:colOff>
      <xdr:row>8</xdr:row>
      <xdr:rowOff>57152</xdr:rowOff>
    </xdr:from>
    <xdr:to>
      <xdr:col>13</xdr:col>
      <xdr:colOff>296333</xdr:colOff>
      <xdr:row>28</xdr:row>
      <xdr:rowOff>19050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59F2417E-247B-4C0B-A086-A7C4FA3356D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108699" y="2238377"/>
              <a:ext cx="6519334" cy="5495923"/>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409574</xdr:colOff>
      <xdr:row>8</xdr:row>
      <xdr:rowOff>57152</xdr:rowOff>
    </xdr:from>
    <xdr:to>
      <xdr:col>13</xdr:col>
      <xdr:colOff>296333</xdr:colOff>
      <xdr:row>28</xdr:row>
      <xdr:rowOff>19050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F55FEFD3-EC58-4A01-AC19-E8EA3066CF7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6108699" y="2238377"/>
              <a:ext cx="6519334" cy="5495923"/>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14.xml><?xml version="1.0" encoding="utf-8"?>
<xdr:wsDr xmlns:xdr="http://schemas.openxmlformats.org/drawingml/2006/spreadsheetDrawing" xmlns:a="http://schemas.openxmlformats.org/drawingml/2006/main">
  <xdr:twoCellAnchor>
    <xdr:from>
      <xdr:col>0</xdr:col>
      <xdr:colOff>1573212</xdr:colOff>
      <xdr:row>15</xdr:row>
      <xdr:rowOff>95250</xdr:rowOff>
    </xdr:from>
    <xdr:to>
      <xdr:col>3</xdr:col>
      <xdr:colOff>1381125</xdr:colOff>
      <xdr:row>34</xdr:row>
      <xdr:rowOff>76200</xdr:rowOff>
    </xdr:to>
    <xdr:graphicFrame macro="">
      <xdr:nvGraphicFramePr>
        <xdr:cNvPr id="2" name="Chart 1">
          <a:extLst>
            <a:ext uri="{FF2B5EF4-FFF2-40B4-BE49-F238E27FC236}">
              <a16:creationId xmlns:a16="http://schemas.microsoft.com/office/drawing/2014/main" id="{C11F2A94-08ED-4577-88A1-1DE269D14C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5</xdr:col>
      <xdr:colOff>395284</xdr:colOff>
      <xdr:row>2</xdr:row>
      <xdr:rowOff>238121</xdr:rowOff>
    </xdr:from>
    <xdr:to>
      <xdr:col>16</xdr:col>
      <xdr:colOff>382084</xdr:colOff>
      <xdr:row>20</xdr:row>
      <xdr:rowOff>18071</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A4C5F92F-2D2C-40C6-AA17-16BD477E1B9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964234" y="879471"/>
              <a:ext cx="7009900" cy="3986825"/>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16.xml><?xml version="1.0" encoding="utf-8"?>
<xdr:wsDr xmlns:xdr="http://schemas.openxmlformats.org/drawingml/2006/spreadsheetDrawing" xmlns:a="http://schemas.openxmlformats.org/drawingml/2006/main">
  <xdr:twoCellAnchor>
    <xdr:from>
      <xdr:col>5</xdr:col>
      <xdr:colOff>395282</xdr:colOff>
      <xdr:row>2</xdr:row>
      <xdr:rowOff>238117</xdr:rowOff>
    </xdr:from>
    <xdr:to>
      <xdr:col>16</xdr:col>
      <xdr:colOff>0</xdr:colOff>
      <xdr:row>20</xdr:row>
      <xdr:rowOff>76200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54AF7B08-24A1-421D-A612-E2A49221F5A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964232" y="879467"/>
              <a:ext cx="6627818" cy="4044958"/>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17.xml><?xml version="1.0" encoding="utf-8"?>
<xdr:wsDr xmlns:xdr="http://schemas.openxmlformats.org/drawingml/2006/spreadsheetDrawing" xmlns:a="http://schemas.openxmlformats.org/drawingml/2006/main">
  <xdr:twoCellAnchor>
    <xdr:from>
      <xdr:col>16</xdr:col>
      <xdr:colOff>100012</xdr:colOff>
      <xdr:row>3</xdr:row>
      <xdr:rowOff>133349</xdr:rowOff>
    </xdr:from>
    <xdr:to>
      <xdr:col>28</xdr:col>
      <xdr:colOff>114300</xdr:colOff>
      <xdr:row>21</xdr:row>
      <xdr:rowOff>76200</xdr:rowOff>
    </xdr:to>
    <xdr:graphicFrame macro="">
      <xdr:nvGraphicFramePr>
        <xdr:cNvPr id="2" name="Chart 1">
          <a:extLst>
            <a:ext uri="{FF2B5EF4-FFF2-40B4-BE49-F238E27FC236}">
              <a16:creationId xmlns:a16="http://schemas.microsoft.com/office/drawing/2014/main" id="{7494E6B7-9D4A-4B52-A6BA-51657A9359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7</xdr:col>
      <xdr:colOff>419099</xdr:colOff>
      <xdr:row>5</xdr:row>
      <xdr:rowOff>28574</xdr:rowOff>
    </xdr:from>
    <xdr:to>
      <xdr:col>18</xdr:col>
      <xdr:colOff>552451</xdr:colOff>
      <xdr:row>45</xdr:row>
      <xdr:rowOff>85725</xdr:rowOff>
    </xdr:to>
    <xdr:graphicFrame macro="">
      <xdr:nvGraphicFramePr>
        <xdr:cNvPr id="2" name="Chart 1">
          <a:extLst>
            <a:ext uri="{FF2B5EF4-FFF2-40B4-BE49-F238E27FC236}">
              <a16:creationId xmlns:a16="http://schemas.microsoft.com/office/drawing/2014/main" id="{EAAF43C9-1E9C-46E0-A27D-692CA2EAF3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7</xdr:col>
      <xdr:colOff>419099</xdr:colOff>
      <xdr:row>5</xdr:row>
      <xdr:rowOff>28574</xdr:rowOff>
    </xdr:from>
    <xdr:to>
      <xdr:col>18</xdr:col>
      <xdr:colOff>552451</xdr:colOff>
      <xdr:row>45</xdr:row>
      <xdr:rowOff>85725</xdr:rowOff>
    </xdr:to>
    <xdr:graphicFrame macro="">
      <xdr:nvGraphicFramePr>
        <xdr:cNvPr id="2" name="Chart 1">
          <a:extLst>
            <a:ext uri="{FF2B5EF4-FFF2-40B4-BE49-F238E27FC236}">
              <a16:creationId xmlns:a16="http://schemas.microsoft.com/office/drawing/2014/main" id="{87C2AD89-7D20-42F8-BEB1-2BC726B301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9</xdr:col>
      <xdr:colOff>114299</xdr:colOff>
      <xdr:row>3</xdr:row>
      <xdr:rowOff>85722</xdr:rowOff>
    </xdr:from>
    <xdr:to>
      <xdr:col>20</xdr:col>
      <xdr:colOff>47625</xdr:colOff>
      <xdr:row>22</xdr:row>
      <xdr:rowOff>29742</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5292F02B-47CE-433B-91F8-AB5EB32EFA8A}"/>
                </a:ext>
              </a:extLst>
            </xdr:cNvPr>
            <xdr:cNvGraphicFramePr>
              <a:graphicFrameLocks/>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0487024" y="984247"/>
              <a:ext cx="6950076" cy="4481095"/>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1.xml><?xml version="1.0" encoding="utf-8"?>
<xdr:wsDr xmlns:xdr="http://schemas.openxmlformats.org/drawingml/2006/spreadsheetDrawing" xmlns:a="http://schemas.openxmlformats.org/drawingml/2006/main">
  <xdr:twoCellAnchor>
    <xdr:from>
      <xdr:col>0</xdr:col>
      <xdr:colOff>1243011</xdr:colOff>
      <xdr:row>16</xdr:row>
      <xdr:rowOff>142875</xdr:rowOff>
    </xdr:from>
    <xdr:to>
      <xdr:col>5</xdr:col>
      <xdr:colOff>952500</xdr:colOff>
      <xdr:row>41</xdr:row>
      <xdr:rowOff>0</xdr:rowOff>
    </xdr:to>
    <xdr:graphicFrame macro="">
      <xdr:nvGraphicFramePr>
        <xdr:cNvPr id="2" name="Chart 1">
          <a:extLst>
            <a:ext uri="{FF2B5EF4-FFF2-40B4-BE49-F238E27FC236}">
              <a16:creationId xmlns:a16="http://schemas.microsoft.com/office/drawing/2014/main" id="{F8C27544-D65F-4FB8-9D80-BFE2E931AD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xdr:from>
      <xdr:col>7</xdr:col>
      <xdr:colOff>204786</xdr:colOff>
      <xdr:row>3</xdr:row>
      <xdr:rowOff>104771</xdr:rowOff>
    </xdr:from>
    <xdr:to>
      <xdr:col>16</xdr:col>
      <xdr:colOff>332444</xdr:colOff>
      <xdr:row>19</xdr:row>
      <xdr:rowOff>51131</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F2CB511E-8AF5-4A58-9DE8-296538F14067}"/>
                </a:ext>
              </a:extLst>
            </xdr:cNvPr>
            <xdr:cNvGraphicFramePr>
              <a:graphicFrameLocks/>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8764586" y="984246"/>
              <a:ext cx="5877583" cy="392146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3.xml><?xml version="1.0" encoding="utf-8"?>
<xdr:wsDr xmlns:xdr="http://schemas.openxmlformats.org/drawingml/2006/spreadsheetDrawing" xmlns:a="http://schemas.openxmlformats.org/drawingml/2006/main">
  <xdr:twoCellAnchor>
    <xdr:from>
      <xdr:col>0</xdr:col>
      <xdr:colOff>2352674</xdr:colOff>
      <xdr:row>17</xdr:row>
      <xdr:rowOff>161925</xdr:rowOff>
    </xdr:from>
    <xdr:to>
      <xdr:col>5</xdr:col>
      <xdr:colOff>914399</xdr:colOff>
      <xdr:row>39</xdr:row>
      <xdr:rowOff>9524</xdr:rowOff>
    </xdr:to>
    <xdr:graphicFrame macro="">
      <xdr:nvGraphicFramePr>
        <xdr:cNvPr id="2" name="Chart 1">
          <a:extLst>
            <a:ext uri="{FF2B5EF4-FFF2-40B4-BE49-F238E27FC236}">
              <a16:creationId xmlns:a16="http://schemas.microsoft.com/office/drawing/2014/main" id="{93F059E2-A9F0-4F6C-8785-A9A40A6953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4.xml><?xml version="1.0" encoding="utf-8"?>
<xdr:wsDr xmlns:xdr="http://schemas.openxmlformats.org/drawingml/2006/spreadsheetDrawing" xmlns:a="http://schemas.openxmlformats.org/drawingml/2006/main">
  <xdr:twoCellAnchor>
    <xdr:from>
      <xdr:col>0</xdr:col>
      <xdr:colOff>923924</xdr:colOff>
      <xdr:row>7</xdr:row>
      <xdr:rowOff>180974</xdr:rowOff>
    </xdr:from>
    <xdr:to>
      <xdr:col>5</xdr:col>
      <xdr:colOff>466725</xdr:colOff>
      <xdr:row>25</xdr:row>
      <xdr:rowOff>171449</xdr:rowOff>
    </xdr:to>
    <xdr:graphicFrame macro="">
      <xdr:nvGraphicFramePr>
        <xdr:cNvPr id="2" name="Chart 1">
          <a:extLst>
            <a:ext uri="{FF2B5EF4-FFF2-40B4-BE49-F238E27FC236}">
              <a16:creationId xmlns:a16="http://schemas.microsoft.com/office/drawing/2014/main" id="{57D7A1B9-C0D5-4F45-8A35-BE508E0E52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5.xml><?xml version="1.0" encoding="utf-8"?>
<xdr:wsDr xmlns:xdr="http://schemas.openxmlformats.org/drawingml/2006/spreadsheetDrawing" xmlns:a="http://schemas.openxmlformats.org/drawingml/2006/main">
  <xdr:twoCellAnchor>
    <xdr:from>
      <xdr:col>0</xdr:col>
      <xdr:colOff>962025</xdr:colOff>
      <xdr:row>14</xdr:row>
      <xdr:rowOff>60325</xdr:rowOff>
    </xdr:from>
    <xdr:to>
      <xdr:col>5</xdr:col>
      <xdr:colOff>571500</xdr:colOff>
      <xdr:row>35</xdr:row>
      <xdr:rowOff>117475</xdr:rowOff>
    </xdr:to>
    <xdr:graphicFrame macro="">
      <xdr:nvGraphicFramePr>
        <xdr:cNvPr id="2" name="Chart 1">
          <a:extLst>
            <a:ext uri="{FF2B5EF4-FFF2-40B4-BE49-F238E27FC236}">
              <a16:creationId xmlns:a16="http://schemas.microsoft.com/office/drawing/2014/main" id="{62F1F675-F4CF-45EA-815A-787F04210C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6.xml><?xml version="1.0" encoding="utf-8"?>
<xdr:wsDr xmlns:xdr="http://schemas.openxmlformats.org/drawingml/2006/spreadsheetDrawing" xmlns:a="http://schemas.openxmlformats.org/drawingml/2006/main">
  <xdr:twoCellAnchor>
    <xdr:from>
      <xdr:col>5</xdr:col>
      <xdr:colOff>431005</xdr:colOff>
      <xdr:row>3</xdr:row>
      <xdr:rowOff>183356</xdr:rowOff>
    </xdr:from>
    <xdr:to>
      <xdr:col>15</xdr:col>
      <xdr:colOff>38100</xdr:colOff>
      <xdr:row>21</xdr:row>
      <xdr:rowOff>114300</xdr:rowOff>
    </xdr:to>
    <xdr:graphicFrame macro="">
      <xdr:nvGraphicFramePr>
        <xdr:cNvPr id="2" name="Chart 1">
          <a:extLst>
            <a:ext uri="{FF2B5EF4-FFF2-40B4-BE49-F238E27FC236}">
              <a16:creationId xmlns:a16="http://schemas.microsoft.com/office/drawing/2014/main" id="{4A4F7C1B-484A-4CBB-A29B-6551D435FE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7.xml><?xml version="1.0" encoding="utf-8"?>
<xdr:wsDr xmlns:xdr="http://schemas.openxmlformats.org/drawingml/2006/spreadsheetDrawing" xmlns:a="http://schemas.openxmlformats.org/drawingml/2006/main">
  <xdr:twoCellAnchor>
    <xdr:from>
      <xdr:col>0</xdr:col>
      <xdr:colOff>742950</xdr:colOff>
      <xdr:row>12</xdr:row>
      <xdr:rowOff>66674</xdr:rowOff>
    </xdr:from>
    <xdr:to>
      <xdr:col>5</xdr:col>
      <xdr:colOff>428626</xdr:colOff>
      <xdr:row>34</xdr:row>
      <xdr:rowOff>133349</xdr:rowOff>
    </xdr:to>
    <xdr:graphicFrame macro="">
      <xdr:nvGraphicFramePr>
        <xdr:cNvPr id="2" name="Chart 1">
          <a:extLst>
            <a:ext uri="{FF2B5EF4-FFF2-40B4-BE49-F238E27FC236}">
              <a16:creationId xmlns:a16="http://schemas.microsoft.com/office/drawing/2014/main" id="{E0791CED-94CC-49BD-A1BF-E13756DF32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8.xml><?xml version="1.0" encoding="utf-8"?>
<xdr:wsDr xmlns:xdr="http://schemas.openxmlformats.org/drawingml/2006/spreadsheetDrawing" xmlns:a="http://schemas.openxmlformats.org/drawingml/2006/main">
  <xdr:twoCellAnchor>
    <xdr:from>
      <xdr:col>5</xdr:col>
      <xdr:colOff>57152</xdr:colOff>
      <xdr:row>11</xdr:row>
      <xdr:rowOff>133350</xdr:rowOff>
    </xdr:from>
    <xdr:to>
      <xdr:col>13</xdr:col>
      <xdr:colOff>514877</xdr:colOff>
      <xdr:row>34</xdr:row>
      <xdr:rowOff>104775</xdr:rowOff>
    </xdr:to>
    <xdr:graphicFrame macro="">
      <xdr:nvGraphicFramePr>
        <xdr:cNvPr id="2" name="Chart 1">
          <a:extLst>
            <a:ext uri="{FF2B5EF4-FFF2-40B4-BE49-F238E27FC236}">
              <a16:creationId xmlns:a16="http://schemas.microsoft.com/office/drawing/2014/main" id="{59BDE8D9-97B1-484A-87E2-C6691E49D2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9.xml><?xml version="1.0" encoding="utf-8"?>
<xdr:wsDr xmlns:xdr="http://schemas.openxmlformats.org/drawingml/2006/spreadsheetDrawing" xmlns:a="http://schemas.openxmlformats.org/drawingml/2006/main">
  <xdr:twoCellAnchor>
    <xdr:from>
      <xdr:col>2</xdr:col>
      <xdr:colOff>264319</xdr:colOff>
      <xdr:row>13</xdr:row>
      <xdr:rowOff>130492</xdr:rowOff>
    </xdr:from>
    <xdr:to>
      <xdr:col>9</xdr:col>
      <xdr:colOff>217219</xdr:colOff>
      <xdr:row>35</xdr:row>
      <xdr:rowOff>156686</xdr:rowOff>
    </xdr:to>
    <xdr:graphicFrame macro="">
      <xdr:nvGraphicFramePr>
        <xdr:cNvPr id="2" name="Chart 1">
          <a:extLst>
            <a:ext uri="{FF2B5EF4-FFF2-40B4-BE49-F238E27FC236}">
              <a16:creationId xmlns:a16="http://schemas.microsoft.com/office/drawing/2014/main" id="{4155FF6B-DF60-4DE8-8701-2179D9AA0B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0.xml><?xml version="1.0" encoding="utf-8"?>
<xdr:wsDr xmlns:xdr="http://schemas.openxmlformats.org/drawingml/2006/spreadsheetDrawing" xmlns:a="http://schemas.openxmlformats.org/drawingml/2006/main">
  <xdr:twoCellAnchor>
    <xdr:from>
      <xdr:col>0</xdr:col>
      <xdr:colOff>1376360</xdr:colOff>
      <xdr:row>15</xdr:row>
      <xdr:rowOff>171450</xdr:rowOff>
    </xdr:from>
    <xdr:to>
      <xdr:col>4</xdr:col>
      <xdr:colOff>28574</xdr:colOff>
      <xdr:row>36</xdr:row>
      <xdr:rowOff>57150</xdr:rowOff>
    </xdr:to>
    <xdr:graphicFrame macro="">
      <xdr:nvGraphicFramePr>
        <xdr:cNvPr id="2" name="Chart 1">
          <a:extLst>
            <a:ext uri="{FF2B5EF4-FFF2-40B4-BE49-F238E27FC236}">
              <a16:creationId xmlns:a16="http://schemas.microsoft.com/office/drawing/2014/main" id="{D0D7CF37-56D8-47F0-8AE7-E7553C06FB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www.gov.scot/collections/local-government-finance-statistics-information-for-data-suppliers/" TargetMode="External"/><Relationship Id="rId13" Type="http://schemas.openxmlformats.org/officeDocument/2006/relationships/printerSettings" Target="../printerSettings/printerSettings1.bin"/><Relationship Id="rId3" Type="http://schemas.openxmlformats.org/officeDocument/2006/relationships/hyperlink" Target="https://www.gov.scot/publications/local-financial-return/" TargetMode="External"/><Relationship Id="rId7" Type="http://schemas.openxmlformats.org/officeDocument/2006/relationships/hyperlink" Target="http://www.gov.scot/publications/council-tax-reduction/" TargetMode="External"/><Relationship Id="rId12" Type="http://schemas.openxmlformats.org/officeDocument/2006/relationships/hyperlink" Target="https://www.nrscotland.gov.uk/publications/population-estimates-time-series-data/" TargetMode="External"/><Relationship Id="rId2" Type="http://schemas.openxmlformats.org/officeDocument/2006/relationships/hyperlink" Target="mailto:lgfstats@gov.scot?subject=SLGFS%202021-22:%20Excel%20Tables%20File" TargetMode="External"/><Relationship Id="rId1" Type="http://schemas.openxmlformats.org/officeDocument/2006/relationships/hyperlink" Target="https://www.gov.scot/collections/local-government-finance-statistics/" TargetMode="External"/><Relationship Id="rId6" Type="http://schemas.openxmlformats.org/officeDocument/2006/relationships/hyperlink" Target="http://www.gov.scot/publications/council-tax-assumptions/" TargetMode="External"/><Relationship Id="rId11" Type="http://schemas.openxmlformats.org/officeDocument/2006/relationships/hyperlink" Target="https://www.gov.scot/collections/housing-revenue-account-statistics/" TargetMode="External"/><Relationship Id="rId5" Type="http://schemas.openxmlformats.org/officeDocument/2006/relationships/hyperlink" Target="http://www.gov.scot/publications/council-tax-base/" TargetMode="External"/><Relationship Id="rId10" Type="http://schemas.openxmlformats.org/officeDocument/2006/relationships/hyperlink" Target="http://www.gov.scot/collections/local-government-finance-circulars/" TargetMode="External"/><Relationship Id="rId4" Type="http://schemas.openxmlformats.org/officeDocument/2006/relationships/hyperlink" Target="http://www.gov.scot/publications/council-tax-receipts-and-returns/" TargetMode="External"/><Relationship Id="rId9" Type="http://schemas.openxmlformats.org/officeDocument/2006/relationships/hyperlink" Target="http://www.saa.gov.uk/non-domestic-valuation/the-valuation-roll/" TargetMode="Externa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75.bin"/></Relationships>
</file>

<file path=xl/worksheets/_rels/sheet76.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76.bin"/></Relationships>
</file>

<file path=xl/worksheets/_rels/sheet77.xml.rels><?xml version="1.0" encoding="UTF-8" standalone="yes"?>
<Relationships xmlns="http://schemas.openxmlformats.org/package/2006/relationships"><Relationship Id="rId3" Type="http://schemas.openxmlformats.org/officeDocument/2006/relationships/hyperlink" Target="https://www.gov.scot/publications/local-government-finance-circular-5-2021-settlement-for-2021-2022/" TargetMode="External"/><Relationship Id="rId2" Type="http://schemas.openxmlformats.org/officeDocument/2006/relationships/hyperlink" Target="https://www.gov.scot/publications/local-government-finance-circular-1-2025-settlement-for-2025-to-2026/" TargetMode="External"/><Relationship Id="rId1" Type="http://schemas.openxmlformats.org/officeDocument/2006/relationships/hyperlink" Target="https://www.gov.scot/publications/local-government-finance-circular-5-2021-settlement-for-2021-2022/" TargetMode="External"/><Relationship Id="rId4" Type="http://schemas.openxmlformats.org/officeDocument/2006/relationships/hyperlink" Target="https://www.gov.scot/publications/local-government-finance-circular-1-2025-settlement-for-2025-to-202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tabColor rgb="FF183C5C"/>
    <pageSetUpPr fitToPage="1"/>
  </sheetPr>
  <dimension ref="A1:M51"/>
  <sheetViews>
    <sheetView tabSelected="1" zoomScaleNormal="100" workbookViewId="0"/>
  </sheetViews>
  <sheetFormatPr defaultColWidth="9.1796875" defaultRowHeight="15.5"/>
  <cols>
    <col min="1" max="1" width="210.7265625" style="9" customWidth="1"/>
    <col min="2" max="16384" width="9.1796875" style="9"/>
  </cols>
  <sheetData>
    <row r="1" spans="1:1" ht="30" customHeight="1">
      <c r="A1" s="146" t="s">
        <v>698</v>
      </c>
    </row>
    <row r="2" spans="1:1" ht="20.149999999999999" customHeight="1">
      <c r="A2" s="38" t="s">
        <v>892</v>
      </c>
    </row>
    <row r="3" spans="1:1" ht="10" customHeight="1">
      <c r="A3" s="14"/>
    </row>
    <row r="4" spans="1:1" ht="20.149999999999999" customHeight="1">
      <c r="A4" s="147" t="s">
        <v>138</v>
      </c>
    </row>
    <row r="5" spans="1:1" ht="20.149999999999999" customHeight="1">
      <c r="A5" s="9" t="s">
        <v>699</v>
      </c>
    </row>
    <row r="6" spans="1:1" ht="20.149999999999999" customHeight="1">
      <c r="A6" s="9" t="s">
        <v>421</v>
      </c>
    </row>
    <row r="7" spans="1:1" ht="10" customHeight="1"/>
    <row r="8" spans="1:1" ht="20.149999999999999" customHeight="1">
      <c r="A8" s="148" t="s">
        <v>700</v>
      </c>
    </row>
    <row r="9" spans="1:1" ht="20.149999999999999" customHeight="1">
      <c r="A9" s="16"/>
    </row>
    <row r="10" spans="1:1" ht="22" customHeight="1">
      <c r="A10" s="147" t="s">
        <v>171</v>
      </c>
    </row>
    <row r="11" spans="1:1" ht="20.149999999999999" customHeight="1">
      <c r="A11" s="9" t="s">
        <v>172</v>
      </c>
    </row>
    <row r="12" spans="1:1" ht="20.149999999999999" customHeight="1">
      <c r="A12" s="29" t="s">
        <v>299</v>
      </c>
    </row>
    <row r="13" spans="1:1" ht="20.149999999999999" customHeight="1">
      <c r="A13" s="29" t="s">
        <v>184</v>
      </c>
    </row>
    <row r="14" spans="1:1" ht="20.149999999999999" customHeight="1">
      <c r="A14" s="29" t="s">
        <v>314</v>
      </c>
    </row>
    <row r="15" spans="1:1" ht="20.149999999999999" customHeight="1">
      <c r="A15" s="29" t="s">
        <v>173</v>
      </c>
    </row>
    <row r="16" spans="1:1" ht="20.149999999999999" customHeight="1">
      <c r="A16" s="29" t="s">
        <v>315</v>
      </c>
    </row>
    <row r="17" spans="1:1" ht="20.149999999999999" customHeight="1">
      <c r="A17" s="29" t="s">
        <v>174</v>
      </c>
    </row>
    <row r="18" spans="1:1" ht="20.149999999999999" customHeight="1">
      <c r="A18" s="29" t="s">
        <v>300</v>
      </c>
    </row>
    <row r="19" spans="1:1" ht="20.149999999999999" customHeight="1">
      <c r="A19" s="29" t="s">
        <v>316</v>
      </c>
    </row>
    <row r="20" spans="1:1" ht="20.149999999999999" customHeight="1">
      <c r="A20" s="29" t="s">
        <v>317</v>
      </c>
    </row>
    <row r="21" spans="1:1" ht="20.149999999999999" customHeight="1">
      <c r="A21" s="29" t="s">
        <v>318</v>
      </c>
    </row>
    <row r="22" spans="1:1" ht="20.149999999999999" customHeight="1">
      <c r="A22" s="29" t="s">
        <v>319</v>
      </c>
    </row>
    <row r="23" spans="1:1" ht="20.149999999999999" customHeight="1">
      <c r="A23" s="29" t="s">
        <v>320</v>
      </c>
    </row>
    <row r="24" spans="1:1" ht="20.149999999999999" customHeight="1">
      <c r="A24" s="29" t="s">
        <v>322</v>
      </c>
    </row>
    <row r="25" spans="1:1" ht="20.149999999999999" customHeight="1">
      <c r="A25" s="16"/>
    </row>
    <row r="26" spans="1:1" ht="20.149999999999999" customHeight="1">
      <c r="A26" s="147" t="s">
        <v>141</v>
      </c>
    </row>
    <row r="27" spans="1:1" ht="20.149999999999999" customHeight="1">
      <c r="A27" s="9" t="s">
        <v>419</v>
      </c>
    </row>
    <row r="28" spans="1:1" ht="20.149999999999999" customHeight="1">
      <c r="A28" s="9" t="s">
        <v>420</v>
      </c>
    </row>
    <row r="29" spans="1:1" ht="10" customHeight="1"/>
    <row r="30" spans="1:1" ht="20.149999999999999" customHeight="1">
      <c r="A30" s="149" t="s">
        <v>142</v>
      </c>
    </row>
    <row r="31" spans="1:1" ht="20.149999999999999" customHeight="1">
      <c r="A31" s="149" t="s">
        <v>143</v>
      </c>
    </row>
    <row r="32" spans="1:1" ht="20.149999999999999" customHeight="1">
      <c r="A32" s="149" t="s">
        <v>144</v>
      </c>
    </row>
    <row r="33" spans="1:13" ht="20.149999999999999" customHeight="1">
      <c r="A33" s="149" t="s">
        <v>145</v>
      </c>
    </row>
    <row r="34" spans="1:13" ht="20.149999999999999" customHeight="1">
      <c r="A34" s="149" t="s">
        <v>146</v>
      </c>
    </row>
    <row r="35" spans="1:13" ht="20.149999999999999" customHeight="1">
      <c r="A35" s="149" t="s">
        <v>147</v>
      </c>
    </row>
    <row r="36" spans="1:13" ht="20.149999999999999" customHeight="1">
      <c r="A36" s="149" t="s">
        <v>149</v>
      </c>
    </row>
    <row r="37" spans="1:13" ht="20.149999999999999" customHeight="1">
      <c r="A37" s="149" t="s">
        <v>150</v>
      </c>
    </row>
    <row r="38" spans="1:13" ht="20.149999999999999" customHeight="1">
      <c r="A38" s="149" t="s">
        <v>883</v>
      </c>
      <c r="B38" s="150"/>
      <c r="C38" s="150"/>
      <c r="D38" s="150"/>
      <c r="E38" s="150"/>
      <c r="F38" s="150"/>
      <c r="G38" s="150"/>
      <c r="H38" s="150"/>
      <c r="I38" s="150"/>
      <c r="J38" s="150"/>
    </row>
    <row r="39" spans="1:13" ht="20.149999999999999" customHeight="1">
      <c r="A39" s="151" t="s">
        <v>148</v>
      </c>
      <c r="B39" s="15"/>
      <c r="C39" s="15"/>
      <c r="D39" s="15"/>
      <c r="E39" s="15"/>
      <c r="F39" s="15"/>
      <c r="G39" s="15"/>
      <c r="H39" s="15"/>
      <c r="I39" s="15"/>
      <c r="J39" s="15"/>
      <c r="K39" s="15"/>
      <c r="L39" s="15"/>
      <c r="M39" s="15"/>
    </row>
    <row r="40" spans="1:13" ht="20.149999999999999" customHeight="1">
      <c r="A40" s="16"/>
    </row>
    <row r="41" spans="1:13" ht="22" customHeight="1">
      <c r="A41" s="147" t="s">
        <v>152</v>
      </c>
    </row>
    <row r="42" spans="1:13" ht="20.149999999999999" customHeight="1">
      <c r="A42" s="9" t="s">
        <v>701</v>
      </c>
    </row>
    <row r="43" spans="1:13" ht="20.149999999999999" customHeight="1">
      <c r="A43" s="9" t="s">
        <v>422</v>
      </c>
    </row>
    <row r="44" spans="1:13" ht="20.149999999999999" customHeight="1">
      <c r="A44" s="9" t="s">
        <v>423</v>
      </c>
      <c r="B44" s="15"/>
      <c r="C44" s="15"/>
      <c r="D44" s="15"/>
      <c r="E44" s="15"/>
      <c r="F44" s="15"/>
      <c r="G44" s="15"/>
    </row>
    <row r="45" spans="1:13" ht="20.149999999999999" customHeight="1">
      <c r="A45" s="9" t="s">
        <v>702</v>
      </c>
      <c r="B45" s="15"/>
      <c r="C45" s="15"/>
      <c r="D45" s="15"/>
      <c r="E45" s="15"/>
      <c r="F45" s="15"/>
      <c r="G45" s="15"/>
    </row>
    <row r="46" spans="1:13" ht="20.149999999999999" customHeight="1">
      <c r="B46" s="15"/>
      <c r="C46" s="15"/>
      <c r="D46" s="15"/>
      <c r="E46" s="15"/>
      <c r="F46" s="15"/>
      <c r="G46" s="15"/>
    </row>
    <row r="47" spans="1:13" ht="20.149999999999999" customHeight="1">
      <c r="A47" s="9" t="s">
        <v>889</v>
      </c>
      <c r="B47" s="15"/>
      <c r="C47" s="15"/>
      <c r="D47" s="15"/>
      <c r="E47" s="15"/>
      <c r="F47" s="15"/>
      <c r="G47" s="15"/>
    </row>
    <row r="48" spans="1:13" ht="20.149999999999999" customHeight="1">
      <c r="A48" s="9" t="s">
        <v>891</v>
      </c>
      <c r="B48" s="15"/>
      <c r="C48" s="15"/>
      <c r="D48" s="15"/>
      <c r="E48" s="15"/>
      <c r="F48" s="15"/>
      <c r="G48" s="15"/>
    </row>
    <row r="49" spans="1:1" ht="20.149999999999999" customHeight="1">
      <c r="A49" s="16"/>
    </row>
    <row r="50" spans="1:1" ht="22" customHeight="1">
      <c r="A50" s="147" t="s">
        <v>139</v>
      </c>
    </row>
    <row r="51" spans="1:1" ht="20.149999999999999" customHeight="1">
      <c r="A51" s="17" t="s">
        <v>301</v>
      </c>
    </row>
  </sheetData>
  <hyperlinks>
    <hyperlink ref="A8" r:id="rId1" location="scottishlocalgovernmentfinancialstatistics" display="Full commentary on the key 2023-24 figures is available in the SLGFS 2023-24 publication." xr:uid="{00000000-0004-0000-0100-000000000000}"/>
    <hyperlink ref="A51" r:id="rId2" xr:uid="{00000000-0004-0000-0100-000001000000}"/>
    <hyperlink ref="A30" r:id="rId3" xr:uid="{00000000-0004-0000-0100-000002000000}"/>
    <hyperlink ref="A31" r:id="rId4" xr:uid="{00000000-0004-0000-0100-000003000000}"/>
    <hyperlink ref="A32" r:id="rId5" xr:uid="{00000000-0004-0000-0100-000004000000}"/>
    <hyperlink ref="A33" r:id="rId6" xr:uid="{00000000-0004-0000-0100-000005000000}"/>
    <hyperlink ref="A34" r:id="rId7" xr:uid="{00000000-0004-0000-0100-000006000000}"/>
    <hyperlink ref="A35" r:id="rId8" location="non-domesticrates" xr:uid="{00000000-0004-0000-0100-000007000000}"/>
    <hyperlink ref="A36" r:id="rId9" xr:uid="{00000000-0004-0000-0100-000008000000}"/>
    <hyperlink ref="A37" r:id="rId10" xr:uid="{00000000-0004-0000-0100-000009000000}"/>
    <hyperlink ref="A39" r:id="rId11" xr:uid="{00000000-0004-0000-0100-00000B000000}"/>
    <hyperlink ref="A38" r:id="rId12" xr:uid="{46596A7A-FA89-45E8-9A3F-4B954E1A5E4C}"/>
  </hyperlinks>
  <pageMargins left="0.25" right="0.25" top="0.75" bottom="0.75" header="0.3" footer="0.3"/>
  <pageSetup paperSize="9" scale="68" orientation="landscape" r:id="rId13"/>
  <drawing r:id="rId1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183C5C"/>
    <pageSetUpPr fitToPage="1"/>
  </sheetPr>
  <dimension ref="A1:B76"/>
  <sheetViews>
    <sheetView topLeftCell="A2" zoomScaleNormal="100" workbookViewId="0">
      <selection activeCell="A29" sqref="A29"/>
    </sheetView>
  </sheetViews>
  <sheetFormatPr defaultColWidth="9.1796875" defaultRowHeight="15.5"/>
  <cols>
    <col min="1" max="1" width="20.7265625" style="9" customWidth="1"/>
    <col min="2" max="2" width="117" style="9" customWidth="1"/>
    <col min="3" max="16384" width="9.1796875" style="9"/>
  </cols>
  <sheetData>
    <row r="1" spans="1:2" ht="30" customHeight="1">
      <c r="A1" s="22" t="s">
        <v>140</v>
      </c>
    </row>
    <row r="2" spans="1:2" ht="20.149999999999999" customHeight="1">
      <c r="A2" s="7" t="s">
        <v>214</v>
      </c>
      <c r="B2" s="69"/>
    </row>
    <row r="3" spans="1:2" ht="10" customHeight="1">
      <c r="A3" s="7"/>
      <c r="B3" s="69"/>
    </row>
    <row r="4" spans="1:2" ht="25" customHeight="1">
      <c r="A4" s="162" t="s">
        <v>331</v>
      </c>
      <c r="B4" s="162" t="s">
        <v>328</v>
      </c>
    </row>
    <row r="5" spans="1:2" ht="20.149999999999999" customHeight="1">
      <c r="A5" s="17" t="s">
        <v>329</v>
      </c>
      <c r="B5" s="7" t="s">
        <v>703</v>
      </c>
    </row>
    <row r="6" spans="1:2" ht="20.149999999999999" customHeight="1">
      <c r="A6" s="17" t="s">
        <v>330</v>
      </c>
      <c r="B6" s="7" t="s">
        <v>704</v>
      </c>
    </row>
    <row r="7" spans="1:2" ht="20.149999999999999" customHeight="1">
      <c r="A7" s="17" t="s">
        <v>332</v>
      </c>
      <c r="B7" s="7" t="s">
        <v>705</v>
      </c>
    </row>
    <row r="8" spans="1:2" ht="20.149999999999999" customHeight="1">
      <c r="A8" s="17" t="s">
        <v>333</v>
      </c>
      <c r="B8" s="7" t="s">
        <v>706</v>
      </c>
    </row>
    <row r="9" spans="1:2" ht="20.149999999999999" customHeight="1">
      <c r="A9" s="17" t="s">
        <v>334</v>
      </c>
      <c r="B9" s="7" t="s">
        <v>707</v>
      </c>
    </row>
    <row r="10" spans="1:2" ht="20.149999999999999" customHeight="1">
      <c r="A10" s="17" t="s">
        <v>335</v>
      </c>
      <c r="B10" s="7" t="s">
        <v>708</v>
      </c>
    </row>
    <row r="11" spans="1:2" ht="20.149999999999999" customHeight="1">
      <c r="A11" s="17" t="s">
        <v>336</v>
      </c>
      <c r="B11" s="7" t="s">
        <v>709</v>
      </c>
    </row>
    <row r="12" spans="1:2" ht="20.149999999999999" customHeight="1">
      <c r="A12" s="17" t="s">
        <v>337</v>
      </c>
      <c r="B12" s="7" t="s">
        <v>710</v>
      </c>
    </row>
    <row r="13" spans="1:2" ht="20.149999999999999" customHeight="1">
      <c r="A13" s="17" t="s">
        <v>338</v>
      </c>
      <c r="B13" s="7" t="s">
        <v>711</v>
      </c>
    </row>
    <row r="14" spans="1:2" ht="20.149999999999999" customHeight="1">
      <c r="A14" s="17" t="s">
        <v>339</v>
      </c>
      <c r="B14" s="7" t="s">
        <v>712</v>
      </c>
    </row>
    <row r="15" spans="1:2" ht="20.149999999999999" customHeight="1">
      <c r="A15" s="17" t="s">
        <v>340</v>
      </c>
      <c r="B15" s="7" t="s">
        <v>713</v>
      </c>
    </row>
    <row r="16" spans="1:2" ht="20.149999999999999" customHeight="1">
      <c r="A16" s="17" t="s">
        <v>341</v>
      </c>
      <c r="B16" s="7" t="s">
        <v>714</v>
      </c>
    </row>
    <row r="17" spans="1:2" ht="20.149999999999999" customHeight="1">
      <c r="A17" s="17" t="s">
        <v>342</v>
      </c>
      <c r="B17" s="7" t="s">
        <v>715</v>
      </c>
    </row>
    <row r="18" spans="1:2" ht="20.149999999999999" customHeight="1">
      <c r="A18" s="17" t="s">
        <v>343</v>
      </c>
      <c r="B18" s="7" t="s">
        <v>396</v>
      </c>
    </row>
    <row r="19" spans="1:2" ht="20.149999999999999" customHeight="1">
      <c r="A19" s="17" t="s">
        <v>344</v>
      </c>
      <c r="B19" s="7" t="s">
        <v>716</v>
      </c>
    </row>
    <row r="20" spans="1:2" ht="20.149999999999999" customHeight="1">
      <c r="A20" s="17" t="s">
        <v>345</v>
      </c>
      <c r="B20" s="7" t="s">
        <v>717</v>
      </c>
    </row>
    <row r="21" spans="1:2" ht="20.149999999999999" customHeight="1">
      <c r="A21" s="17" t="s">
        <v>346</v>
      </c>
      <c r="B21" s="7" t="s">
        <v>718</v>
      </c>
    </row>
    <row r="22" spans="1:2" ht="20.149999999999999" customHeight="1">
      <c r="A22" s="17" t="s">
        <v>347</v>
      </c>
      <c r="B22" s="7" t="s">
        <v>398</v>
      </c>
    </row>
    <row r="23" spans="1:2" ht="20.149999999999999" customHeight="1">
      <c r="A23" s="17" t="s">
        <v>348</v>
      </c>
      <c r="B23" s="7" t="s">
        <v>719</v>
      </c>
    </row>
    <row r="24" spans="1:2" ht="20.149999999999999" customHeight="1">
      <c r="A24" s="17" t="s">
        <v>349</v>
      </c>
      <c r="B24" s="7" t="s">
        <v>720</v>
      </c>
    </row>
    <row r="25" spans="1:2" ht="20.149999999999999" customHeight="1">
      <c r="A25" s="17" t="s">
        <v>350</v>
      </c>
      <c r="B25" s="7" t="s">
        <v>721</v>
      </c>
    </row>
    <row r="26" spans="1:2" ht="20.149999999999999" customHeight="1">
      <c r="A26" s="17" t="s">
        <v>351</v>
      </c>
      <c r="B26" s="7" t="s">
        <v>397</v>
      </c>
    </row>
    <row r="27" spans="1:2" ht="20.149999999999999" customHeight="1">
      <c r="A27" s="17" t="s">
        <v>352</v>
      </c>
      <c r="B27" s="7" t="s">
        <v>722</v>
      </c>
    </row>
    <row r="28" spans="1:2" ht="20.149999999999999" customHeight="1">
      <c r="A28" s="17" t="s">
        <v>353</v>
      </c>
      <c r="B28" s="7" t="s">
        <v>723</v>
      </c>
    </row>
    <row r="29" spans="1:2" ht="20.149999999999999" customHeight="1">
      <c r="A29" s="17" t="s">
        <v>354</v>
      </c>
      <c r="B29" s="7" t="s">
        <v>724</v>
      </c>
    </row>
    <row r="30" spans="1:2" ht="20.149999999999999" customHeight="1">
      <c r="A30" s="17" t="s">
        <v>355</v>
      </c>
      <c r="B30" s="7" t="s">
        <v>755</v>
      </c>
    </row>
    <row r="31" spans="1:2" ht="20.149999999999999" customHeight="1">
      <c r="A31" s="17" t="s">
        <v>356</v>
      </c>
      <c r="B31" s="7" t="s">
        <v>756</v>
      </c>
    </row>
    <row r="32" spans="1:2" ht="20.149999999999999" customHeight="1">
      <c r="A32" s="17" t="s">
        <v>357</v>
      </c>
      <c r="B32" s="7" t="s">
        <v>759</v>
      </c>
    </row>
    <row r="33" spans="1:2" ht="20.149999999999999" customHeight="1">
      <c r="A33" s="17" t="s">
        <v>358</v>
      </c>
      <c r="B33" s="7" t="s">
        <v>757</v>
      </c>
    </row>
    <row r="34" spans="1:2" ht="20.149999999999999" customHeight="1">
      <c r="A34" s="17" t="s">
        <v>359</v>
      </c>
      <c r="B34" s="7" t="s">
        <v>758</v>
      </c>
    </row>
    <row r="35" spans="1:2" ht="20.149999999999999" customHeight="1">
      <c r="A35" s="17" t="s">
        <v>360</v>
      </c>
      <c r="B35" s="7" t="s">
        <v>725</v>
      </c>
    </row>
    <row r="36" spans="1:2" ht="20.149999999999999" customHeight="1">
      <c r="A36" s="17" t="s">
        <v>361</v>
      </c>
      <c r="B36" s="7" t="s">
        <v>726</v>
      </c>
    </row>
    <row r="37" spans="1:2" ht="20.149999999999999" customHeight="1">
      <c r="A37" s="17" t="s">
        <v>362</v>
      </c>
      <c r="B37" s="7" t="s">
        <v>727</v>
      </c>
    </row>
    <row r="38" spans="1:2" ht="20.149999999999999" customHeight="1">
      <c r="A38" s="17" t="s">
        <v>363</v>
      </c>
      <c r="B38" s="7" t="s">
        <v>728</v>
      </c>
    </row>
    <row r="39" spans="1:2" ht="20.149999999999999" customHeight="1">
      <c r="A39" s="17" t="s">
        <v>364</v>
      </c>
      <c r="B39" s="7" t="s">
        <v>729</v>
      </c>
    </row>
    <row r="40" spans="1:2" ht="20.149999999999999" customHeight="1">
      <c r="A40" s="161" t="s">
        <v>365</v>
      </c>
      <c r="B40" s="101" t="s">
        <v>730</v>
      </c>
    </row>
    <row r="41" spans="1:2" ht="20.149999999999999" customHeight="1">
      <c r="A41" s="161" t="s">
        <v>366</v>
      </c>
      <c r="B41" s="101" t="s">
        <v>731</v>
      </c>
    </row>
    <row r="42" spans="1:2" ht="20.149999999999999" customHeight="1">
      <c r="A42" s="161" t="s">
        <v>367</v>
      </c>
      <c r="B42" s="101" t="s">
        <v>732</v>
      </c>
    </row>
    <row r="43" spans="1:2" ht="20.149999999999999" customHeight="1">
      <c r="A43" s="161" t="s">
        <v>368</v>
      </c>
      <c r="B43" s="101" t="s">
        <v>733</v>
      </c>
    </row>
    <row r="44" spans="1:2" ht="20.149999999999999" customHeight="1">
      <c r="A44" s="161" t="s">
        <v>369</v>
      </c>
      <c r="B44" s="101" t="s">
        <v>734</v>
      </c>
    </row>
    <row r="45" spans="1:2" ht="20.149999999999999" customHeight="1">
      <c r="A45" s="161" t="s">
        <v>370</v>
      </c>
      <c r="B45" s="101" t="s">
        <v>735</v>
      </c>
    </row>
    <row r="46" spans="1:2" ht="20.149999999999999" customHeight="1">
      <c r="A46" s="161" t="s">
        <v>371</v>
      </c>
      <c r="B46" s="101" t="s">
        <v>736</v>
      </c>
    </row>
    <row r="47" spans="1:2" ht="20.149999999999999" customHeight="1">
      <c r="A47" s="161" t="s">
        <v>372</v>
      </c>
      <c r="B47" s="101" t="s">
        <v>737</v>
      </c>
    </row>
    <row r="48" spans="1:2" ht="20.149999999999999" customHeight="1">
      <c r="A48" s="161" t="s">
        <v>373</v>
      </c>
      <c r="B48" s="101" t="s">
        <v>738</v>
      </c>
    </row>
    <row r="49" spans="1:2" ht="20.149999999999999" customHeight="1">
      <c r="A49" s="161" t="s">
        <v>374</v>
      </c>
      <c r="B49" s="101" t="s">
        <v>739</v>
      </c>
    </row>
    <row r="50" spans="1:2" ht="20.149999999999999" customHeight="1">
      <c r="A50" s="161" t="s">
        <v>399</v>
      </c>
      <c r="B50" s="101" t="s">
        <v>740</v>
      </c>
    </row>
    <row r="51" spans="1:2" ht="20.149999999999999" customHeight="1">
      <c r="A51" s="17" t="s">
        <v>375</v>
      </c>
      <c r="B51" s="7" t="s">
        <v>760</v>
      </c>
    </row>
    <row r="52" spans="1:2" ht="20.149999999999999" customHeight="1">
      <c r="A52" s="17" t="s">
        <v>376</v>
      </c>
      <c r="B52" s="7" t="s">
        <v>741</v>
      </c>
    </row>
    <row r="53" spans="1:2" ht="20.149999999999999" customHeight="1">
      <c r="A53" s="17" t="s">
        <v>377</v>
      </c>
      <c r="B53" s="7" t="s">
        <v>761</v>
      </c>
    </row>
    <row r="54" spans="1:2" ht="20.149999999999999" customHeight="1">
      <c r="A54" s="17" t="s">
        <v>378</v>
      </c>
      <c r="B54" s="7" t="s">
        <v>762</v>
      </c>
    </row>
    <row r="55" spans="1:2" ht="20.149999999999999" customHeight="1">
      <c r="A55" s="17" t="s">
        <v>379</v>
      </c>
      <c r="B55" s="7" t="s">
        <v>763</v>
      </c>
    </row>
    <row r="56" spans="1:2" ht="20.149999999999999" customHeight="1">
      <c r="A56" s="161" t="s">
        <v>380</v>
      </c>
      <c r="B56" s="101" t="s">
        <v>764</v>
      </c>
    </row>
    <row r="57" spans="1:2" ht="20.149999999999999" customHeight="1">
      <c r="A57" s="161" t="s">
        <v>381</v>
      </c>
      <c r="B57" s="101" t="s">
        <v>765</v>
      </c>
    </row>
    <row r="58" spans="1:2" ht="20.149999999999999" customHeight="1">
      <c r="A58" s="161" t="s">
        <v>400</v>
      </c>
      <c r="B58" s="101" t="s">
        <v>766</v>
      </c>
    </row>
    <row r="59" spans="1:2" ht="20.149999999999999" customHeight="1">
      <c r="A59" s="161" t="s">
        <v>382</v>
      </c>
      <c r="B59" s="101" t="s">
        <v>767</v>
      </c>
    </row>
    <row r="60" spans="1:2" ht="20.149999999999999" customHeight="1">
      <c r="A60" s="161" t="s">
        <v>383</v>
      </c>
      <c r="B60" s="101" t="s">
        <v>742</v>
      </c>
    </row>
    <row r="61" spans="1:2" ht="20.149999999999999" customHeight="1">
      <c r="A61" s="161" t="s">
        <v>384</v>
      </c>
      <c r="B61" s="101" t="s">
        <v>743</v>
      </c>
    </row>
    <row r="62" spans="1:2" ht="20.149999999999999" customHeight="1">
      <c r="A62" s="161" t="s">
        <v>385</v>
      </c>
      <c r="B62" s="101" t="s">
        <v>744</v>
      </c>
    </row>
    <row r="63" spans="1:2" ht="20.149999999999999" customHeight="1">
      <c r="A63" s="161" t="s">
        <v>386</v>
      </c>
      <c r="B63" s="101" t="s">
        <v>745</v>
      </c>
    </row>
    <row r="64" spans="1:2" ht="20.149999999999999" customHeight="1">
      <c r="A64" s="161" t="s">
        <v>387</v>
      </c>
      <c r="B64" s="101" t="s">
        <v>746</v>
      </c>
    </row>
    <row r="65" spans="1:2" ht="20.149999999999999" customHeight="1">
      <c r="A65" s="161" t="s">
        <v>388</v>
      </c>
      <c r="B65" s="101" t="s">
        <v>747</v>
      </c>
    </row>
    <row r="66" spans="1:2" ht="20.149999999999999" customHeight="1">
      <c r="A66" s="161" t="s">
        <v>389</v>
      </c>
      <c r="B66" s="101" t="s">
        <v>768</v>
      </c>
    </row>
    <row r="67" spans="1:2" ht="20.149999999999999" customHeight="1">
      <c r="A67" s="161" t="s">
        <v>390</v>
      </c>
      <c r="B67" s="101" t="s">
        <v>748</v>
      </c>
    </row>
    <row r="68" spans="1:2" ht="20.149999999999999" customHeight="1">
      <c r="A68" s="161" t="s">
        <v>391</v>
      </c>
      <c r="B68" s="101" t="s">
        <v>749</v>
      </c>
    </row>
    <row r="69" spans="1:2" ht="20.149999999999999" customHeight="1">
      <c r="A69" s="161" t="s">
        <v>392</v>
      </c>
      <c r="B69" s="101" t="s">
        <v>769</v>
      </c>
    </row>
    <row r="70" spans="1:2" ht="20.149999999999999" customHeight="1">
      <c r="A70" s="17" t="s">
        <v>393</v>
      </c>
      <c r="B70" s="7" t="s">
        <v>750</v>
      </c>
    </row>
    <row r="71" spans="1:2" ht="20.149999999999999" customHeight="1">
      <c r="A71" s="17" t="s">
        <v>394</v>
      </c>
      <c r="B71" s="7" t="s">
        <v>770</v>
      </c>
    </row>
    <row r="72" spans="1:2" ht="20.149999999999999" customHeight="1">
      <c r="A72" s="17" t="s">
        <v>395</v>
      </c>
      <c r="B72" s="7" t="s">
        <v>771</v>
      </c>
    </row>
    <row r="73" spans="1:2" ht="20.149999999999999" customHeight="1">
      <c r="A73" s="17" t="s">
        <v>401</v>
      </c>
      <c r="B73" s="7" t="s">
        <v>751</v>
      </c>
    </row>
    <row r="74" spans="1:2" ht="20.149999999999999" customHeight="1">
      <c r="A74" s="17" t="s">
        <v>402</v>
      </c>
      <c r="B74" s="7" t="s">
        <v>752</v>
      </c>
    </row>
    <row r="75" spans="1:2" ht="20.149999999999999" customHeight="1">
      <c r="A75" s="17" t="s">
        <v>403</v>
      </c>
      <c r="B75" s="7" t="s">
        <v>753</v>
      </c>
    </row>
    <row r="76" spans="1:2" ht="20.149999999999999" customHeight="1" thickBot="1">
      <c r="A76" s="352" t="s">
        <v>627</v>
      </c>
      <c r="B76" s="102" t="s">
        <v>754</v>
      </c>
    </row>
  </sheetData>
  <hyperlinks>
    <hyperlink ref="A5" location="'Table 2.1'!A1" display="Table 2.1" xr:uid="{00000000-0004-0000-0200-000000000000}"/>
    <hyperlink ref="A6:A11" location="'Table 2.1'!A1" display="Table 2.1: Revenue Expenditure, Income and Reserves in 2019-20, £ millions" xr:uid="{00000000-0004-0000-0200-000001000000}"/>
    <hyperlink ref="A13:A23" location="'Table 2.1'!A1" display="Table 2.1: Revenue Expenditure, Income and Reserves in 2019-20, £ millions" xr:uid="{00000000-0004-0000-0200-000002000000}"/>
    <hyperlink ref="A40:A47" location="'Table 2.1'!A1" display="Table 2.1: Revenue Expenditure, Income and Reserves in 2019-20, £ millions" xr:uid="{00000000-0004-0000-0200-000003000000}"/>
    <hyperlink ref="A48" location="'Table 3.3'!A1" display="Table 3.3" xr:uid="{00000000-0004-0000-0200-000004000000}"/>
    <hyperlink ref="A51:A54" location="'Table 2.1'!A1" display="Table 2.1: Revenue Expenditure, Income and Reserves in 2019-20, £ millions" xr:uid="{00000000-0004-0000-0200-000005000000}"/>
    <hyperlink ref="A56" location="'Table 5.1'!A1" display="Table 5.1" xr:uid="{00000000-0004-0000-0200-000006000000}"/>
    <hyperlink ref="A59:A60" location="'Table 2.1'!A1" display="Table 2.1: Revenue Expenditure, Income and Reserves in 2019-20, £ millions" xr:uid="{00000000-0004-0000-0200-000007000000}"/>
    <hyperlink ref="A63" location="'Table 5.3'!A1" display="Table 5.3" xr:uid="{00000000-0004-0000-0200-000008000000}"/>
    <hyperlink ref="A66:A67" location="'Table 2.1'!A1" display="Table 2.1: Revenue Expenditure, Income and Reserves in 2019-20, £ millions" xr:uid="{00000000-0004-0000-0200-000009000000}"/>
    <hyperlink ref="A70" location="'Table 6.1'!A1" display="Table 6.1" xr:uid="{00000000-0004-0000-0200-00000B000000}"/>
    <hyperlink ref="A72" location="'Chart 6.2'!A1" display="Chart 6.2" xr:uid="{00000000-0004-0000-0200-00000C000000}"/>
    <hyperlink ref="A12" location="'Table 2.4a'!A1" display="Table 2.4a" xr:uid="{00000000-0004-0000-0200-00000D000000}"/>
    <hyperlink ref="A24:A27" location="'Table 2.1'!A1" display="Table 2.1: Revenue Expenditure, Income and Reserves in 2019-20, £ millions" xr:uid="{00000000-0004-0000-0200-00000E000000}"/>
    <hyperlink ref="A28" location="'Table 2.14'!A1" display="Table 2.14" xr:uid="{00000000-0004-0000-0200-00000F000000}"/>
    <hyperlink ref="A31" location="'Table 2.15'!A1" display="Table 2.15" xr:uid="{00000000-0004-0000-0200-000010000000}"/>
    <hyperlink ref="A33" location="'Chart 2.10'!A1" display="Chart 2.10" xr:uid="{00000000-0004-0000-0200-000011000000}"/>
    <hyperlink ref="A35" location="'Table 2.16'!A1" display="Table 2.16" xr:uid="{00000000-0004-0000-0200-000012000000}"/>
    <hyperlink ref="A36" location="'Table 2.17'!A1" display="Table 2.17" xr:uid="{00000000-0004-0000-0200-000013000000}"/>
    <hyperlink ref="A38" location="'Chart 2.11'!A1" display="Chart 2.11" xr:uid="{00000000-0004-0000-0200-000014000000}"/>
    <hyperlink ref="A39" location="'Table 2.18'!A1" display="Table 2.18" xr:uid="{00000000-0004-0000-0200-000015000000}"/>
    <hyperlink ref="A49" location="'Table 3.3a'!A1" display="Table 3.3a" xr:uid="{00000000-0004-0000-0200-000016000000}"/>
    <hyperlink ref="A55" location="'Table 4.3a'!A1" display="Table 4.3a" xr:uid="{00000000-0004-0000-0200-000017000000}"/>
    <hyperlink ref="A57" location="'Table 5.1a'!A1" display="Table 5.1a" xr:uid="{00000000-0004-0000-0200-000018000000}"/>
    <hyperlink ref="A61:A62" location="'Table 2.1'!A1" display="Table 2.1: Revenue Expenditure, Income and Reserves in 2019-20, £ millions" xr:uid="{00000000-0004-0000-0200-000019000000}"/>
    <hyperlink ref="A64:A65" location="'Table 2.1'!A1" display="Table 2.1: Revenue Expenditure, Income and Reserves in 2019-20, £ millions" xr:uid="{00000000-0004-0000-0200-00001A000000}"/>
    <hyperlink ref="A68" location="'Table 5.4a'!A1" display="Table 5.4a" xr:uid="{00000000-0004-0000-0200-00001B000000}"/>
    <hyperlink ref="A69" location="'Table 5.5'!A1" display="Table 5.5" xr:uid="{00000000-0004-0000-0200-00001C000000}"/>
    <hyperlink ref="A71" location="'Chart 6.1'!A1" display="Chart 6.1" xr:uid="{00000000-0004-0000-0200-00001D000000}"/>
    <hyperlink ref="A29" location="'Table 2.14a'!A1" display="Table 2.14a" xr:uid="{00000000-0004-0000-0200-00001E000000}"/>
    <hyperlink ref="A30" location="'Table 2.14b'!A1" display="Table 2.14b" xr:uid="{00000000-0004-0000-0200-00001F000000}"/>
    <hyperlink ref="A32" location="'Table 2.15a'!A1" display="Table 2.15a" xr:uid="{00000000-0004-0000-0200-000020000000}"/>
    <hyperlink ref="A34" location="'Chart 2.10a'!A1" display="Chart 2.10a" xr:uid="{00000000-0004-0000-0200-000021000000}"/>
    <hyperlink ref="A37" location="'Table 2.17a'!A1" display="Table 2.17a" xr:uid="{00000000-0004-0000-0200-000022000000}"/>
    <hyperlink ref="A50" location="'Table 3.4'!A1" display="Table 3.4" xr:uid="{00000000-0004-0000-0200-000023000000}"/>
    <hyperlink ref="A51" location="'Chart 4.1'!A1" display="Chart 4.1" xr:uid="{00000000-0004-0000-0200-000024000000}"/>
    <hyperlink ref="A52" location="'Table 4.1'!A1" display="Table 4.1" xr:uid="{00000000-0004-0000-0200-000025000000}"/>
    <hyperlink ref="A53" location="'Table 4.2'!A1" display="Table 4.2" xr:uid="{00000000-0004-0000-0200-000026000000}"/>
    <hyperlink ref="A54" location="'Table 4.3'!A1" display="Table 4.3" xr:uid="{00000000-0004-0000-0200-000027000000}"/>
    <hyperlink ref="A58" location="'Table 5.1b'!A1" display="Table 5.1b" xr:uid="{00000000-0004-0000-0200-000028000000}"/>
    <hyperlink ref="A59" location="'Chart 5.1'!A1" display="Chart 5.1" xr:uid="{00000000-0004-0000-0200-000029000000}"/>
    <hyperlink ref="A60" location="'Table 5.2'!A1" display="Table 5.2" xr:uid="{00000000-0004-0000-0200-00002A000000}"/>
    <hyperlink ref="A61" location="'Tables 5.2a'!A1" display="Table 5.2a" xr:uid="{00000000-0004-0000-0200-00002B000000}"/>
    <hyperlink ref="A62" location="'Tables 5.2b'!A1" display="Table 5.2b" xr:uid="{00000000-0004-0000-0200-00002C000000}"/>
    <hyperlink ref="A64" location="'Tables 5.3a'!A1" display="Table 5.3a" xr:uid="{00000000-0004-0000-0200-00002D000000}"/>
    <hyperlink ref="A65" location="'Tables 5.3b'!A1" display="Table 5.3b" xr:uid="{00000000-0004-0000-0200-00002E000000}"/>
    <hyperlink ref="A66" location="'Chart 5.2'!A1" display="Chart 5.2" xr:uid="{00000000-0004-0000-0200-00002F000000}"/>
    <hyperlink ref="A67" location="'Table 5.4'!A1" display="Table 5.4" xr:uid="{00000000-0004-0000-0200-000030000000}"/>
    <hyperlink ref="A73" location="'Chart 6.3'!A1" display="Chart 6.3" xr:uid="{00000000-0004-0000-0200-000031000000}"/>
    <hyperlink ref="A74" location="'Chart 6.4'!A1" display="Chart 6.4" xr:uid="{00000000-0004-0000-0200-000032000000}"/>
    <hyperlink ref="A76" location="'Annex C'!A1" display="Annex C" xr:uid="{00000000-0004-0000-0200-000033000000}"/>
    <hyperlink ref="A6" location="'Chart 2.1'!A1" display="Chart 2.1" xr:uid="{00000000-0004-0000-0200-000034000000}"/>
    <hyperlink ref="A7" location="'Table 2.2'!A1" display="Table 2.2" xr:uid="{00000000-0004-0000-0200-000035000000}"/>
    <hyperlink ref="A8" location="'Chart 2.2'!A1" display="Chart 2.2" xr:uid="{00000000-0004-0000-0200-000036000000}"/>
    <hyperlink ref="A9" location="'Table 2.3'!A1" display="Table 2.3" xr:uid="{00000000-0004-0000-0200-000037000000}"/>
    <hyperlink ref="A10" location="'Chart 2.3'!A1" display="Chart 2.3" xr:uid="{00000000-0004-0000-0200-000038000000}"/>
    <hyperlink ref="A11" location="'Table 2.4'!A1" display="Table 2.4" xr:uid="{00000000-0004-0000-0200-000039000000}"/>
    <hyperlink ref="A13" location="'Chart 2.4'!A1" display="Chart 2.4" xr:uid="{00000000-0004-0000-0200-00003A000000}"/>
    <hyperlink ref="A14" location="'Chart 2.5'!A1" display="Chart 2.5" xr:uid="{00000000-0004-0000-0200-00003B000000}"/>
    <hyperlink ref="A15" location="'Table 2.5'!A1" display="Table 2.5" xr:uid="{00000000-0004-0000-0200-00003C000000}"/>
    <hyperlink ref="A16" location="'Chart 2.6'!A1" display="Chart 2.6" xr:uid="{00000000-0004-0000-0200-00003D000000}"/>
    <hyperlink ref="A17" location="'Table 2.6'!A1" display="Table 2.6" xr:uid="{00000000-0004-0000-0200-00003E000000}"/>
    <hyperlink ref="A18" location="'Table 2.7'!A1" display="Table 2.7" xr:uid="{00000000-0004-0000-0200-00003F000000}"/>
    <hyperlink ref="A19" location="'Chart 2.7'!A1" display="Chart 2.7" xr:uid="{00000000-0004-0000-0200-000040000000}"/>
    <hyperlink ref="A20" location="'Table 2.8'!A1" display="Table 2.8" xr:uid="{00000000-0004-0000-0200-000041000000}"/>
    <hyperlink ref="A21" location="'Table 2.9'!A1" display="Table 2.9" xr:uid="{00000000-0004-0000-0200-000042000000}"/>
    <hyperlink ref="A22" location="'Chart 2.8'!A1" display="Chart 2.8" xr:uid="{00000000-0004-0000-0200-000043000000}"/>
    <hyperlink ref="A23" location="'Chart 2.9'!A1" display="Chart 2.9" xr:uid="{00000000-0004-0000-0200-000044000000}"/>
    <hyperlink ref="A24" location="'Table 2.10'!A1" display="Table 2.10" xr:uid="{00000000-0004-0000-0200-000045000000}"/>
    <hyperlink ref="A25" location="'Table 2.11'!A1" display="Table 2.11" xr:uid="{00000000-0004-0000-0200-000046000000}"/>
    <hyperlink ref="A26" location="'Table 2.12'!A1" display="Table 2.12" xr:uid="{00000000-0004-0000-0200-000047000000}"/>
    <hyperlink ref="A27" location="'Table 2.13'!A1" display="Table 2.13" xr:uid="{00000000-0004-0000-0200-000048000000}"/>
    <hyperlink ref="A40" location="'Chart 3.1'!A1" display="Chart 3.1" xr:uid="{00000000-0004-0000-0200-000049000000}"/>
    <hyperlink ref="A41" location="'Table 3.1'!A1" display="Table 3.1" xr:uid="{00000000-0004-0000-0200-00004A000000}"/>
    <hyperlink ref="A42" location="'Chart 3.2'!A1" display="Chart 3.2" xr:uid="{00000000-0004-0000-0200-00004B000000}"/>
    <hyperlink ref="A43" location="'Chart 3.3'!A1" display="Chart 3.3" xr:uid="{00000000-0004-0000-0200-00004C000000}"/>
    <hyperlink ref="A44" location="'Chart 3.4'!A1" display="Chart 3.4" xr:uid="{00000000-0004-0000-0200-00004D000000}"/>
    <hyperlink ref="A45" location="'Chart 3.5'!A1" display="Chart 3.5" xr:uid="{00000000-0004-0000-0200-00004E000000}"/>
    <hyperlink ref="A46" location="'Chart 3.6'!A1" display="Chart 3.6" xr:uid="{00000000-0004-0000-0200-00004F000000}"/>
    <hyperlink ref="A47" location="'Table 3.2'!A1" display="Table 3.2" xr:uid="{00000000-0004-0000-0200-000050000000}"/>
    <hyperlink ref="A75" location="'Chart 6.5'!A1" display="Chart 6.5" xr:uid="{A58B466F-DF2D-4782-81DE-6E229CA7F04F}"/>
  </hyperlinks>
  <pageMargins left="0.25" right="0.25" top="0.75" bottom="0.75" header="0.3" footer="0.3"/>
  <pageSetup paperSize="9" scale="5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rgb="FFDDE5F1"/>
    <pageSetUpPr fitToPage="1"/>
  </sheetPr>
  <dimension ref="A1:H12"/>
  <sheetViews>
    <sheetView zoomScaleNormal="100" workbookViewId="0"/>
  </sheetViews>
  <sheetFormatPr defaultColWidth="9.1796875" defaultRowHeight="15.5"/>
  <cols>
    <col min="1" max="1" width="33.453125" style="9" customWidth="1"/>
    <col min="2" max="3" width="15.7265625" style="9" customWidth="1"/>
    <col min="4" max="4" width="19.7265625" style="9" customWidth="1"/>
    <col min="5" max="7" width="9.1796875" style="9"/>
    <col min="8" max="8" width="11" style="9" bestFit="1" customWidth="1"/>
    <col min="9" max="9" width="9.1796875" style="9"/>
    <col min="10" max="10" width="11" style="9" bestFit="1" customWidth="1"/>
    <col min="11" max="12" width="9.1796875" style="9"/>
    <col min="13" max="14" width="11" style="9" bestFit="1" customWidth="1"/>
    <col min="15" max="16384" width="9.1796875" style="9"/>
  </cols>
  <sheetData>
    <row r="1" spans="1:8" ht="30" customHeight="1">
      <c r="A1" s="23" t="s">
        <v>779</v>
      </c>
    </row>
    <row r="2" spans="1:8" ht="20.149999999999999" customHeight="1">
      <c r="A2" s="9" t="s">
        <v>214</v>
      </c>
    </row>
    <row r="3" spans="1:8" ht="20.149999999999999" customHeight="1">
      <c r="A3" s="9" t="s">
        <v>213</v>
      </c>
    </row>
    <row r="4" spans="1:8" ht="20.149999999999999" customHeight="1">
      <c r="A4" s="15" t="s">
        <v>62</v>
      </c>
    </row>
    <row r="5" spans="1:8" ht="10" customHeight="1"/>
    <row r="6" spans="1:8" ht="40" customHeight="1">
      <c r="A6" s="98" t="s">
        <v>249</v>
      </c>
      <c r="B6" s="96" t="s">
        <v>197</v>
      </c>
      <c r="C6" s="96" t="s">
        <v>36</v>
      </c>
      <c r="D6" s="99" t="s">
        <v>38</v>
      </c>
    </row>
    <row r="7" spans="1:8" ht="20.149999999999999" customHeight="1">
      <c r="A7" s="7" t="s">
        <v>64</v>
      </c>
      <c r="B7" s="71">
        <v>24829.204000000002</v>
      </c>
      <c r="C7" s="71">
        <v>1022.67</v>
      </c>
      <c r="D7" s="71">
        <v>25851.874</v>
      </c>
    </row>
    <row r="8" spans="1:8" ht="20.149999999999999" customHeight="1">
      <c r="A8" s="101" t="s">
        <v>151</v>
      </c>
      <c r="B8" s="169">
        <v>9404.116</v>
      </c>
      <c r="C8" s="169">
        <v>1561.0070000000001</v>
      </c>
      <c r="D8" s="169">
        <v>10965.123</v>
      </c>
    </row>
    <row r="9" spans="1:8" ht="25" customHeight="1">
      <c r="A9" s="98" t="s">
        <v>187</v>
      </c>
      <c r="B9" s="125">
        <v>15425.088</v>
      </c>
      <c r="C9" s="125">
        <v>-538.33699999999999</v>
      </c>
      <c r="D9" s="125">
        <v>14886.751</v>
      </c>
    </row>
    <row r="12" spans="1:8">
      <c r="H12" s="48"/>
    </row>
  </sheetData>
  <hyperlinks>
    <hyperlink ref="A4" location="Contents!A1" display="Return to Contents" xr:uid="{00000000-0004-0000-0400-000000000000}"/>
  </hyperlinks>
  <pageMargins left="0.25" right="0.25" top="0.75" bottom="0.75" header="0.3" footer="0.3"/>
  <pageSetup paperSize="9" scale="57"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rgb="FFDDE5F1"/>
  </sheetPr>
  <dimension ref="A1:F28"/>
  <sheetViews>
    <sheetView zoomScaleNormal="100" workbookViewId="0">
      <selection activeCell="A11" sqref="A11"/>
    </sheetView>
  </sheetViews>
  <sheetFormatPr defaultColWidth="9.1796875" defaultRowHeight="15.5"/>
  <cols>
    <col min="1" max="1" width="36.7265625" style="9" customWidth="1"/>
    <col min="2" max="2" width="12.7265625" style="9" customWidth="1"/>
    <col min="3" max="4" width="9.1796875" style="9" customWidth="1"/>
    <col min="5" max="5" width="9.1796875" style="9"/>
    <col min="6" max="6" width="7.1796875" style="9" customWidth="1"/>
    <col min="7" max="16384" width="9.1796875" style="9"/>
  </cols>
  <sheetData>
    <row r="1" spans="1:6" ht="30" customHeight="1">
      <c r="A1" s="23" t="s">
        <v>780</v>
      </c>
      <c r="B1" s="13"/>
      <c r="C1" s="38"/>
    </row>
    <row r="2" spans="1:6" ht="20.149999999999999" customHeight="1">
      <c r="A2" s="9" t="s">
        <v>236</v>
      </c>
      <c r="C2" s="7"/>
    </row>
    <row r="3" spans="1:6" ht="20.149999999999999" customHeight="1">
      <c r="A3" s="9" t="s">
        <v>215</v>
      </c>
      <c r="C3" s="7"/>
    </row>
    <row r="4" spans="1:6" ht="20.149999999999999" customHeight="1">
      <c r="A4" s="15" t="s">
        <v>62</v>
      </c>
    </row>
    <row r="5" spans="1:6" ht="10" customHeight="1">
      <c r="B5" s="28"/>
      <c r="C5" s="7"/>
      <c r="D5" s="7"/>
      <c r="F5" s="7"/>
    </row>
    <row r="6" spans="1:6" ht="25" customHeight="1">
      <c r="A6" s="98" t="s">
        <v>63</v>
      </c>
      <c r="B6" s="99" t="s">
        <v>838</v>
      </c>
      <c r="C6" s="18"/>
      <c r="D6" s="106"/>
      <c r="E6" s="170"/>
      <c r="F6" s="18"/>
    </row>
    <row r="7" spans="1:6" ht="20.149999999999999" customHeight="1">
      <c r="A7" s="7" t="s">
        <v>696</v>
      </c>
      <c r="B7" s="130">
        <v>7777.9960000000001</v>
      </c>
      <c r="D7" s="107"/>
      <c r="E7" s="171"/>
    </row>
    <row r="8" spans="1:6" ht="20.149999999999999" customHeight="1">
      <c r="A8" s="101" t="s">
        <v>697</v>
      </c>
      <c r="B8" s="167">
        <v>4873.13</v>
      </c>
      <c r="D8" s="107"/>
      <c r="E8" s="171"/>
    </row>
    <row r="9" spans="1:6" ht="20.149999999999999" customHeight="1">
      <c r="A9" s="7" t="s">
        <v>45</v>
      </c>
      <c r="B9" s="130">
        <v>798.16499999999996</v>
      </c>
      <c r="D9" s="107"/>
      <c r="E9" s="171"/>
    </row>
    <row r="10" spans="1:6" ht="20.149999999999999" customHeight="1">
      <c r="A10" s="462" t="s">
        <v>438</v>
      </c>
      <c r="B10" s="167">
        <v>650.74199999999996</v>
      </c>
      <c r="D10" s="107"/>
      <c r="E10" s="171"/>
    </row>
    <row r="11" spans="1:6" ht="20.149999999999999" customHeight="1">
      <c r="A11" s="86" t="s">
        <v>50</v>
      </c>
      <c r="B11" s="130">
        <v>440.74900000000002</v>
      </c>
      <c r="D11" s="107"/>
      <c r="E11" s="171"/>
    </row>
    <row r="12" spans="1:6" ht="20.149999999999999" customHeight="1">
      <c r="A12" s="462" t="s">
        <v>46</v>
      </c>
      <c r="B12" s="167">
        <v>400.565</v>
      </c>
      <c r="D12" s="107"/>
      <c r="E12" s="171"/>
    </row>
    <row r="13" spans="1:6" ht="20.149999999999999" customHeight="1">
      <c r="A13" s="7" t="s">
        <v>47</v>
      </c>
      <c r="B13" s="130">
        <v>327.904</v>
      </c>
      <c r="D13" s="107"/>
      <c r="E13" s="171"/>
    </row>
    <row r="14" spans="1:6">
      <c r="A14" s="145" t="s">
        <v>196</v>
      </c>
      <c r="B14" s="167">
        <v>208.04599999999999</v>
      </c>
      <c r="D14" s="107"/>
      <c r="E14" s="171"/>
    </row>
    <row r="15" spans="1:6" ht="20.149999999999999" customHeight="1">
      <c r="A15" s="7" t="s">
        <v>48</v>
      </c>
      <c r="B15" s="130">
        <v>-52.209000000000003</v>
      </c>
      <c r="D15" s="107"/>
      <c r="E15" s="171"/>
    </row>
    <row r="16" spans="1:6" ht="20.149999999999999" customHeight="1" thickBot="1">
      <c r="A16" s="102" t="s">
        <v>36</v>
      </c>
      <c r="B16" s="168">
        <v>-538.33699999999999</v>
      </c>
      <c r="D16" s="107"/>
      <c r="E16" s="171"/>
    </row>
    <row r="19" spans="1:6">
      <c r="A19" s="18" t="s">
        <v>890</v>
      </c>
    </row>
    <row r="28" spans="1:6">
      <c r="C28" s="18"/>
      <c r="F28" s="18"/>
    </row>
  </sheetData>
  <sortState xmlns:xlrd2="http://schemas.microsoft.com/office/spreadsheetml/2017/richdata2" ref="A7:B16">
    <sortCondition descending="1" ref="B7:B16"/>
  </sortState>
  <hyperlinks>
    <hyperlink ref="A4" location="Contents!A1" display="Return to Contents" xr:uid="{00000000-0004-0000-0500-000000000000}"/>
  </hyperlink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DDE5F1"/>
    <pageSetUpPr fitToPage="1"/>
  </sheetPr>
  <dimension ref="A1:O20"/>
  <sheetViews>
    <sheetView zoomScaleNormal="100" workbookViewId="0"/>
  </sheetViews>
  <sheetFormatPr defaultColWidth="9.1796875" defaultRowHeight="15.5"/>
  <cols>
    <col min="1" max="1" width="36.26953125" style="9" customWidth="1"/>
    <col min="2" max="6" width="14.7265625" style="5" customWidth="1"/>
    <col min="7" max="7" width="26.7265625" style="9" customWidth="1"/>
    <col min="8" max="8" width="9.1796875" style="9"/>
    <col min="9" max="14" width="9.1796875" style="9" customWidth="1"/>
    <col min="15" max="16384" width="9.1796875" style="9"/>
  </cols>
  <sheetData>
    <row r="1" spans="1:15" ht="30" customHeight="1">
      <c r="A1" s="23" t="s">
        <v>805</v>
      </c>
      <c r="B1" s="36"/>
      <c r="C1" s="36"/>
      <c r="D1" s="36"/>
      <c r="E1" s="36"/>
      <c r="F1" s="37"/>
    </row>
    <row r="2" spans="1:15" ht="20.149999999999999" customHeight="1">
      <c r="A2" s="9" t="s">
        <v>214</v>
      </c>
      <c r="B2" s="36"/>
      <c r="C2" s="36"/>
      <c r="D2" s="36"/>
      <c r="E2" s="36"/>
      <c r="F2" s="37"/>
    </row>
    <row r="3" spans="1:15" ht="20.149999999999999" customHeight="1">
      <c r="A3" s="9" t="s">
        <v>213</v>
      </c>
      <c r="B3" s="36"/>
      <c r="C3" s="36"/>
      <c r="D3" s="36"/>
      <c r="E3" s="36"/>
      <c r="F3" s="37"/>
    </row>
    <row r="4" spans="1:15" ht="20.149999999999999" customHeight="1">
      <c r="A4" s="15" t="s">
        <v>62</v>
      </c>
    </row>
    <row r="5" spans="1:15" ht="10" customHeight="1">
      <c r="F5" s="28"/>
      <c r="G5" s="7"/>
      <c r="H5" s="7"/>
      <c r="I5" s="7"/>
    </row>
    <row r="6" spans="1:15" ht="40" customHeight="1">
      <c r="A6" s="98" t="s">
        <v>63</v>
      </c>
      <c r="B6" s="99" t="s">
        <v>188</v>
      </c>
      <c r="C6" s="99" t="s">
        <v>424</v>
      </c>
      <c r="D6" s="99" t="s">
        <v>600</v>
      </c>
      <c r="E6" s="99" t="s">
        <v>636</v>
      </c>
      <c r="F6" s="99" t="s">
        <v>838</v>
      </c>
      <c r="G6" s="96" t="s">
        <v>844</v>
      </c>
      <c r="H6" s="18"/>
      <c r="I6" s="106"/>
      <c r="J6" s="170"/>
      <c r="K6" s="170"/>
      <c r="L6" s="170"/>
      <c r="M6" s="170"/>
      <c r="N6" s="170"/>
      <c r="O6" s="172"/>
    </row>
    <row r="7" spans="1:15" ht="20.149999999999999" customHeight="1">
      <c r="A7" s="9" t="s">
        <v>35</v>
      </c>
      <c r="B7" s="130">
        <v>5524.3710000000001</v>
      </c>
      <c r="C7" s="130">
        <v>5867.375</v>
      </c>
      <c r="D7" s="130">
        <v>6471.2780000000002</v>
      </c>
      <c r="E7" s="130">
        <v>6960.2839999999997</v>
      </c>
      <c r="F7" s="130">
        <v>7777.9960000000001</v>
      </c>
      <c r="G7" s="30">
        <v>0.11748256249314</v>
      </c>
      <c r="H7" s="31"/>
      <c r="I7" s="185"/>
      <c r="J7" s="173"/>
      <c r="K7" s="171"/>
      <c r="L7" s="171"/>
      <c r="M7" s="171"/>
      <c r="N7" s="171"/>
      <c r="O7" s="172"/>
    </row>
    <row r="8" spans="1:15" ht="20.149999999999999" customHeight="1">
      <c r="A8" s="95" t="s">
        <v>438</v>
      </c>
      <c r="B8" s="167">
        <v>582.32100000000003</v>
      </c>
      <c r="C8" s="167">
        <v>592.43799999999999</v>
      </c>
      <c r="D8" s="167">
        <v>650.98500000000001</v>
      </c>
      <c r="E8" s="167">
        <v>675.06899999999996</v>
      </c>
      <c r="F8" s="167">
        <v>650.74199999999996</v>
      </c>
      <c r="G8" s="103">
        <v>-3.6036316287668402E-2</v>
      </c>
      <c r="H8" s="31"/>
      <c r="I8" s="185"/>
      <c r="J8" s="173"/>
      <c r="K8" s="171"/>
      <c r="L8" s="171"/>
      <c r="M8" s="171"/>
      <c r="N8" s="171"/>
      <c r="O8" s="172"/>
    </row>
    <row r="9" spans="1:15" ht="20.149999999999999" customHeight="1">
      <c r="A9" s="9" t="s">
        <v>44</v>
      </c>
      <c r="B9" s="130">
        <v>3539.6280000000002</v>
      </c>
      <c r="C9" s="130">
        <v>3817.9180000000001</v>
      </c>
      <c r="D9" s="130">
        <v>4290.9390000000003</v>
      </c>
      <c r="E9" s="130">
        <v>4604.5200000000004</v>
      </c>
      <c r="F9" s="130">
        <v>4873.1289999999999</v>
      </c>
      <c r="G9" s="30">
        <v>5.83359394681746E-2</v>
      </c>
      <c r="H9" s="31"/>
      <c r="I9" s="185"/>
      <c r="J9" s="173"/>
      <c r="K9" s="171"/>
      <c r="L9" s="171"/>
      <c r="M9" s="171"/>
      <c r="N9" s="171"/>
      <c r="O9" s="172"/>
    </row>
    <row r="10" spans="1:15" ht="20.149999999999999" customHeight="1">
      <c r="A10" s="95" t="s">
        <v>50</v>
      </c>
      <c r="B10" s="167">
        <v>457.50900000000001</v>
      </c>
      <c r="C10" s="167">
        <v>404.17099999999999</v>
      </c>
      <c r="D10" s="167">
        <v>436.92</v>
      </c>
      <c r="E10" s="167">
        <v>454.47699999999998</v>
      </c>
      <c r="F10" s="167">
        <v>440.74900000000002</v>
      </c>
      <c r="G10" s="103">
        <v>-3.02061490460462E-2</v>
      </c>
      <c r="H10" s="31"/>
      <c r="I10" s="185"/>
      <c r="J10" s="173"/>
      <c r="K10" s="171"/>
      <c r="L10" s="171"/>
      <c r="M10" s="171"/>
      <c r="N10" s="171"/>
      <c r="O10" s="172"/>
    </row>
    <row r="11" spans="1:15" ht="20.149999999999999" customHeight="1">
      <c r="A11" s="9" t="s">
        <v>45</v>
      </c>
      <c r="B11" s="130">
        <v>725.91800000000001</v>
      </c>
      <c r="C11" s="130">
        <v>719.48500000000001</v>
      </c>
      <c r="D11" s="130">
        <v>753.80399999999997</v>
      </c>
      <c r="E11" s="130">
        <v>810.54700000000003</v>
      </c>
      <c r="F11" s="130">
        <v>798.16499999999996</v>
      </c>
      <c r="G11" s="30">
        <v>-1.52761036682636E-2</v>
      </c>
      <c r="H11" s="31"/>
      <c r="I11" s="185"/>
      <c r="J11" s="173"/>
      <c r="K11" s="171"/>
      <c r="L11" s="171"/>
      <c r="M11" s="171"/>
      <c r="N11" s="171"/>
      <c r="O11" s="172"/>
    </row>
    <row r="12" spans="1:15" ht="20.149999999999999" customHeight="1">
      <c r="A12" s="95" t="s">
        <v>196</v>
      </c>
      <c r="B12" s="167">
        <v>218.66499999999999</v>
      </c>
      <c r="C12" s="167">
        <v>250.37899999999999</v>
      </c>
      <c r="D12" s="167">
        <v>246.488</v>
      </c>
      <c r="E12" s="167">
        <v>262.64800000000002</v>
      </c>
      <c r="F12" s="167">
        <v>208.04599999999999</v>
      </c>
      <c r="G12" s="103">
        <v>-0.207890408455423</v>
      </c>
      <c r="H12" s="31"/>
      <c r="I12" s="185"/>
      <c r="J12" s="173"/>
      <c r="K12" s="171"/>
      <c r="L12" s="171"/>
      <c r="M12" s="171"/>
      <c r="N12" s="171"/>
      <c r="O12" s="172"/>
    </row>
    <row r="13" spans="1:15" ht="20.149999999999999" customHeight="1">
      <c r="A13" s="9" t="s">
        <v>46</v>
      </c>
      <c r="B13" s="130">
        <v>386.64699999999999</v>
      </c>
      <c r="C13" s="130">
        <v>362.81700000000001</v>
      </c>
      <c r="D13" s="130">
        <v>339.96699999999998</v>
      </c>
      <c r="E13" s="130">
        <v>691.91099999999994</v>
      </c>
      <c r="F13" s="130">
        <v>400.565</v>
      </c>
      <c r="G13" s="30">
        <v>-0.42107438673470998</v>
      </c>
      <c r="H13" s="31"/>
      <c r="I13" s="185"/>
      <c r="J13" s="173"/>
      <c r="K13" s="171"/>
      <c r="L13" s="171"/>
      <c r="M13" s="171"/>
      <c r="N13" s="171"/>
      <c r="O13" s="172"/>
    </row>
    <row r="14" spans="1:15" ht="20.149999999999999" customHeight="1">
      <c r="A14" s="95" t="s">
        <v>47</v>
      </c>
      <c r="B14" s="167">
        <v>272.48500000000001</v>
      </c>
      <c r="C14" s="167">
        <v>290.774</v>
      </c>
      <c r="D14" s="167">
        <v>321.84899999999999</v>
      </c>
      <c r="E14" s="167">
        <v>338.91899999999998</v>
      </c>
      <c r="F14" s="167">
        <v>327.904</v>
      </c>
      <c r="G14" s="103">
        <v>-3.2500390948869799E-2</v>
      </c>
      <c r="H14" s="31"/>
      <c r="I14" s="185"/>
      <c r="J14" s="173"/>
      <c r="K14" s="171"/>
      <c r="L14" s="171"/>
      <c r="M14" s="171"/>
      <c r="N14" s="171"/>
      <c r="O14" s="172"/>
    </row>
    <row r="15" spans="1:15" ht="20.149999999999999" customHeight="1">
      <c r="A15" s="9" t="s">
        <v>48</v>
      </c>
      <c r="B15" s="130">
        <v>-28.643999999999998</v>
      </c>
      <c r="C15" s="130">
        <v>-28.512</v>
      </c>
      <c r="D15" s="130">
        <v>-24.771999999999998</v>
      </c>
      <c r="E15" s="130">
        <v>-40.61</v>
      </c>
      <c r="F15" s="130">
        <v>-52.209000000000003</v>
      </c>
      <c r="G15" s="30">
        <v>0.28561930558975601</v>
      </c>
      <c r="H15" s="31"/>
      <c r="I15" s="185"/>
      <c r="J15" s="173"/>
      <c r="K15" s="171"/>
      <c r="L15" s="171"/>
      <c r="M15" s="171"/>
      <c r="N15" s="171"/>
      <c r="O15" s="172"/>
    </row>
    <row r="16" spans="1:15" ht="25" customHeight="1">
      <c r="A16" s="98" t="s">
        <v>49</v>
      </c>
      <c r="B16" s="126">
        <v>11678.9</v>
      </c>
      <c r="C16" s="126">
        <v>12276.844999999999</v>
      </c>
      <c r="D16" s="126">
        <v>13487.458000000001</v>
      </c>
      <c r="E16" s="126">
        <v>14757.764999999999</v>
      </c>
      <c r="F16" s="126">
        <v>15425.087</v>
      </c>
      <c r="G16" s="100">
        <v>4.5218364704953599E-2</v>
      </c>
      <c r="H16" s="32"/>
      <c r="I16" s="185"/>
      <c r="J16" s="173"/>
      <c r="K16" s="173"/>
      <c r="L16" s="173"/>
      <c r="M16" s="173"/>
      <c r="N16" s="173"/>
      <c r="O16" s="172"/>
    </row>
    <row r="17" spans="1:15" ht="20.149999999999999" customHeight="1">
      <c r="A17" s="9" t="s">
        <v>439</v>
      </c>
      <c r="B17" s="130">
        <v>-571.34199999999998</v>
      </c>
      <c r="C17" s="130">
        <v>-526.65200000000004</v>
      </c>
      <c r="D17" s="130">
        <v>-537.76099999999997</v>
      </c>
      <c r="E17" s="130">
        <v>-457.31900000000002</v>
      </c>
      <c r="F17" s="130">
        <v>-538.33699999999999</v>
      </c>
      <c r="G17" s="30">
        <v>0.17715861357170801</v>
      </c>
      <c r="H17" s="31"/>
      <c r="I17" s="185"/>
      <c r="J17" s="173"/>
      <c r="K17" s="171"/>
      <c r="L17" s="171"/>
      <c r="M17" s="171"/>
      <c r="N17" s="171"/>
      <c r="O17" s="172"/>
    </row>
    <row r="18" spans="1:15" ht="25" customHeight="1">
      <c r="A18" s="98" t="s">
        <v>104</v>
      </c>
      <c r="B18" s="126">
        <v>11107.558000000001</v>
      </c>
      <c r="C18" s="126">
        <v>11750.192999999999</v>
      </c>
      <c r="D18" s="126">
        <v>12949.697</v>
      </c>
      <c r="E18" s="126">
        <v>14300.446</v>
      </c>
      <c r="F18" s="126">
        <v>14886.75</v>
      </c>
      <c r="G18" s="100">
        <v>4.0999001010178303E-2</v>
      </c>
      <c r="H18" s="32"/>
      <c r="I18" s="185"/>
      <c r="J18" s="173"/>
      <c r="K18" s="173"/>
      <c r="L18" s="173"/>
      <c r="M18" s="173"/>
      <c r="N18" s="173"/>
      <c r="O18" s="172"/>
    </row>
    <row r="20" spans="1:15">
      <c r="F20" s="156"/>
    </row>
  </sheetData>
  <hyperlinks>
    <hyperlink ref="A4" location="Contents!A1" display="Return to Contents" xr:uid="{00000000-0004-0000-0600-000000000000}"/>
  </hyperlinks>
  <pageMargins left="0.25" right="0.25" top="0.75" bottom="0.75" header="0.3" footer="0.3"/>
  <pageSetup paperSize="9" scale="71"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DDE5F1"/>
    <pageSetUpPr fitToPage="1"/>
  </sheetPr>
  <dimension ref="A1:H70"/>
  <sheetViews>
    <sheetView zoomScale="80" zoomScaleNormal="80" workbookViewId="0"/>
  </sheetViews>
  <sheetFormatPr defaultColWidth="9.1796875" defaultRowHeight="15.5"/>
  <cols>
    <col min="1" max="1" width="25.7265625" style="9" customWidth="1"/>
    <col min="2" max="2" width="17.81640625" style="5" customWidth="1"/>
    <col min="3" max="3" width="16.26953125" style="5" customWidth="1"/>
    <col min="4" max="4" width="19.453125" style="5" customWidth="1"/>
    <col min="5" max="6" width="9.1796875" style="9" customWidth="1"/>
    <col min="7" max="7" width="9.1796875" style="9"/>
    <col min="8" max="8" width="9.1796875" style="9" customWidth="1"/>
    <col min="9" max="16384" width="9.1796875" style="9"/>
  </cols>
  <sheetData>
    <row r="1" spans="1:8" ht="30" customHeight="1">
      <c r="A1" s="23" t="s">
        <v>781</v>
      </c>
      <c r="B1" s="36"/>
      <c r="C1" s="36"/>
      <c r="D1" s="36"/>
      <c r="E1" s="38"/>
    </row>
    <row r="2" spans="1:8" ht="20.149999999999999" customHeight="1">
      <c r="A2" s="9" t="s">
        <v>236</v>
      </c>
      <c r="B2" s="36"/>
      <c r="C2" s="36"/>
      <c r="D2" s="36"/>
      <c r="E2" s="38"/>
    </row>
    <row r="3" spans="1:8" ht="20.149999999999999" customHeight="1">
      <c r="A3" s="2" t="s">
        <v>850</v>
      </c>
      <c r="B3" s="9"/>
      <c r="C3" s="9"/>
      <c r="D3" s="36"/>
      <c r="E3" s="38"/>
    </row>
    <row r="4" spans="1:8" ht="20.149999999999999" customHeight="1">
      <c r="A4" s="15" t="s">
        <v>62</v>
      </c>
    </row>
    <row r="5" spans="1:8" ht="10" customHeight="1">
      <c r="E5" s="7"/>
      <c r="F5" s="7"/>
      <c r="H5" s="7"/>
    </row>
    <row r="6" spans="1:8" ht="55" customHeight="1">
      <c r="A6" s="104" t="s">
        <v>5</v>
      </c>
      <c r="B6" s="96" t="s">
        <v>281</v>
      </c>
      <c r="C6" s="96" t="s">
        <v>58</v>
      </c>
      <c r="D6" s="96" t="s">
        <v>282</v>
      </c>
      <c r="E6" s="18"/>
      <c r="F6" s="106"/>
      <c r="G6" s="170"/>
      <c r="H6" s="18"/>
    </row>
    <row r="7" spans="1:8" ht="20.149999999999999" customHeight="1">
      <c r="A7" s="7" t="s">
        <v>29</v>
      </c>
      <c r="B7" s="130">
        <v>123088</v>
      </c>
      <c r="C7" s="130">
        <v>23190</v>
      </c>
      <c r="D7" s="130">
        <v>5307.8050884001696</v>
      </c>
      <c r="F7" s="107"/>
      <c r="G7" s="171"/>
    </row>
    <row r="8" spans="1:8" ht="20.149999999999999" customHeight="1">
      <c r="A8" s="7" t="s">
        <v>26</v>
      </c>
      <c r="B8" s="130">
        <v>108262</v>
      </c>
      <c r="C8" s="130">
        <v>22020</v>
      </c>
      <c r="D8" s="130">
        <v>4916.5304268846503</v>
      </c>
      <c r="F8" s="107"/>
      <c r="G8" s="171"/>
    </row>
    <row r="9" spans="1:8" ht="20.149999999999999" customHeight="1">
      <c r="A9" s="7" t="s">
        <v>114</v>
      </c>
      <c r="B9" s="130">
        <v>116976</v>
      </c>
      <c r="C9" s="130">
        <v>26020</v>
      </c>
      <c r="D9" s="130">
        <v>4495.6187548039998</v>
      </c>
      <c r="F9" s="107"/>
      <c r="G9" s="171"/>
    </row>
    <row r="10" spans="1:8" ht="20.149999999999999" customHeight="1">
      <c r="A10" s="7" t="s">
        <v>127</v>
      </c>
      <c r="B10" s="130">
        <v>297391</v>
      </c>
      <c r="C10" s="130">
        <v>87690</v>
      </c>
      <c r="D10" s="130">
        <v>3391.3901243015198</v>
      </c>
      <c r="F10" s="107"/>
      <c r="G10" s="171"/>
    </row>
    <row r="11" spans="1:8" ht="20.149999999999999" customHeight="1">
      <c r="A11" s="7" t="s">
        <v>24</v>
      </c>
      <c r="B11" s="130">
        <v>406386</v>
      </c>
      <c r="C11" s="130">
        <v>134010</v>
      </c>
      <c r="D11" s="130">
        <v>3032.5050369375399</v>
      </c>
      <c r="F11" s="107"/>
      <c r="G11" s="171"/>
    </row>
    <row r="12" spans="1:8" ht="20.149999999999999" customHeight="1">
      <c r="A12" s="7" t="s">
        <v>10</v>
      </c>
      <c r="B12" s="130">
        <v>442195</v>
      </c>
      <c r="C12" s="130">
        <v>145860</v>
      </c>
      <c r="D12" s="130">
        <v>3031.6399286987498</v>
      </c>
      <c r="F12" s="107"/>
      <c r="G12" s="171"/>
    </row>
    <row r="13" spans="1:8" ht="20.149999999999999" customHeight="1">
      <c r="A13" s="7" t="s">
        <v>33</v>
      </c>
      <c r="B13" s="130">
        <v>268983</v>
      </c>
      <c r="C13" s="130">
        <v>89120</v>
      </c>
      <c r="D13" s="130">
        <v>3018.21140035907</v>
      </c>
      <c r="F13" s="107"/>
      <c r="G13" s="171"/>
    </row>
    <row r="14" spans="1:8" ht="20.149999999999999" customHeight="1">
      <c r="A14" s="7" t="s">
        <v>20</v>
      </c>
      <c r="B14" s="130">
        <v>714122</v>
      </c>
      <c r="C14" s="130">
        <v>237290</v>
      </c>
      <c r="D14" s="130">
        <v>3009.4904968603801</v>
      </c>
      <c r="F14" s="107"/>
      <c r="G14" s="171"/>
    </row>
    <row r="15" spans="1:8" ht="20.149999999999999" customHeight="1">
      <c r="A15" s="7" t="s">
        <v>22</v>
      </c>
      <c r="B15" s="130">
        <v>296847</v>
      </c>
      <c r="C15" s="130">
        <v>99880</v>
      </c>
      <c r="D15" s="130">
        <v>2972.0364437324802</v>
      </c>
      <c r="F15" s="107"/>
      <c r="G15" s="171"/>
    </row>
    <row r="16" spans="1:8" ht="20.149999999999999" customHeight="1">
      <c r="A16" s="7" t="s">
        <v>32</v>
      </c>
      <c r="B16" s="130">
        <v>278517</v>
      </c>
      <c r="C16" s="130">
        <v>94210</v>
      </c>
      <c r="D16" s="130">
        <v>2956.3422142023101</v>
      </c>
      <c r="F16" s="107"/>
      <c r="G16" s="171"/>
    </row>
    <row r="17" spans="1:7" ht="20.149999999999999" customHeight="1">
      <c r="A17" s="7" t="s">
        <v>21</v>
      </c>
      <c r="B17" s="130">
        <v>232103</v>
      </c>
      <c r="C17" s="130">
        <v>78880</v>
      </c>
      <c r="D17" s="130">
        <v>2942.4822515213</v>
      </c>
      <c r="F17" s="107"/>
      <c r="G17" s="171"/>
    </row>
    <row r="18" spans="1:7" ht="20.149999999999999" customHeight="1">
      <c r="A18" s="7" t="s">
        <v>15</v>
      </c>
      <c r="B18" s="130">
        <v>293687</v>
      </c>
      <c r="C18" s="130">
        <v>99830</v>
      </c>
      <c r="D18" s="130">
        <v>2941.8711810077102</v>
      </c>
      <c r="F18" s="107"/>
      <c r="G18" s="171"/>
    </row>
    <row r="19" spans="1:7" ht="20.149999999999999" customHeight="1">
      <c r="A19" s="7" t="s">
        <v>9</v>
      </c>
      <c r="B19" s="130">
        <v>152902</v>
      </c>
      <c r="C19" s="130">
        <v>52110</v>
      </c>
      <c r="D19" s="130">
        <v>2934.2160813663399</v>
      </c>
      <c r="F19" s="107"/>
      <c r="G19" s="171"/>
    </row>
    <row r="20" spans="1:7" ht="20.149999999999999" customHeight="1">
      <c r="A20" s="7" t="s">
        <v>13</v>
      </c>
      <c r="B20" s="130">
        <v>320846</v>
      </c>
      <c r="C20" s="130">
        <v>109970</v>
      </c>
      <c r="D20" s="130">
        <v>2917.5775211421301</v>
      </c>
      <c r="F20" s="107"/>
      <c r="G20" s="171"/>
    </row>
    <row r="21" spans="1:7" ht="20.149999999999999" customHeight="1">
      <c r="A21" s="7" t="s">
        <v>28</v>
      </c>
      <c r="B21" s="130">
        <v>341024</v>
      </c>
      <c r="C21" s="130">
        <v>116980</v>
      </c>
      <c r="D21" s="130">
        <v>2915.23337322619</v>
      </c>
      <c r="F21" s="107"/>
      <c r="G21" s="171"/>
    </row>
    <row r="22" spans="1:7" ht="20.149999999999999" customHeight="1">
      <c r="A22" s="7" t="s">
        <v>30</v>
      </c>
      <c r="B22" s="130">
        <v>326064</v>
      </c>
      <c r="C22" s="130">
        <v>112260</v>
      </c>
      <c r="D22" s="130">
        <v>2904.5430251202602</v>
      </c>
      <c r="F22" s="107"/>
      <c r="G22" s="171"/>
    </row>
    <row r="23" spans="1:7" ht="20.149999999999999" customHeight="1">
      <c r="A23" s="7" t="s">
        <v>11</v>
      </c>
      <c r="B23" s="130">
        <v>430463</v>
      </c>
      <c r="C23" s="130">
        <v>149880</v>
      </c>
      <c r="D23" s="130">
        <v>2872.0509741126202</v>
      </c>
      <c r="F23" s="107"/>
      <c r="G23" s="171"/>
    </row>
    <row r="24" spans="1:7" ht="20.149999999999999" customHeight="1">
      <c r="A24" s="7" t="s">
        <v>8</v>
      </c>
      <c r="B24" s="130">
        <v>328121</v>
      </c>
      <c r="C24" s="130">
        <v>114810</v>
      </c>
      <c r="D24" s="130">
        <v>2857.9479139447799</v>
      </c>
      <c r="F24" s="107"/>
      <c r="G24" s="171"/>
    </row>
    <row r="25" spans="1:7" ht="20.149999999999999" customHeight="1">
      <c r="A25" s="7" t="s">
        <v>27</v>
      </c>
      <c r="B25" s="130">
        <v>434873</v>
      </c>
      <c r="C25" s="130">
        <v>154420</v>
      </c>
      <c r="D25" s="130">
        <v>2816.1701852091701</v>
      </c>
      <c r="F25" s="107"/>
      <c r="G25" s="171"/>
    </row>
    <row r="26" spans="1:7" ht="20.149999999999999" customHeight="1">
      <c r="A26" s="7" t="s">
        <v>18</v>
      </c>
      <c r="B26" s="130">
        <v>1054241</v>
      </c>
      <c r="C26" s="130">
        <v>374760</v>
      </c>
      <c r="D26" s="130">
        <v>2813.1097235564098</v>
      </c>
      <c r="F26" s="107"/>
      <c r="G26" s="171"/>
    </row>
    <row r="27" spans="1:7" ht="20.149999999999999" customHeight="1">
      <c r="A27" s="7" t="s">
        <v>17</v>
      </c>
      <c r="B27" s="130">
        <v>448073</v>
      </c>
      <c r="C27" s="130">
        <v>160020</v>
      </c>
      <c r="D27" s="130">
        <v>2800.1062367204099</v>
      </c>
      <c r="F27" s="107"/>
      <c r="G27" s="171"/>
    </row>
    <row r="28" spans="1:7" ht="20.149999999999999" customHeight="1">
      <c r="A28" s="7" t="s">
        <v>7</v>
      </c>
      <c r="B28" s="130">
        <v>737531</v>
      </c>
      <c r="C28" s="130">
        <v>265080</v>
      </c>
      <c r="D28" s="130">
        <v>2782.2959106684798</v>
      </c>
      <c r="F28" s="107"/>
      <c r="G28" s="171"/>
    </row>
    <row r="29" spans="1:7" ht="20.149999999999999" customHeight="1">
      <c r="A29" s="8" t="s">
        <v>158</v>
      </c>
      <c r="B29" s="87">
        <v>15422510</v>
      </c>
      <c r="C29" s="87">
        <v>5546900</v>
      </c>
      <c r="D29" s="87">
        <v>2780.38363770755</v>
      </c>
      <c r="F29" s="107"/>
      <c r="G29" s="171"/>
    </row>
    <row r="30" spans="1:7" ht="20.149999999999999" customHeight="1">
      <c r="A30" s="7" t="s">
        <v>12</v>
      </c>
      <c r="B30" s="130">
        <v>337742</v>
      </c>
      <c r="C30" s="130">
        <v>121480</v>
      </c>
      <c r="D30" s="130">
        <v>2780.2271978926601</v>
      </c>
      <c r="F30" s="107"/>
      <c r="G30" s="171"/>
    </row>
    <row r="31" spans="1:7" ht="20.149999999999999" customHeight="1">
      <c r="A31" s="7" t="s">
        <v>23</v>
      </c>
      <c r="B31" s="130">
        <v>263229</v>
      </c>
      <c r="C31" s="130">
        <v>95010</v>
      </c>
      <c r="D31" s="130">
        <v>2770.5399431638798</v>
      </c>
      <c r="F31" s="107"/>
      <c r="G31" s="171"/>
    </row>
    <row r="32" spans="1:7" ht="20.149999999999999" customHeight="1">
      <c r="A32" s="7" t="s">
        <v>19</v>
      </c>
      <c r="B32" s="130">
        <v>1800034</v>
      </c>
      <c r="C32" s="130">
        <v>650300</v>
      </c>
      <c r="D32" s="130">
        <v>2768.0055359065</v>
      </c>
      <c r="F32" s="107"/>
      <c r="G32" s="171"/>
    </row>
    <row r="33" spans="1:7" ht="20.149999999999999" customHeight="1">
      <c r="A33" s="7" t="s">
        <v>25</v>
      </c>
      <c r="B33" s="130">
        <v>930978</v>
      </c>
      <c r="C33" s="130">
        <v>344540</v>
      </c>
      <c r="D33" s="130">
        <v>2702.0897428455301</v>
      </c>
      <c r="F33" s="107"/>
      <c r="G33" s="171"/>
    </row>
    <row r="34" spans="1:7" ht="20.149999999999999" customHeight="1">
      <c r="A34" s="7" t="s">
        <v>34</v>
      </c>
      <c r="B34" s="130">
        <v>492491</v>
      </c>
      <c r="C34" s="130">
        <v>186440</v>
      </c>
      <c r="D34" s="130">
        <v>2641.5522420081502</v>
      </c>
      <c r="F34" s="107"/>
      <c r="G34" s="171"/>
    </row>
    <row r="35" spans="1:7" ht="20.149999999999999" customHeight="1">
      <c r="A35" s="7" t="s">
        <v>16</v>
      </c>
      <c r="B35" s="130">
        <v>499428</v>
      </c>
      <c r="C35" s="130">
        <v>189170</v>
      </c>
      <c r="D35" s="130">
        <v>2640.1014960088801</v>
      </c>
      <c r="F35" s="107"/>
      <c r="G35" s="171"/>
    </row>
    <row r="36" spans="1:7" ht="20.149999999999999" customHeight="1">
      <c r="A36" s="7" t="s">
        <v>31</v>
      </c>
      <c r="B36" s="130">
        <v>871222</v>
      </c>
      <c r="C36" s="130">
        <v>334030</v>
      </c>
      <c r="D36" s="130">
        <v>2608.2148310031998</v>
      </c>
      <c r="F36" s="107"/>
      <c r="G36" s="171"/>
    </row>
    <row r="37" spans="1:7" ht="20.149999999999999" customHeight="1">
      <c r="A37" s="7" t="s">
        <v>14</v>
      </c>
      <c r="B37" s="130">
        <v>298820</v>
      </c>
      <c r="C37" s="130">
        <v>115180</v>
      </c>
      <c r="D37" s="130">
        <v>2594.3740232679302</v>
      </c>
      <c r="F37" s="107"/>
      <c r="G37" s="171"/>
    </row>
    <row r="38" spans="1:7" ht="20.149999999999999" customHeight="1">
      <c r="A38" s="7" t="s">
        <v>113</v>
      </c>
      <c r="B38" s="130">
        <v>1241981</v>
      </c>
      <c r="C38" s="130">
        <v>530680</v>
      </c>
      <c r="D38" s="130">
        <v>2340.3576543302902</v>
      </c>
      <c r="F38" s="107"/>
      <c r="G38" s="171"/>
    </row>
    <row r="39" spans="1:7" ht="20.149999999999999" customHeight="1" thickBot="1">
      <c r="A39" s="152" t="s">
        <v>6</v>
      </c>
      <c r="B39" s="153">
        <v>533890</v>
      </c>
      <c r="C39" s="153">
        <v>231780</v>
      </c>
      <c r="D39" s="153">
        <v>2303.43429113815</v>
      </c>
      <c r="F39" s="107"/>
      <c r="G39" s="171"/>
    </row>
    <row r="40" spans="1:7">
      <c r="B40" s="9"/>
      <c r="C40" s="9"/>
      <c r="D40" s="9"/>
    </row>
    <row r="41" spans="1:7">
      <c r="A41" s="172"/>
      <c r="B41" s="288"/>
      <c r="C41" s="288"/>
      <c r="D41" s="172"/>
    </row>
    <row r="42" spans="1:7">
      <c r="B42" s="9"/>
      <c r="C42" s="9"/>
      <c r="D42" s="9"/>
    </row>
    <row r="43" spans="1:7">
      <c r="B43" s="9"/>
      <c r="C43" s="9"/>
      <c r="D43" s="9"/>
    </row>
    <row r="44" spans="1:7">
      <c r="B44" s="9"/>
      <c r="C44" s="9"/>
      <c r="D44" s="9"/>
    </row>
    <row r="45" spans="1:7">
      <c r="B45" s="9"/>
      <c r="C45" s="9"/>
      <c r="D45" s="9"/>
    </row>
    <row r="46" spans="1:7">
      <c r="B46" s="9"/>
      <c r="C46" s="9"/>
      <c r="D46" s="9"/>
    </row>
    <row r="47" spans="1:7">
      <c r="B47" s="9"/>
      <c r="C47" s="9"/>
      <c r="D47" s="9"/>
    </row>
    <row r="48" spans="1:7">
      <c r="B48" s="9"/>
      <c r="C48" s="9"/>
      <c r="D48" s="9"/>
    </row>
    <row r="49" s="9" customFormat="1"/>
    <row r="50" s="9" customFormat="1"/>
    <row r="51" s="9" customFormat="1"/>
    <row r="52" s="9" customFormat="1"/>
    <row r="53" s="9" customFormat="1"/>
    <row r="54" s="9" customFormat="1"/>
    <row r="55" s="9" customFormat="1"/>
    <row r="56" s="9" customFormat="1"/>
    <row r="57" s="9" customFormat="1"/>
    <row r="58" s="9" customFormat="1"/>
    <row r="59" s="9" customFormat="1"/>
    <row r="60" s="9" customFormat="1"/>
    <row r="61" s="9" customFormat="1"/>
    <row r="62" s="9" customFormat="1"/>
    <row r="63" s="9" customFormat="1"/>
    <row r="64" s="9" customFormat="1"/>
    <row r="65" s="9" customFormat="1"/>
    <row r="66" s="9" customFormat="1"/>
    <row r="67" s="9" customFormat="1"/>
    <row r="68" s="9" customFormat="1"/>
    <row r="69" s="9" customFormat="1"/>
    <row r="70" s="9" customFormat="1"/>
  </sheetData>
  <sortState xmlns:xlrd2="http://schemas.microsoft.com/office/spreadsheetml/2017/richdata2" ref="A7:D39">
    <sortCondition descending="1" ref="D7:D39"/>
  </sortState>
  <hyperlinks>
    <hyperlink ref="A4" location="Contents!A1" display="Return to Contents" xr:uid="{00000000-0004-0000-0700-000000000000}"/>
  </hyperlinks>
  <pageMargins left="0.25" right="0.25" top="0.75" bottom="0.75" header="0.3" footer="0.3"/>
  <pageSetup paperSize="9" scale="38"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tabColor rgb="FFDDE5F1"/>
  </sheetPr>
  <dimension ref="A1:S14"/>
  <sheetViews>
    <sheetView zoomScaleNormal="100" workbookViewId="0"/>
  </sheetViews>
  <sheetFormatPr defaultColWidth="9.1796875" defaultRowHeight="15.5"/>
  <cols>
    <col min="1" max="1" width="47" style="9" customWidth="1"/>
    <col min="2" max="6" width="14.7265625" style="9" customWidth="1"/>
    <col min="7" max="7" width="26.7265625" style="9" customWidth="1"/>
    <col min="8" max="9" width="9.1796875" style="9" customWidth="1"/>
    <col min="10" max="14" width="12" style="18" customWidth="1"/>
    <col min="15" max="15" width="9.1796875" style="18"/>
    <col min="16" max="16384" width="9.1796875" style="9"/>
  </cols>
  <sheetData>
    <row r="1" spans="1:19" ht="30" customHeight="1">
      <c r="A1" s="22" t="s">
        <v>806</v>
      </c>
      <c r="B1" s="36"/>
      <c r="C1" s="36"/>
      <c r="D1" s="36"/>
      <c r="E1" s="36"/>
      <c r="F1" s="37"/>
    </row>
    <row r="2" spans="1:19" ht="20.149999999999999" customHeight="1">
      <c r="A2" s="9" t="s">
        <v>214</v>
      </c>
      <c r="B2" s="36"/>
      <c r="C2" s="36"/>
      <c r="D2" s="36"/>
      <c r="E2" s="36"/>
      <c r="F2" s="37"/>
    </row>
    <row r="3" spans="1:19" ht="20.149999999999999" customHeight="1">
      <c r="A3" s="9" t="s">
        <v>213</v>
      </c>
      <c r="B3" s="36"/>
      <c r="C3" s="36"/>
      <c r="D3" s="36"/>
      <c r="E3" s="36"/>
      <c r="F3" s="37"/>
    </row>
    <row r="4" spans="1:19" ht="20.149999999999999" customHeight="1">
      <c r="A4" s="15" t="s">
        <v>62</v>
      </c>
      <c r="B4" s="5"/>
      <c r="C4" s="5"/>
      <c r="D4" s="5"/>
      <c r="E4" s="5"/>
      <c r="F4" s="5"/>
      <c r="J4" s="9"/>
      <c r="K4" s="9"/>
      <c r="L4" s="9"/>
      <c r="M4" s="9"/>
      <c r="N4" s="9"/>
      <c r="O4" s="9"/>
    </row>
    <row r="5" spans="1:19" ht="10" customHeight="1">
      <c r="B5" s="5"/>
      <c r="C5" s="5"/>
      <c r="D5" s="5"/>
      <c r="E5" s="5"/>
      <c r="F5" s="28"/>
      <c r="G5" s="7"/>
      <c r="H5" s="7"/>
      <c r="I5" s="7"/>
      <c r="J5" s="7"/>
      <c r="K5" s="7"/>
      <c r="L5" s="7"/>
      <c r="M5" s="7"/>
      <c r="N5" s="7"/>
      <c r="O5" s="7"/>
      <c r="P5" s="7"/>
      <c r="Q5" s="7"/>
      <c r="R5" s="7"/>
      <c r="S5" s="7"/>
    </row>
    <row r="6" spans="1:19" ht="40" customHeight="1">
      <c r="A6" s="98" t="s">
        <v>134</v>
      </c>
      <c r="B6" s="99" t="s">
        <v>188</v>
      </c>
      <c r="C6" s="99" t="s">
        <v>424</v>
      </c>
      <c r="D6" s="99" t="s">
        <v>600</v>
      </c>
      <c r="E6" s="99" t="s">
        <v>636</v>
      </c>
      <c r="F6" s="99" t="s">
        <v>838</v>
      </c>
      <c r="G6" s="96" t="s">
        <v>844</v>
      </c>
      <c r="I6" s="106"/>
      <c r="J6" s="106"/>
      <c r="K6" s="106"/>
      <c r="L6" s="106"/>
      <c r="M6" s="106"/>
      <c r="N6" s="106"/>
    </row>
    <row r="7" spans="1:19" ht="20.149999999999999" customHeight="1">
      <c r="A7" s="9" t="s">
        <v>52</v>
      </c>
      <c r="B7" s="71">
        <v>8191.3019999999997</v>
      </c>
      <c r="C7" s="71">
        <v>8611.4150000000009</v>
      </c>
      <c r="D7" s="71">
        <v>9304.8119999999999</v>
      </c>
      <c r="E7" s="71">
        <v>10341.491</v>
      </c>
      <c r="F7" s="71">
        <v>10210.514999999999</v>
      </c>
      <c r="G7" s="48">
        <v>-1.26650982919195E-2</v>
      </c>
      <c r="H7" s="41"/>
      <c r="I7" s="428"/>
      <c r="J7" s="353"/>
      <c r="K7" s="399"/>
      <c r="L7" s="353"/>
      <c r="M7" s="174"/>
      <c r="N7" s="174"/>
      <c r="O7" s="20"/>
    </row>
    <row r="8" spans="1:19" ht="20.149999999999999" customHeight="1">
      <c r="A8" s="95" t="s">
        <v>53</v>
      </c>
      <c r="B8" s="169">
        <v>8065.6260000000002</v>
      </c>
      <c r="C8" s="169">
        <v>8400.0280000000002</v>
      </c>
      <c r="D8" s="169">
        <v>9045.5570000000007</v>
      </c>
      <c r="E8" s="169">
        <v>9705.8619999999992</v>
      </c>
      <c r="F8" s="169">
        <v>10164.305</v>
      </c>
      <c r="G8" s="373">
        <v>4.7233620259591699E-2</v>
      </c>
      <c r="H8" s="41"/>
      <c r="I8" s="428"/>
      <c r="J8" s="320"/>
      <c r="K8" s="353"/>
      <c r="L8" s="174"/>
      <c r="M8" s="174"/>
      <c r="N8" s="174"/>
      <c r="O8" s="20"/>
    </row>
    <row r="9" spans="1:19" ht="20.149999999999999" customHeight="1">
      <c r="A9" s="9" t="s">
        <v>54</v>
      </c>
      <c r="B9" s="71">
        <v>4723.9880000000003</v>
      </c>
      <c r="C9" s="71">
        <v>5025.5919999999996</v>
      </c>
      <c r="D9" s="71">
        <v>5431.7870000000003</v>
      </c>
      <c r="E9" s="71">
        <v>5598.8220000000001</v>
      </c>
      <c r="F9" s="71">
        <v>5907.4589999999998</v>
      </c>
      <c r="G9" s="48">
        <v>5.5125346010285702E-2</v>
      </c>
      <c r="H9" s="41"/>
      <c r="I9" s="428"/>
      <c r="J9" s="320"/>
      <c r="K9" s="353"/>
      <c r="L9" s="174"/>
      <c r="M9" s="174"/>
      <c r="N9" s="174"/>
      <c r="O9" s="20"/>
    </row>
    <row r="10" spans="1:19" ht="20.149999999999999" customHeight="1">
      <c r="A10" s="95" t="s">
        <v>55</v>
      </c>
      <c r="B10" s="169">
        <v>742.8</v>
      </c>
      <c r="C10" s="169">
        <v>785.18700000000001</v>
      </c>
      <c r="D10" s="169">
        <v>831.76199999999994</v>
      </c>
      <c r="E10" s="169">
        <v>898.43100000000004</v>
      </c>
      <c r="F10" s="169">
        <v>909.64499999999998</v>
      </c>
      <c r="G10" s="373">
        <v>1.24817598680367E-2</v>
      </c>
      <c r="H10" s="41"/>
      <c r="I10" s="428"/>
      <c r="J10" s="320"/>
      <c r="K10" s="353"/>
      <c r="L10" s="174"/>
      <c r="M10" s="174"/>
      <c r="N10" s="174"/>
      <c r="O10" s="20"/>
    </row>
    <row r="11" spans="1:19" ht="20.149999999999999" customHeight="1">
      <c r="A11" s="9" t="s">
        <v>105</v>
      </c>
      <c r="B11" s="71">
        <v>-1252.8240000000001</v>
      </c>
      <c r="C11" s="71">
        <v>-1222.9380000000001</v>
      </c>
      <c r="D11" s="71">
        <v>-1223.7380000000001</v>
      </c>
      <c r="E11" s="71">
        <v>-1312.9290000000001</v>
      </c>
      <c r="F11" s="71">
        <v>-1340.05</v>
      </c>
      <c r="G11" s="48">
        <v>2.0656867203024599E-2</v>
      </c>
      <c r="H11" s="41"/>
      <c r="I11" s="428"/>
      <c r="J11" s="320"/>
      <c r="K11" s="353"/>
      <c r="L11" s="174"/>
      <c r="M11" s="174"/>
      <c r="N11" s="174"/>
      <c r="O11" s="20"/>
    </row>
    <row r="12" spans="1:19" ht="25" customHeight="1">
      <c r="A12" s="98" t="s">
        <v>64</v>
      </c>
      <c r="B12" s="125">
        <v>20470.892</v>
      </c>
      <c r="C12" s="125">
        <v>21599.284</v>
      </c>
      <c r="D12" s="125">
        <v>23390.18</v>
      </c>
      <c r="E12" s="125">
        <v>25231.677</v>
      </c>
      <c r="F12" s="125">
        <v>25851.874</v>
      </c>
      <c r="G12" s="374">
        <v>2.4580094299717001E-2</v>
      </c>
      <c r="H12" s="42"/>
      <c r="I12" s="428"/>
      <c r="J12" s="320"/>
      <c r="K12" s="353"/>
      <c r="L12" s="172"/>
      <c r="M12" s="172"/>
      <c r="N12" s="172"/>
      <c r="O12" s="20"/>
    </row>
    <row r="13" spans="1:19" s="18" customFormat="1">
      <c r="A13" s="9"/>
      <c r="B13" s="9"/>
      <c r="C13" s="9"/>
      <c r="D13" s="9"/>
      <c r="E13" s="9"/>
      <c r="F13" s="9"/>
      <c r="G13" s="9"/>
      <c r="H13" s="9"/>
      <c r="P13" s="9"/>
      <c r="Q13" s="9"/>
      <c r="R13" s="9"/>
      <c r="S13" s="9"/>
    </row>
    <row r="14" spans="1:19" s="18" customFormat="1">
      <c r="A14" s="9"/>
      <c r="B14" s="9"/>
      <c r="C14" s="9"/>
      <c r="D14" s="9"/>
      <c r="E14" s="9"/>
      <c r="F14" s="9"/>
      <c r="G14" s="9"/>
      <c r="H14" s="9"/>
      <c r="I14" s="9"/>
      <c r="P14" s="9"/>
      <c r="Q14" s="9"/>
      <c r="R14" s="9"/>
      <c r="S14" s="9"/>
    </row>
  </sheetData>
  <hyperlinks>
    <hyperlink ref="A4" location="Contents!A1" display="Return to Contents" xr:uid="{00000000-0004-0000-0900-000000000000}"/>
  </hyperlinks>
  <pageMargins left="0.25" right="0.25" top="0.75" bottom="0.75" header="0.3" footer="0.3"/>
  <pageSetup paperSize="9"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tabColor rgb="FFDDE5F1"/>
    <pageSetUpPr fitToPage="1"/>
  </sheetPr>
  <dimension ref="A1:I26"/>
  <sheetViews>
    <sheetView zoomScaleNormal="100" workbookViewId="0"/>
  </sheetViews>
  <sheetFormatPr defaultColWidth="9.1796875" defaultRowHeight="15.5"/>
  <cols>
    <col min="1" max="1" width="36.7265625" style="94" customWidth="1"/>
    <col min="2" max="5" width="13" style="94" customWidth="1"/>
    <col min="6" max="6" width="24.26953125" style="94" customWidth="1"/>
    <col min="7" max="7" width="17.81640625" style="94" customWidth="1"/>
    <col min="8" max="8" width="9.1796875" style="94" customWidth="1"/>
    <col min="9" max="9" width="8.81640625" style="47" customWidth="1"/>
    <col min="10" max="16384" width="9.1796875" style="94"/>
  </cols>
  <sheetData>
    <row r="1" spans="1:8" s="9" customFormat="1" ht="30" customHeight="1">
      <c r="A1" s="22" t="s">
        <v>782</v>
      </c>
      <c r="B1" s="5"/>
      <c r="C1" s="5"/>
      <c r="E1" s="5"/>
      <c r="F1" s="5"/>
    </row>
    <row r="2" spans="1:8" s="9" customFormat="1" ht="20.149999999999999" customHeight="1">
      <c r="A2" s="9" t="s">
        <v>236</v>
      </c>
      <c r="B2" s="5"/>
      <c r="C2" s="5"/>
      <c r="D2" s="112"/>
      <c r="E2" s="5"/>
      <c r="F2" s="5"/>
    </row>
    <row r="3" spans="1:8" s="9" customFormat="1" ht="20.149999999999999" customHeight="1">
      <c r="A3" s="128" t="s">
        <v>295</v>
      </c>
      <c r="B3" s="5"/>
      <c r="C3" s="5"/>
      <c r="D3" s="5"/>
      <c r="E3" s="5"/>
      <c r="F3" s="5"/>
    </row>
    <row r="4" spans="1:8" s="9" customFormat="1" ht="20.149999999999999" customHeight="1">
      <c r="A4" s="9" t="s">
        <v>213</v>
      </c>
      <c r="B4" s="5"/>
      <c r="C4" s="5"/>
      <c r="D4" s="5"/>
      <c r="E4" s="5"/>
      <c r="F4" s="5"/>
    </row>
    <row r="5" spans="1:8" s="9" customFormat="1" ht="20.149999999999999" customHeight="1">
      <c r="A5" s="15" t="s">
        <v>62</v>
      </c>
      <c r="B5" s="28"/>
      <c r="C5" s="28"/>
      <c r="D5" s="28"/>
      <c r="E5" s="28"/>
      <c r="F5" s="6"/>
      <c r="G5" s="7"/>
      <c r="H5" s="7"/>
    </row>
    <row r="6" spans="1:8" s="9" customFormat="1" ht="10.15" customHeight="1">
      <c r="B6" s="5"/>
      <c r="C6" s="5"/>
      <c r="D6" s="5"/>
      <c r="E6" s="5"/>
      <c r="F6" s="28"/>
      <c r="G6" s="7"/>
      <c r="H6" s="7"/>
    </row>
    <row r="7" spans="1:8" s="9" customFormat="1" ht="55.15" customHeight="1">
      <c r="A7" s="98" t="s">
        <v>63</v>
      </c>
      <c r="B7" s="96" t="s">
        <v>154</v>
      </c>
      <c r="C7" s="96" t="s">
        <v>155</v>
      </c>
      <c r="D7" s="96" t="s">
        <v>404</v>
      </c>
      <c r="E7" s="96" t="s">
        <v>156</v>
      </c>
      <c r="F7" s="96" t="s">
        <v>245</v>
      </c>
      <c r="G7" s="96" t="s">
        <v>405</v>
      </c>
      <c r="H7" s="18"/>
    </row>
    <row r="8" spans="1:8" s="9" customFormat="1" ht="20.149999999999999" customHeight="1">
      <c r="A8" s="46" t="s">
        <v>44</v>
      </c>
      <c r="B8" s="130">
        <v>2000.2840000000001</v>
      </c>
      <c r="C8" s="130">
        <v>3919.3220000000001</v>
      </c>
      <c r="D8" s="130">
        <v>4160.6019999999999</v>
      </c>
      <c r="E8" s="130">
        <v>195.22499999999999</v>
      </c>
      <c r="F8" s="130">
        <v>-44.667000000000002</v>
      </c>
      <c r="G8" s="35">
        <v>10230.766</v>
      </c>
    </row>
    <row r="9" spans="1:8" s="9" customFormat="1" ht="20.149999999999999" customHeight="1">
      <c r="A9" s="105" t="s">
        <v>35</v>
      </c>
      <c r="B9" s="167">
        <v>5846.5020000000004</v>
      </c>
      <c r="C9" s="167">
        <v>2144.3890000000001</v>
      </c>
      <c r="D9" s="167">
        <v>77.180000000000007</v>
      </c>
      <c r="E9" s="167">
        <v>288.06299999999999</v>
      </c>
      <c r="F9" s="167">
        <v>-100.91500000000001</v>
      </c>
      <c r="G9" s="118">
        <v>8255.2189999999991</v>
      </c>
    </row>
    <row r="10" spans="1:8" s="9" customFormat="1" ht="20.149999999999999" customHeight="1">
      <c r="A10" s="144" t="s">
        <v>47</v>
      </c>
      <c r="B10" s="130">
        <v>188.26</v>
      </c>
      <c r="C10" s="130">
        <v>536.78399999999999</v>
      </c>
      <c r="D10" s="130">
        <v>1495.944</v>
      </c>
      <c r="E10" s="130">
        <v>44.707999999999998</v>
      </c>
      <c r="F10" s="130">
        <v>-112.461</v>
      </c>
      <c r="G10" s="130">
        <v>2153.2350000000001</v>
      </c>
    </row>
    <row r="11" spans="1:8" s="9" customFormat="1" ht="20.149999999999999" customHeight="1">
      <c r="A11" s="145" t="s">
        <v>43</v>
      </c>
      <c r="B11" s="167">
        <v>870.08199999999999</v>
      </c>
      <c r="C11" s="167">
        <v>1062.557</v>
      </c>
      <c r="D11" s="167">
        <v>123.32899999999999</v>
      </c>
      <c r="E11" s="167">
        <v>178.952</v>
      </c>
      <c r="F11" s="167">
        <v>-699.86199999999997</v>
      </c>
      <c r="G11" s="167">
        <v>1535.058</v>
      </c>
    </row>
    <row r="12" spans="1:8" s="9" customFormat="1" ht="20.149999999999999" customHeight="1">
      <c r="A12" s="144" t="s">
        <v>36</v>
      </c>
      <c r="B12" s="130">
        <v>226.34800000000001</v>
      </c>
      <c r="C12" s="130">
        <v>738.12</v>
      </c>
      <c r="D12" s="130">
        <v>14.715999999999999</v>
      </c>
      <c r="E12" s="130">
        <v>60.323</v>
      </c>
      <c r="F12" s="130">
        <v>-16.837</v>
      </c>
      <c r="G12" s="130">
        <v>1022.67</v>
      </c>
    </row>
    <row r="13" spans="1:8" s="9" customFormat="1" ht="20.149999999999999" customHeight="1">
      <c r="A13" s="145" t="s">
        <v>45</v>
      </c>
      <c r="B13" s="167">
        <v>474.26100000000002</v>
      </c>
      <c r="C13" s="167">
        <v>551.63300000000004</v>
      </c>
      <c r="D13" s="167">
        <v>1.2430000000000001</v>
      </c>
      <c r="E13" s="167">
        <v>57.216000000000001</v>
      </c>
      <c r="F13" s="167">
        <v>-84.748999999999995</v>
      </c>
      <c r="G13" s="167">
        <v>999.60400000000004</v>
      </c>
    </row>
    <row r="14" spans="1:8" s="9" customFormat="1" ht="20.149999999999999" customHeight="1">
      <c r="A14" s="144" t="s">
        <v>59</v>
      </c>
      <c r="B14" s="130">
        <v>311.34100000000001</v>
      </c>
      <c r="C14" s="130">
        <v>717.61500000000001</v>
      </c>
      <c r="D14" s="130">
        <v>21.757999999999999</v>
      </c>
      <c r="E14" s="130">
        <v>47.883000000000003</v>
      </c>
      <c r="F14" s="130">
        <v>-232.64699999999999</v>
      </c>
      <c r="G14" s="130">
        <v>865.95</v>
      </c>
    </row>
    <row r="15" spans="1:8" s="9" customFormat="1" ht="20.149999999999999" customHeight="1">
      <c r="A15" s="105" t="s">
        <v>176</v>
      </c>
      <c r="B15" s="167">
        <v>293.43700000000001</v>
      </c>
      <c r="C15" s="167">
        <v>493.88499999999999</v>
      </c>
      <c r="D15" s="167">
        <v>12.686999999999999</v>
      </c>
      <c r="E15" s="167">
        <v>37.274999999999999</v>
      </c>
      <c r="F15" s="167">
        <v>-47.911999999999999</v>
      </c>
      <c r="G15" s="118">
        <v>789.37199999999996</v>
      </c>
    </row>
    <row r="16" spans="1:8" s="9" customFormat="1" ht="25" customHeight="1">
      <c r="A16" s="98" t="s">
        <v>106</v>
      </c>
      <c r="B16" s="126">
        <v>10210.514999999999</v>
      </c>
      <c r="C16" s="126">
        <v>10164.305</v>
      </c>
      <c r="D16" s="126">
        <v>5907.4589999999998</v>
      </c>
      <c r="E16" s="126">
        <v>909.64499999999998</v>
      </c>
      <c r="F16" s="126">
        <v>-1340.05</v>
      </c>
      <c r="G16" s="126">
        <v>25851.874</v>
      </c>
    </row>
    <row r="17" spans="1:8">
      <c r="A17" s="93"/>
      <c r="B17" s="93"/>
      <c r="C17" s="93"/>
      <c r="D17" s="93"/>
      <c r="E17" s="93"/>
      <c r="F17" s="93"/>
      <c r="G17" s="93"/>
      <c r="H17" s="93"/>
    </row>
    <row r="18" spans="1:8">
      <c r="A18" s="93"/>
      <c r="B18" s="93"/>
      <c r="C18" s="93"/>
      <c r="D18" s="93"/>
      <c r="E18" s="93"/>
      <c r="F18" s="93"/>
      <c r="G18" s="93"/>
      <c r="H18" s="93"/>
    </row>
    <row r="19" spans="1:8">
      <c r="A19" s="93"/>
      <c r="B19" s="93"/>
      <c r="C19" s="93"/>
      <c r="D19" s="93"/>
      <c r="E19" s="93"/>
      <c r="F19" s="93"/>
      <c r="G19" s="93"/>
      <c r="H19" s="93"/>
    </row>
    <row r="20" spans="1:8">
      <c r="A20" s="93"/>
      <c r="B20" s="93"/>
      <c r="C20" s="93"/>
      <c r="D20" s="93"/>
      <c r="E20" s="93"/>
      <c r="F20" s="93"/>
      <c r="G20" s="93"/>
      <c r="H20" s="93"/>
    </row>
    <row r="21" spans="1:8">
      <c r="A21" s="93"/>
      <c r="B21" s="93"/>
      <c r="C21" s="93"/>
      <c r="D21" s="93"/>
      <c r="E21" s="93"/>
      <c r="F21" s="93"/>
      <c r="G21" s="93"/>
      <c r="H21" s="93"/>
    </row>
    <row r="22" spans="1:8">
      <c r="A22" s="93"/>
      <c r="B22" s="93"/>
      <c r="C22" s="93"/>
      <c r="D22" s="93"/>
      <c r="E22" s="93"/>
      <c r="F22" s="93"/>
      <c r="G22" s="93"/>
      <c r="H22" s="93"/>
    </row>
    <row r="23" spans="1:8">
      <c r="A23" s="93"/>
      <c r="B23" s="93"/>
      <c r="C23" s="93"/>
      <c r="D23" s="93"/>
      <c r="E23" s="93"/>
      <c r="F23" s="93"/>
      <c r="G23" s="93"/>
      <c r="H23" s="93"/>
    </row>
    <row r="24" spans="1:8">
      <c r="A24" s="93"/>
      <c r="B24" s="93"/>
      <c r="C24" s="93"/>
      <c r="D24" s="93"/>
      <c r="E24" s="93"/>
      <c r="F24" s="93"/>
      <c r="G24" s="93"/>
      <c r="H24" s="93"/>
    </row>
    <row r="25" spans="1:8">
      <c r="A25" s="93"/>
      <c r="B25" s="93"/>
      <c r="C25" s="93"/>
      <c r="D25" s="93"/>
      <c r="E25" s="93"/>
      <c r="F25" s="93"/>
      <c r="G25" s="93"/>
      <c r="H25" s="93"/>
    </row>
    <row r="26" spans="1:8">
      <c r="A26" s="93"/>
      <c r="B26" s="93"/>
      <c r="C26" s="93"/>
      <c r="D26" s="93"/>
      <c r="E26" s="93"/>
      <c r="F26" s="93"/>
      <c r="G26" s="93"/>
      <c r="H26" s="93"/>
    </row>
  </sheetData>
  <sortState xmlns:xlrd2="http://schemas.microsoft.com/office/spreadsheetml/2017/richdata2" ref="A8:H15">
    <sortCondition descending="1" ref="G8:G15"/>
  </sortState>
  <hyperlinks>
    <hyperlink ref="A5" location="Contents!A1" display="Return to Contents" xr:uid="{00000000-0004-0000-0A00-000000000000}"/>
  </hyperlinks>
  <pageMargins left="0.25" right="0.25" top="0.75" bottom="0.75" header="0.3" footer="0.3"/>
  <pageSetup paperSize="9" scale="58" orientation="landscape" horizontalDpi="90" verticalDpi="9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tabColor rgb="FFDDE5F1"/>
    <pageSetUpPr fitToPage="1"/>
  </sheetPr>
  <dimension ref="A1:S12"/>
  <sheetViews>
    <sheetView zoomScaleNormal="100" workbookViewId="0"/>
  </sheetViews>
  <sheetFormatPr defaultColWidth="9.1796875" defaultRowHeight="15.5"/>
  <cols>
    <col min="1" max="1" width="51.7265625" style="9" customWidth="1"/>
    <col min="2" max="6" width="14.7265625" style="9" customWidth="1"/>
    <col min="7" max="7" width="26.7265625" style="9" customWidth="1"/>
    <col min="8" max="8" width="9.1796875" style="9"/>
    <col min="9" max="9" width="9.1796875" style="9" customWidth="1"/>
    <col min="10" max="14" width="9.1796875" style="18" customWidth="1"/>
    <col min="15" max="15" width="9.1796875" style="18"/>
    <col min="16" max="16384" width="9.1796875" style="9"/>
  </cols>
  <sheetData>
    <row r="1" spans="1:19" ht="30" customHeight="1">
      <c r="A1" s="23" t="s">
        <v>807</v>
      </c>
      <c r="B1" s="36"/>
      <c r="C1" s="36"/>
      <c r="D1" s="36"/>
      <c r="E1" s="36"/>
    </row>
    <row r="2" spans="1:19" ht="20.149999999999999" customHeight="1">
      <c r="A2" s="9" t="s">
        <v>214</v>
      </c>
      <c r="B2" s="5"/>
      <c r="C2" s="5"/>
      <c r="D2" s="5"/>
      <c r="E2" s="5"/>
    </row>
    <row r="3" spans="1:19" ht="20.149999999999999" customHeight="1">
      <c r="A3" s="9" t="s">
        <v>248</v>
      </c>
      <c r="B3" s="5"/>
      <c r="C3" s="5"/>
      <c r="D3" s="5"/>
      <c r="E3" s="5"/>
    </row>
    <row r="4" spans="1:19" ht="20.149999999999999" customHeight="1">
      <c r="A4" s="9" t="s">
        <v>213</v>
      </c>
      <c r="B4" s="5"/>
      <c r="C4" s="5"/>
      <c r="D4" s="5"/>
      <c r="E4" s="5"/>
    </row>
    <row r="5" spans="1:19" ht="20.149999999999999" customHeight="1">
      <c r="A5" s="15" t="s">
        <v>62</v>
      </c>
      <c r="B5" s="5"/>
      <c r="C5" s="5"/>
      <c r="D5" s="5"/>
      <c r="E5" s="5"/>
      <c r="F5" s="5"/>
      <c r="J5" s="9"/>
      <c r="K5" s="9"/>
      <c r="L5" s="9"/>
      <c r="M5" s="9"/>
      <c r="N5" s="9"/>
      <c r="O5" s="9"/>
    </row>
    <row r="6" spans="1:19" ht="10.15" customHeight="1">
      <c r="B6" s="5"/>
      <c r="C6" s="5"/>
      <c r="D6" s="5"/>
      <c r="E6" s="5"/>
      <c r="F6" s="28"/>
      <c r="G6" s="7"/>
      <c r="H6" s="7"/>
      <c r="I6" s="7"/>
      <c r="J6" s="7"/>
      <c r="K6" s="7"/>
      <c r="L6" s="7"/>
      <c r="M6" s="7"/>
      <c r="N6" s="7"/>
      <c r="O6" s="7"/>
      <c r="P6" s="7"/>
      <c r="Q6" s="7"/>
      <c r="R6" s="7"/>
      <c r="S6" s="7"/>
    </row>
    <row r="7" spans="1:19" ht="40" customHeight="1">
      <c r="A7" s="98" t="s">
        <v>247</v>
      </c>
      <c r="B7" s="99" t="s">
        <v>188</v>
      </c>
      <c r="C7" s="99" t="s">
        <v>424</v>
      </c>
      <c r="D7" s="99" t="s">
        <v>600</v>
      </c>
      <c r="E7" s="99" t="s">
        <v>636</v>
      </c>
      <c r="F7" s="99" t="s">
        <v>838</v>
      </c>
      <c r="G7" s="96" t="s">
        <v>844</v>
      </c>
      <c r="I7" s="106"/>
      <c r="J7" s="106"/>
      <c r="K7" s="106"/>
      <c r="L7" s="106"/>
      <c r="M7" s="106"/>
      <c r="N7" s="106"/>
    </row>
    <row r="8" spans="1:19" ht="20.149999999999999" customHeight="1">
      <c r="A8" s="9" t="s">
        <v>246</v>
      </c>
      <c r="B8" s="71">
        <v>2866.0909999999999</v>
      </c>
      <c r="C8" s="71">
        <v>2884.4670000000001</v>
      </c>
      <c r="D8" s="71">
        <v>2856.5059999999999</v>
      </c>
      <c r="E8" s="71">
        <v>2800.9560000000001</v>
      </c>
      <c r="F8" s="71">
        <v>2270.1619999999998</v>
      </c>
      <c r="G8" s="48">
        <v>-0.189504583435084</v>
      </c>
      <c r="H8" s="21"/>
      <c r="I8" s="182"/>
      <c r="J8" s="175"/>
      <c r="K8" s="174"/>
      <c r="L8" s="174"/>
      <c r="M8" s="174"/>
      <c r="N8" s="174"/>
    </row>
    <row r="9" spans="1:19" ht="20.149999999999999" customHeight="1">
      <c r="A9" s="95" t="s">
        <v>56</v>
      </c>
      <c r="B9" s="169">
        <v>4003.1770000000001</v>
      </c>
      <c r="C9" s="169">
        <v>4249.2529999999997</v>
      </c>
      <c r="D9" s="169">
        <v>4676.4369999999999</v>
      </c>
      <c r="E9" s="169">
        <v>4945.8329999999996</v>
      </c>
      <c r="F9" s="169">
        <v>5244.8249999999998</v>
      </c>
      <c r="G9" s="373">
        <v>6.0453314942093703E-2</v>
      </c>
      <c r="H9" s="21"/>
      <c r="I9" s="182"/>
      <c r="J9" s="175"/>
      <c r="K9" s="174"/>
      <c r="L9" s="174"/>
      <c r="M9" s="174"/>
      <c r="N9" s="174"/>
    </row>
    <row r="10" spans="1:19" ht="20.149999999999999" customHeight="1">
      <c r="A10" s="9" t="s">
        <v>57</v>
      </c>
      <c r="B10" s="71">
        <v>2494.0659999999998</v>
      </c>
      <c r="C10" s="71">
        <v>2715.3710000000001</v>
      </c>
      <c r="D10" s="71">
        <v>2907.54</v>
      </c>
      <c r="E10" s="71">
        <v>3184.442</v>
      </c>
      <c r="F10" s="71">
        <v>3450.136</v>
      </c>
      <c r="G10" s="48">
        <v>8.3435025665407003E-2</v>
      </c>
      <c r="H10" s="21"/>
      <c r="I10" s="182"/>
      <c r="J10" s="175"/>
      <c r="K10" s="174"/>
      <c r="L10" s="174"/>
      <c r="M10" s="174"/>
      <c r="N10" s="174"/>
    </row>
    <row r="11" spans="1:19" ht="25" customHeight="1">
      <c r="A11" s="98" t="s">
        <v>151</v>
      </c>
      <c r="B11" s="125">
        <v>9363.3340000000007</v>
      </c>
      <c r="C11" s="125">
        <v>9849.0910000000003</v>
      </c>
      <c r="D11" s="125">
        <v>10440.483</v>
      </c>
      <c r="E11" s="125">
        <v>10931.231</v>
      </c>
      <c r="F11" s="125">
        <v>10965.123</v>
      </c>
      <c r="G11" s="374">
        <v>3.1004742283828601E-3</v>
      </c>
      <c r="H11" s="21"/>
      <c r="I11" s="182"/>
      <c r="J11" s="175"/>
      <c r="K11" s="175"/>
      <c r="L11" s="176"/>
      <c r="M11" s="176"/>
      <c r="N11" s="176"/>
    </row>
    <row r="12" spans="1:19">
      <c r="I12" s="18"/>
    </row>
  </sheetData>
  <hyperlinks>
    <hyperlink ref="A5" location="Contents!A1" display="Return to Contents" xr:uid="{00000000-0004-0000-0B00-000000000000}"/>
  </hyperlinks>
  <pageMargins left="0.25" right="0.25" top="0.75" bottom="0.75" header="0.3" footer="0.3"/>
  <pageSetup paperSize="9" scale="46"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tabColor rgb="FFDDE5F1"/>
    <pageSetUpPr fitToPage="1"/>
  </sheetPr>
  <dimension ref="A1:R18"/>
  <sheetViews>
    <sheetView zoomScaleNormal="100" workbookViewId="0"/>
  </sheetViews>
  <sheetFormatPr defaultColWidth="9.1796875" defaultRowHeight="15.5"/>
  <cols>
    <col min="1" max="1" width="34.26953125" style="9" customWidth="1"/>
    <col min="2" max="6" width="14.7265625" style="9" customWidth="1"/>
    <col min="7" max="7" width="9.1796875" style="9"/>
    <col min="8" max="13" width="9.1796875" style="18" customWidth="1"/>
    <col min="14" max="16384" width="9.1796875" style="9"/>
  </cols>
  <sheetData>
    <row r="1" spans="1:18" ht="30" customHeight="1">
      <c r="A1" s="23" t="s">
        <v>808</v>
      </c>
      <c r="B1" s="36"/>
      <c r="C1" s="36"/>
      <c r="D1" s="36"/>
      <c r="E1" s="36"/>
      <c r="F1" s="37"/>
    </row>
    <row r="2" spans="1:18" ht="20.149999999999999" customHeight="1">
      <c r="A2" s="9" t="s">
        <v>214</v>
      </c>
      <c r="B2" s="36"/>
      <c r="C2" s="36"/>
      <c r="D2" s="36"/>
      <c r="E2" s="36"/>
      <c r="F2" s="37"/>
    </row>
    <row r="3" spans="1:18" ht="20.149999999999999" customHeight="1">
      <c r="A3" s="9" t="s">
        <v>213</v>
      </c>
      <c r="B3" s="36"/>
      <c r="C3" s="36"/>
      <c r="D3" s="36"/>
      <c r="E3" s="36"/>
      <c r="F3" s="37"/>
    </row>
    <row r="4" spans="1:18" ht="20.149999999999999" customHeight="1">
      <c r="A4" s="15" t="s">
        <v>62</v>
      </c>
      <c r="B4" s="5"/>
      <c r="C4" s="5"/>
      <c r="D4" s="5"/>
      <c r="E4" s="5"/>
      <c r="F4" s="5"/>
      <c r="H4" s="9"/>
      <c r="I4" s="9"/>
      <c r="J4" s="9"/>
      <c r="K4" s="9"/>
      <c r="L4" s="9"/>
      <c r="M4" s="9"/>
    </row>
    <row r="5" spans="1:18" ht="10" customHeight="1">
      <c r="B5" s="5"/>
      <c r="C5" s="5"/>
      <c r="D5" s="5"/>
      <c r="E5" s="5"/>
      <c r="F5" s="28"/>
      <c r="G5" s="7"/>
      <c r="H5" s="7"/>
      <c r="I5" s="7"/>
      <c r="J5" s="7"/>
      <c r="K5" s="7"/>
      <c r="L5" s="7"/>
      <c r="M5" s="7"/>
      <c r="N5" s="7"/>
      <c r="O5" s="7"/>
      <c r="P5" s="7"/>
      <c r="Q5" s="7"/>
      <c r="R5" s="7"/>
    </row>
    <row r="6" spans="1:18" ht="25" customHeight="1">
      <c r="A6" s="98" t="s">
        <v>63</v>
      </c>
      <c r="B6" s="99" t="str">
        <f>'Table 2.4'!B7</f>
        <v>2020-21</v>
      </c>
      <c r="C6" s="99" t="str">
        <f>'Table 2.4'!C7</f>
        <v>2021-22</v>
      </c>
      <c r="D6" s="99" t="str">
        <f>'Table 2.4'!D7</f>
        <v>2022-23</v>
      </c>
      <c r="E6" s="99" t="str">
        <f>'Table 2.4'!E7</f>
        <v>2023-24</v>
      </c>
      <c r="F6" s="99" t="str">
        <f>'Table 2.4'!F7</f>
        <v>2024-25</v>
      </c>
      <c r="H6" s="106"/>
      <c r="I6" s="106"/>
      <c r="J6" s="106"/>
      <c r="K6" s="106"/>
      <c r="L6" s="106"/>
      <c r="M6" s="106"/>
      <c r="N6" s="18"/>
    </row>
    <row r="7" spans="1:18" ht="20.149999999999999" customHeight="1">
      <c r="A7" s="9" t="s">
        <v>35</v>
      </c>
      <c r="B7" s="71">
        <v>47.448</v>
      </c>
      <c r="C7" s="71">
        <v>73.465000000000003</v>
      </c>
      <c r="D7" s="71">
        <v>81.855000000000004</v>
      </c>
      <c r="E7" s="71">
        <v>87.828000000000003</v>
      </c>
      <c r="F7" s="71">
        <v>106.496</v>
      </c>
      <c r="H7" s="107"/>
      <c r="I7" s="174"/>
      <c r="J7" s="174"/>
      <c r="K7" s="174"/>
      <c r="L7" s="174"/>
      <c r="M7" s="174"/>
      <c r="N7" s="18"/>
    </row>
    <row r="8" spans="1:18" ht="20.149999999999999" customHeight="1">
      <c r="A8" s="95" t="s">
        <v>176</v>
      </c>
      <c r="B8" s="169">
        <v>28.43</v>
      </c>
      <c r="C8" s="169">
        <v>70.141999999999996</v>
      </c>
      <c r="D8" s="169">
        <v>99.983999999999995</v>
      </c>
      <c r="E8" s="169">
        <v>117.645</v>
      </c>
      <c r="F8" s="169">
        <v>106.764</v>
      </c>
      <c r="H8" s="107"/>
      <c r="I8" s="174"/>
      <c r="J8" s="174"/>
      <c r="K8" s="174"/>
      <c r="L8" s="174"/>
      <c r="M8" s="174"/>
      <c r="N8" s="18"/>
    </row>
    <row r="9" spans="1:18" ht="20.149999999999999" customHeight="1">
      <c r="A9" s="9" t="s">
        <v>44</v>
      </c>
      <c r="B9" s="71">
        <v>268.14699999999999</v>
      </c>
      <c r="C9" s="71">
        <v>278.98500000000001</v>
      </c>
      <c r="D9" s="71">
        <v>308.55099999999999</v>
      </c>
      <c r="E9" s="71">
        <v>338.339</v>
      </c>
      <c r="F9" s="71">
        <v>367.55200000000002</v>
      </c>
      <c r="H9" s="107"/>
      <c r="I9" s="174"/>
      <c r="J9" s="174"/>
      <c r="K9" s="174"/>
      <c r="L9" s="174"/>
      <c r="M9" s="174"/>
      <c r="N9" s="18"/>
    </row>
    <row r="10" spans="1:18" ht="20.149999999999999" customHeight="1">
      <c r="A10" s="95" t="s">
        <v>59</v>
      </c>
      <c r="B10" s="169">
        <v>115.253</v>
      </c>
      <c r="C10" s="169">
        <v>159.006</v>
      </c>
      <c r="D10" s="169">
        <v>185.86099999999999</v>
      </c>
      <c r="E10" s="169">
        <v>228.744</v>
      </c>
      <c r="F10" s="169">
        <v>279.49900000000002</v>
      </c>
      <c r="H10" s="107"/>
      <c r="I10" s="174"/>
      <c r="J10" s="174"/>
      <c r="K10" s="174"/>
      <c r="L10" s="174"/>
      <c r="M10" s="174"/>
      <c r="N10" s="18"/>
    </row>
    <row r="11" spans="1:18" ht="20.149999999999999" customHeight="1">
      <c r="A11" s="9" t="s">
        <v>45</v>
      </c>
      <c r="B11" s="71">
        <v>113.673</v>
      </c>
      <c r="C11" s="71">
        <v>145.70099999999999</v>
      </c>
      <c r="D11" s="71">
        <v>155.21299999999999</v>
      </c>
      <c r="E11" s="71">
        <v>171.43700000000001</v>
      </c>
      <c r="F11" s="71">
        <v>184.066</v>
      </c>
      <c r="H11" s="107"/>
      <c r="I11" s="174"/>
      <c r="J11" s="174"/>
      <c r="K11" s="174"/>
      <c r="L11" s="174"/>
      <c r="M11" s="174"/>
      <c r="N11" s="18"/>
    </row>
    <row r="12" spans="1:18" ht="20.149999999999999" customHeight="1">
      <c r="A12" s="95" t="s">
        <v>196</v>
      </c>
      <c r="B12" s="169">
        <v>124.63</v>
      </c>
      <c r="C12" s="169">
        <v>148.524</v>
      </c>
      <c r="D12" s="169">
        <v>164.60400000000001</v>
      </c>
      <c r="E12" s="169">
        <v>163.19999999999999</v>
      </c>
      <c r="F12" s="169">
        <v>176.959</v>
      </c>
      <c r="H12" s="107"/>
      <c r="I12" s="174"/>
      <c r="J12" s="174"/>
      <c r="K12" s="174"/>
      <c r="L12" s="174"/>
      <c r="M12" s="174"/>
      <c r="N12" s="18"/>
    </row>
    <row r="13" spans="1:18" ht="20.149999999999999" customHeight="1">
      <c r="A13" s="9" t="s">
        <v>46</v>
      </c>
      <c r="B13" s="71">
        <v>188.661</v>
      </c>
      <c r="C13" s="71">
        <v>210.285</v>
      </c>
      <c r="D13" s="71">
        <v>238.149</v>
      </c>
      <c r="E13" s="71">
        <v>286.76</v>
      </c>
      <c r="F13" s="71">
        <v>273.29599999999999</v>
      </c>
      <c r="H13" s="107"/>
      <c r="I13" s="174"/>
      <c r="J13" s="174"/>
      <c r="K13" s="174"/>
      <c r="L13" s="174"/>
      <c r="M13" s="174"/>
      <c r="N13" s="18"/>
    </row>
    <row r="14" spans="1:18" ht="20.149999999999999" customHeight="1">
      <c r="A14" s="95" t="s">
        <v>47</v>
      </c>
      <c r="B14" s="169">
        <v>179.553</v>
      </c>
      <c r="C14" s="169">
        <v>191.21799999999999</v>
      </c>
      <c r="D14" s="169">
        <v>203.34800000000001</v>
      </c>
      <c r="E14" s="169">
        <v>243.54</v>
      </c>
      <c r="F14" s="169">
        <v>291.47800000000001</v>
      </c>
      <c r="H14" s="107"/>
      <c r="I14" s="174"/>
      <c r="J14" s="174"/>
      <c r="K14" s="174"/>
      <c r="L14" s="174"/>
      <c r="M14" s="174"/>
      <c r="N14" s="18"/>
    </row>
    <row r="15" spans="1:18" ht="20.149999999999999" customHeight="1">
      <c r="A15" s="9" t="s">
        <v>48</v>
      </c>
      <c r="B15" s="71">
        <v>120.117</v>
      </c>
      <c r="C15" s="71">
        <v>119.233</v>
      </c>
      <c r="D15" s="71">
        <v>123.746</v>
      </c>
      <c r="E15" s="71">
        <v>125.77</v>
      </c>
      <c r="F15" s="71">
        <v>126.075</v>
      </c>
      <c r="H15" s="107"/>
      <c r="I15" s="174"/>
      <c r="J15" s="174"/>
      <c r="K15" s="174"/>
      <c r="L15" s="174"/>
      <c r="M15" s="174"/>
      <c r="N15" s="18"/>
    </row>
    <row r="16" spans="1:18" ht="25" customHeight="1">
      <c r="A16" s="98" t="s">
        <v>51</v>
      </c>
      <c r="B16" s="125">
        <v>1185.912</v>
      </c>
      <c r="C16" s="125">
        <v>1396.559</v>
      </c>
      <c r="D16" s="125">
        <v>1561.3109999999999</v>
      </c>
      <c r="E16" s="125">
        <v>1763.2629999999999</v>
      </c>
      <c r="F16" s="125">
        <v>1912.1849999999999</v>
      </c>
      <c r="H16" s="172"/>
      <c r="I16" s="172"/>
      <c r="J16" s="176"/>
      <c r="K16" s="176"/>
      <c r="L16" s="176"/>
      <c r="M16" s="176"/>
      <c r="N16" s="18"/>
    </row>
    <row r="17" spans="1:14" ht="20.149999999999999" customHeight="1">
      <c r="A17" s="9" t="s">
        <v>36</v>
      </c>
      <c r="B17" s="71">
        <v>1308.154</v>
      </c>
      <c r="C17" s="71">
        <v>1318.8119999999999</v>
      </c>
      <c r="D17" s="71">
        <v>1346.229</v>
      </c>
      <c r="E17" s="71">
        <v>1421.1790000000001</v>
      </c>
      <c r="F17" s="71">
        <v>1537.951</v>
      </c>
      <c r="H17" s="107"/>
      <c r="I17" s="174"/>
      <c r="J17" s="174"/>
      <c r="K17" s="174"/>
      <c r="L17" s="174"/>
      <c r="M17" s="174"/>
      <c r="N17" s="18"/>
    </row>
    <row r="18" spans="1:14" ht="25" customHeight="1">
      <c r="A18" s="98" t="s">
        <v>106</v>
      </c>
      <c r="B18" s="125">
        <v>2494.0659999999998</v>
      </c>
      <c r="C18" s="125">
        <v>2715.3710000000001</v>
      </c>
      <c r="D18" s="125">
        <v>2907.54</v>
      </c>
      <c r="E18" s="125">
        <v>3184.442</v>
      </c>
      <c r="F18" s="125">
        <v>3450.136</v>
      </c>
      <c r="H18" s="172"/>
      <c r="I18" s="172"/>
      <c r="J18" s="176"/>
      <c r="K18" s="176"/>
      <c r="L18" s="176"/>
      <c r="M18" s="176"/>
      <c r="N18" s="18"/>
    </row>
  </sheetData>
  <hyperlinks>
    <hyperlink ref="A4" location="Contents!A1" display="Return to Contents" xr:uid="{00000000-0004-0000-0C00-000000000000}"/>
  </hyperlinks>
  <pageMargins left="0.25" right="0.25" top="0.75" bottom="0.75" header="0.3" footer="0.3"/>
  <pageSetup paperSize="9" scale="42"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1">
    <tabColor rgb="FFDDE5F1"/>
    <pageSetUpPr fitToPage="1"/>
  </sheetPr>
  <dimension ref="A1:AA70"/>
  <sheetViews>
    <sheetView topLeftCell="A2" zoomScaleNormal="100" workbookViewId="0">
      <selection activeCell="B13" sqref="B13:D13"/>
    </sheetView>
  </sheetViews>
  <sheetFormatPr defaultColWidth="9.1796875" defaultRowHeight="15.5"/>
  <cols>
    <col min="1" max="1" width="33.26953125" style="9" customWidth="1"/>
    <col min="2" max="2" width="18.54296875" style="9" customWidth="1"/>
    <col min="3" max="3" width="21" style="9" customWidth="1"/>
    <col min="4" max="4" width="20.26953125" style="9" customWidth="1"/>
    <col min="5" max="5" width="21.81640625" style="9" customWidth="1"/>
    <col min="6" max="6" width="9.1796875" style="9"/>
    <col min="7" max="7" width="9.1796875" style="9" customWidth="1"/>
    <col min="8" max="11" width="9.1796875" style="18" customWidth="1"/>
    <col min="12" max="14" width="9.453125" style="18" customWidth="1"/>
    <col min="15" max="21" width="8.81640625" style="18" customWidth="1"/>
    <col min="22" max="16384" width="9.1796875" style="9"/>
  </cols>
  <sheetData>
    <row r="1" spans="1:21" ht="30" customHeight="1">
      <c r="A1" s="22" t="s">
        <v>783</v>
      </c>
      <c r="B1" s="36"/>
      <c r="C1" s="36"/>
      <c r="D1" s="36"/>
      <c r="E1" s="13"/>
    </row>
    <row r="2" spans="1:21" ht="20.149999999999999" customHeight="1">
      <c r="A2" s="9" t="s">
        <v>250</v>
      </c>
      <c r="B2" s="36"/>
      <c r="C2" s="36"/>
      <c r="D2" s="36"/>
    </row>
    <row r="3" spans="1:21" ht="20.149999999999999" customHeight="1">
      <c r="A3" s="29" t="s">
        <v>251</v>
      </c>
      <c r="B3" s="5"/>
      <c r="C3" s="5"/>
      <c r="D3" s="5"/>
      <c r="E3" s="5"/>
      <c r="H3" s="9"/>
      <c r="I3" s="9"/>
      <c r="P3" s="9"/>
      <c r="Q3" s="9"/>
      <c r="R3" s="9"/>
      <c r="S3" s="9"/>
      <c r="T3" s="9"/>
      <c r="U3" s="9"/>
    </row>
    <row r="4" spans="1:21" ht="20.149999999999999" customHeight="1">
      <c r="A4" s="54" t="s">
        <v>252</v>
      </c>
      <c r="B4" s="36"/>
      <c r="C4" s="36"/>
      <c r="D4" s="36"/>
    </row>
    <row r="5" spans="1:21" ht="20.149999999999999" customHeight="1">
      <c r="A5" s="9" t="s">
        <v>215</v>
      </c>
      <c r="B5" s="36"/>
      <c r="C5" s="36"/>
      <c r="D5" s="36"/>
    </row>
    <row r="6" spans="1:21" ht="20.149999999999999" customHeight="1">
      <c r="A6" s="15" t="s">
        <v>62</v>
      </c>
      <c r="B6" s="49"/>
      <c r="C6" s="5"/>
      <c r="D6" s="5"/>
      <c r="E6" s="5"/>
      <c r="H6" s="9"/>
      <c r="I6" s="9"/>
      <c r="J6" s="9"/>
      <c r="K6" s="9"/>
      <c r="O6" s="9"/>
      <c r="P6" s="9"/>
      <c r="Q6" s="9"/>
      <c r="R6" s="9"/>
      <c r="S6" s="9"/>
      <c r="T6" s="9"/>
      <c r="U6" s="9"/>
    </row>
    <row r="7" spans="1:21" ht="10" customHeight="1">
      <c r="B7" s="5"/>
      <c r="C7" s="5"/>
      <c r="D7" s="5"/>
      <c r="E7" s="28"/>
      <c r="F7" s="7"/>
      <c r="G7" s="107"/>
      <c r="H7" s="107"/>
      <c r="I7" s="107"/>
      <c r="J7" s="107"/>
      <c r="K7" s="107"/>
      <c r="O7" s="83"/>
      <c r="P7" s="7"/>
    </row>
    <row r="8" spans="1:21" ht="55" customHeight="1">
      <c r="A8" s="98" t="s">
        <v>63</v>
      </c>
      <c r="B8" s="96" t="s">
        <v>406</v>
      </c>
      <c r="C8" s="96" t="s">
        <v>407</v>
      </c>
      <c r="D8" s="96" t="s">
        <v>408</v>
      </c>
      <c r="E8" s="96" t="s">
        <v>107</v>
      </c>
      <c r="G8" s="106"/>
      <c r="H8" s="106"/>
      <c r="I8" s="177"/>
      <c r="J8" s="177"/>
      <c r="K8" s="178"/>
      <c r="O8" s="83"/>
      <c r="P8" s="7"/>
      <c r="U8" s="9"/>
    </row>
    <row r="9" spans="1:21" ht="20.149999999999999" customHeight="1">
      <c r="A9" s="9" t="s">
        <v>628</v>
      </c>
      <c r="B9" s="130">
        <v>201.04900000000001</v>
      </c>
      <c r="C9" s="130">
        <v>4789.0349999999999</v>
      </c>
      <c r="D9" s="130">
        <v>367.55200000000002</v>
      </c>
      <c r="E9" s="130">
        <v>5357.6360000000004</v>
      </c>
      <c r="G9" s="107"/>
      <c r="H9" s="174"/>
      <c r="I9" s="174"/>
      <c r="J9" s="174"/>
      <c r="K9" s="176"/>
      <c r="O9" s="83"/>
      <c r="P9" s="7"/>
      <c r="U9" s="9"/>
    </row>
    <row r="10" spans="1:21" ht="20.149999999999999" customHeight="1">
      <c r="A10" s="95" t="s">
        <v>637</v>
      </c>
      <c r="B10" s="167">
        <v>1322.114</v>
      </c>
      <c r="C10" s="167">
        <v>211.739</v>
      </c>
      <c r="D10" s="167">
        <v>291.47800000000001</v>
      </c>
      <c r="E10" s="167">
        <v>1825.3309999999999</v>
      </c>
      <c r="G10" s="107"/>
      <c r="H10" s="174"/>
      <c r="I10" s="174"/>
      <c r="J10" s="174"/>
      <c r="K10" s="176"/>
      <c r="O10" s="83"/>
      <c r="P10" s="7"/>
      <c r="U10" s="9"/>
    </row>
    <row r="11" spans="1:21" ht="20.149999999999999" customHeight="1">
      <c r="A11" s="9" t="s">
        <v>36</v>
      </c>
      <c r="B11" s="130">
        <v>6.8860000000000001</v>
      </c>
      <c r="C11" s="130">
        <v>16.170000000000002</v>
      </c>
      <c r="D11" s="130">
        <v>1537.951</v>
      </c>
      <c r="E11" s="130">
        <v>1561.0070000000001</v>
      </c>
      <c r="G11" s="107"/>
      <c r="H11" s="174"/>
      <c r="I11" s="174"/>
      <c r="J11" s="174"/>
      <c r="K11" s="176"/>
      <c r="O11" s="83"/>
      <c r="P11" s="7"/>
      <c r="U11" s="9"/>
    </row>
    <row r="12" spans="1:21" ht="20.149999999999999" customHeight="1">
      <c r="A12" s="95" t="s">
        <v>43</v>
      </c>
      <c r="B12" s="167">
        <v>301.53300000000002</v>
      </c>
      <c r="C12" s="167">
        <v>100.79300000000001</v>
      </c>
      <c r="D12" s="167">
        <v>576.33000000000004</v>
      </c>
      <c r="E12" s="167">
        <v>978.65599999999995</v>
      </c>
      <c r="G12" s="107"/>
      <c r="H12" s="174"/>
      <c r="I12" s="174"/>
      <c r="J12" s="174"/>
      <c r="K12" s="176"/>
      <c r="O12" s="83"/>
      <c r="P12" s="7"/>
      <c r="U12" s="9"/>
    </row>
    <row r="13" spans="1:21" ht="20.149999999999999" customHeight="1">
      <c r="A13" s="7" t="s">
        <v>619</v>
      </c>
      <c r="B13" s="130">
        <v>297.62</v>
      </c>
      <c r="C13" s="130">
        <v>73.106999999999999</v>
      </c>
      <c r="D13" s="130">
        <v>106.496</v>
      </c>
      <c r="E13" s="130">
        <v>477.22300000000001</v>
      </c>
      <c r="G13" s="107"/>
      <c r="H13" s="174"/>
      <c r="I13" s="174"/>
      <c r="J13" s="174"/>
      <c r="K13" s="176"/>
      <c r="O13" s="83"/>
      <c r="P13" s="7"/>
      <c r="U13" s="9"/>
    </row>
    <row r="14" spans="1:21" ht="20.149999999999999" customHeight="1">
      <c r="A14" s="95" t="s">
        <v>50</v>
      </c>
      <c r="B14" s="167">
        <v>119.233</v>
      </c>
      <c r="C14" s="167">
        <v>26.469000000000001</v>
      </c>
      <c r="D14" s="167">
        <v>279.49900000000002</v>
      </c>
      <c r="E14" s="167">
        <v>425.20100000000002</v>
      </c>
      <c r="F14" s="18"/>
      <c r="G14" s="107"/>
      <c r="H14" s="174"/>
      <c r="I14" s="174"/>
      <c r="J14" s="174"/>
      <c r="K14" s="176"/>
      <c r="O14" s="83"/>
      <c r="P14" s="7"/>
      <c r="U14" s="9"/>
    </row>
    <row r="15" spans="1:21" ht="20.149999999999999" customHeight="1">
      <c r="A15" s="9" t="s">
        <v>638</v>
      </c>
      <c r="B15" s="130">
        <v>7.7839999999999998</v>
      </c>
      <c r="C15" s="130">
        <v>9.5890000000000004</v>
      </c>
      <c r="D15" s="130">
        <v>184.066</v>
      </c>
      <c r="E15" s="130">
        <v>201.43899999999999</v>
      </c>
      <c r="G15" s="107"/>
      <c r="H15" s="174"/>
      <c r="I15" s="174"/>
      <c r="J15" s="174"/>
      <c r="K15" s="176"/>
      <c r="O15" s="83"/>
      <c r="P15" s="7"/>
      <c r="U15" s="9"/>
    </row>
    <row r="16" spans="1:21" ht="20.149999999999999" customHeight="1" thickBot="1">
      <c r="A16" s="97" t="s">
        <v>639</v>
      </c>
      <c r="B16" s="168">
        <v>13.943</v>
      </c>
      <c r="C16" s="168">
        <v>17.922999999999998</v>
      </c>
      <c r="D16" s="168">
        <v>106.764</v>
      </c>
      <c r="E16" s="168">
        <v>138.63</v>
      </c>
      <c r="F16" s="18"/>
      <c r="G16" s="107"/>
      <c r="H16" s="174"/>
      <c r="I16" s="174"/>
      <c r="J16" s="174"/>
      <c r="K16" s="176"/>
      <c r="L16" s="84"/>
      <c r="M16" s="84"/>
      <c r="N16" s="85"/>
      <c r="O16" s="83"/>
      <c r="P16" s="7"/>
      <c r="U16" s="9"/>
    </row>
    <row r="17" spans="1:14">
      <c r="L17" s="9"/>
      <c r="M17" s="9"/>
      <c r="N17" s="9"/>
    </row>
    <row r="18" spans="1:14">
      <c r="L18" s="9"/>
      <c r="M18" s="9"/>
      <c r="N18" s="9"/>
    </row>
    <row r="19" spans="1:14">
      <c r="A19" s="18"/>
      <c r="B19" s="39"/>
      <c r="C19" s="39"/>
      <c r="D19" s="39"/>
      <c r="E19" s="39"/>
      <c r="L19" s="9"/>
      <c r="M19" s="9"/>
      <c r="N19" s="9"/>
    </row>
    <row r="20" spans="1:14" ht="15" customHeight="1">
      <c r="A20" s="18"/>
      <c r="B20" s="40"/>
      <c r="C20" s="40"/>
      <c r="D20" s="40"/>
      <c r="E20" s="40"/>
      <c r="L20" s="9"/>
      <c r="M20" s="9"/>
      <c r="N20" s="9"/>
    </row>
    <row r="21" spans="1:14" ht="15" customHeight="1">
      <c r="A21" s="86"/>
      <c r="B21" s="40"/>
      <c r="C21" s="40"/>
      <c r="D21" s="40"/>
      <c r="E21" s="40"/>
      <c r="L21" s="9"/>
      <c r="M21" s="9"/>
      <c r="N21" s="9"/>
    </row>
    <row r="22" spans="1:14" ht="15" customHeight="1">
      <c r="A22" s="86"/>
      <c r="B22" s="40"/>
      <c r="C22" s="40"/>
      <c r="D22" s="40"/>
      <c r="E22" s="40"/>
      <c r="L22" s="9"/>
      <c r="M22" s="9"/>
      <c r="N22" s="9"/>
    </row>
    <row r="23" spans="1:14" ht="15" customHeight="1">
      <c r="A23" s="18"/>
      <c r="B23" s="40"/>
      <c r="C23" s="40"/>
      <c r="D23" s="40"/>
      <c r="E23" s="40"/>
    </row>
    <row r="24" spans="1:14" ht="15" customHeight="1">
      <c r="A24" s="18"/>
      <c r="B24" s="40"/>
      <c r="C24" s="40"/>
      <c r="D24" s="40"/>
      <c r="E24" s="40"/>
    </row>
    <row r="25" spans="1:14" ht="15" customHeight="1">
      <c r="A25" s="86"/>
      <c r="B25" s="40"/>
      <c r="C25" s="40"/>
      <c r="D25" s="40"/>
      <c r="E25" s="40"/>
    </row>
    <row r="26" spans="1:14" ht="15" customHeight="1">
      <c r="A26" s="86"/>
      <c r="B26" s="40"/>
      <c r="C26" s="40"/>
      <c r="D26" s="40"/>
      <c r="E26" s="40"/>
    </row>
    <row r="27" spans="1:14" ht="15" customHeight="1">
      <c r="A27" s="86"/>
      <c r="B27" s="40"/>
      <c r="C27" s="40"/>
      <c r="D27" s="40"/>
      <c r="E27" s="40"/>
    </row>
    <row r="45" spans="15:27">
      <c r="O45" s="9"/>
      <c r="P45" s="9"/>
      <c r="V45" s="18"/>
      <c r="W45" s="18"/>
      <c r="X45" s="18"/>
      <c r="Y45" s="18"/>
      <c r="Z45" s="18"/>
      <c r="AA45" s="18"/>
    </row>
    <row r="46" spans="15:27">
      <c r="O46" s="9"/>
      <c r="P46" s="9"/>
      <c r="V46" s="18"/>
      <c r="W46" s="18"/>
      <c r="X46" s="18"/>
      <c r="Y46" s="18"/>
      <c r="Z46" s="18"/>
      <c r="AA46" s="18"/>
    </row>
    <row r="47" spans="15:27">
      <c r="O47" s="9"/>
      <c r="P47" s="9"/>
      <c r="V47" s="18"/>
      <c r="W47" s="18"/>
      <c r="X47" s="18"/>
      <c r="Y47" s="18"/>
      <c r="Z47" s="18"/>
      <c r="AA47" s="18"/>
    </row>
    <row r="48" spans="15:27">
      <c r="O48" s="9"/>
      <c r="P48" s="9"/>
      <c r="V48" s="18"/>
      <c r="W48" s="18"/>
      <c r="X48" s="18"/>
      <c r="Y48" s="18"/>
      <c r="Z48" s="18"/>
      <c r="AA48" s="18"/>
    </row>
    <row r="49" spans="15:27">
      <c r="O49" s="9"/>
      <c r="P49" s="9"/>
      <c r="V49" s="18"/>
      <c r="W49" s="18"/>
      <c r="X49" s="18"/>
      <c r="Y49" s="18"/>
      <c r="Z49" s="18"/>
      <c r="AA49" s="18"/>
    </row>
    <row r="50" spans="15:27">
      <c r="O50" s="9"/>
      <c r="P50" s="9"/>
      <c r="V50" s="18"/>
      <c r="W50" s="18"/>
      <c r="X50" s="18"/>
      <c r="Y50" s="18"/>
      <c r="Z50" s="18"/>
      <c r="AA50" s="18"/>
    </row>
    <row r="51" spans="15:27">
      <c r="O51" s="9"/>
      <c r="P51" s="9"/>
      <c r="V51" s="18"/>
      <c r="W51" s="18"/>
      <c r="X51" s="18"/>
      <c r="Y51" s="18"/>
      <c r="Z51" s="18"/>
      <c r="AA51" s="18"/>
    </row>
    <row r="52" spans="15:27">
      <c r="O52" s="9"/>
      <c r="P52" s="9"/>
      <c r="V52" s="18"/>
      <c r="W52" s="18"/>
      <c r="X52" s="18"/>
      <c r="Y52" s="18"/>
      <c r="Z52" s="18"/>
      <c r="AA52" s="18"/>
    </row>
    <row r="53" spans="15:27">
      <c r="O53" s="9"/>
      <c r="P53" s="9"/>
      <c r="V53" s="18"/>
      <c r="W53" s="18"/>
      <c r="X53" s="18"/>
      <c r="Y53" s="18"/>
      <c r="Z53" s="18"/>
      <c r="AA53" s="18"/>
    </row>
    <row r="54" spans="15:27">
      <c r="O54" s="9"/>
      <c r="P54" s="9"/>
      <c r="V54" s="18"/>
      <c r="W54" s="18"/>
      <c r="X54" s="18"/>
      <c r="Y54" s="18"/>
      <c r="Z54" s="18"/>
      <c r="AA54" s="18"/>
    </row>
    <row r="55" spans="15:27">
      <c r="O55" s="9"/>
      <c r="P55" s="9"/>
      <c r="V55" s="18"/>
      <c r="W55" s="18"/>
      <c r="X55" s="18"/>
      <c r="Y55" s="18"/>
      <c r="Z55" s="18"/>
      <c r="AA55" s="18"/>
    </row>
    <row r="56" spans="15:27">
      <c r="O56" s="9"/>
      <c r="P56" s="9"/>
      <c r="V56" s="18"/>
      <c r="W56" s="18"/>
      <c r="X56" s="18"/>
      <c r="Y56" s="18"/>
      <c r="Z56" s="18"/>
      <c r="AA56" s="18"/>
    </row>
    <row r="57" spans="15:27">
      <c r="O57" s="9"/>
      <c r="P57" s="9"/>
      <c r="V57" s="18"/>
      <c r="W57" s="18"/>
      <c r="X57" s="18"/>
      <c r="Y57" s="18"/>
      <c r="Z57" s="18"/>
      <c r="AA57" s="18"/>
    </row>
    <row r="58" spans="15:27">
      <c r="O58" s="9"/>
      <c r="P58" s="9"/>
      <c r="V58" s="18"/>
      <c r="W58" s="18"/>
      <c r="X58" s="18"/>
      <c r="Y58" s="18"/>
      <c r="Z58" s="18"/>
      <c r="AA58" s="18"/>
    </row>
    <row r="59" spans="15:27">
      <c r="O59" s="9"/>
      <c r="P59" s="9"/>
      <c r="V59" s="18"/>
      <c r="W59" s="18"/>
      <c r="X59" s="18"/>
      <c r="Y59" s="18"/>
      <c r="Z59" s="18"/>
      <c r="AA59" s="18"/>
    </row>
    <row r="60" spans="15:27">
      <c r="O60" s="9"/>
      <c r="P60" s="9"/>
      <c r="V60" s="18"/>
      <c r="W60" s="18"/>
      <c r="X60" s="18"/>
      <c r="Y60" s="18"/>
      <c r="Z60" s="18"/>
      <c r="AA60" s="18"/>
    </row>
    <row r="61" spans="15:27">
      <c r="O61" s="9"/>
      <c r="P61" s="9"/>
      <c r="V61" s="18"/>
      <c r="W61" s="18"/>
      <c r="X61" s="18"/>
      <c r="Y61" s="18"/>
      <c r="Z61" s="18"/>
      <c r="AA61" s="18"/>
    </row>
    <row r="62" spans="15:27">
      <c r="O62" s="9"/>
      <c r="P62" s="9"/>
      <c r="V62" s="18"/>
      <c r="W62" s="18"/>
      <c r="X62" s="18"/>
      <c r="Y62" s="18"/>
      <c r="Z62" s="18"/>
      <c r="AA62" s="18"/>
    </row>
    <row r="63" spans="15:27">
      <c r="O63" s="9"/>
      <c r="P63" s="9"/>
      <c r="V63" s="18"/>
      <c r="W63" s="18"/>
      <c r="X63" s="18"/>
      <c r="Y63" s="18"/>
      <c r="Z63" s="18"/>
      <c r="AA63" s="18"/>
    </row>
    <row r="64" spans="15:27">
      <c r="O64" s="9"/>
      <c r="P64" s="9"/>
      <c r="V64" s="18"/>
      <c r="W64" s="18"/>
      <c r="X64" s="18"/>
      <c r="Y64" s="18"/>
      <c r="Z64" s="18"/>
      <c r="AA64" s="18"/>
    </row>
    <row r="65" spans="15:27">
      <c r="O65" s="9"/>
      <c r="P65" s="9"/>
      <c r="V65" s="18"/>
      <c r="W65" s="18"/>
      <c r="X65" s="18"/>
      <c r="Y65" s="18"/>
      <c r="Z65" s="18"/>
      <c r="AA65" s="18"/>
    </row>
    <row r="66" spans="15:27">
      <c r="O66" s="9"/>
      <c r="P66" s="9"/>
      <c r="V66" s="18"/>
      <c r="W66" s="18"/>
      <c r="X66" s="18"/>
      <c r="Y66" s="18"/>
      <c r="Z66" s="18"/>
      <c r="AA66" s="18"/>
    </row>
    <row r="67" spans="15:27">
      <c r="O67" s="9"/>
      <c r="P67" s="9"/>
      <c r="V67" s="18"/>
      <c r="W67" s="18"/>
      <c r="X67" s="18"/>
      <c r="Y67" s="18"/>
      <c r="Z67" s="18"/>
      <c r="AA67" s="18"/>
    </row>
    <row r="68" spans="15:27">
      <c r="O68" s="9"/>
      <c r="P68" s="9"/>
      <c r="V68" s="18"/>
      <c r="W68" s="18"/>
      <c r="X68" s="18"/>
      <c r="Y68" s="18"/>
      <c r="Z68" s="18"/>
      <c r="AA68" s="18"/>
    </row>
    <row r="69" spans="15:27">
      <c r="O69" s="9"/>
      <c r="P69" s="9"/>
      <c r="V69" s="18"/>
      <c r="W69" s="18"/>
      <c r="X69" s="18"/>
      <c r="Y69" s="18"/>
      <c r="Z69" s="18"/>
      <c r="AA69" s="18"/>
    </row>
    <row r="70" spans="15:27">
      <c r="O70" s="9"/>
      <c r="P70" s="9"/>
      <c r="V70" s="18"/>
      <c r="W70" s="18"/>
      <c r="X70" s="18"/>
      <c r="Y70" s="18"/>
      <c r="Z70" s="18"/>
      <c r="AA70" s="18"/>
    </row>
  </sheetData>
  <sortState xmlns:xlrd2="http://schemas.microsoft.com/office/spreadsheetml/2017/richdata2" ref="A8:E15">
    <sortCondition descending="1" ref="E8:E15"/>
  </sortState>
  <hyperlinks>
    <hyperlink ref="A6" location="Contents!A1" display="Return to Contents" xr:uid="{00000000-0004-0000-0D00-000000000000}"/>
  </hyperlinks>
  <pageMargins left="0.25" right="0.25" top="0.75" bottom="0.75" header="0.3" footer="0.3"/>
  <pageSetup paperSize="9" scale="41" orientation="landscape" horizontalDpi="90" verticalDpi="9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4">
    <tabColor rgb="FFDDE5F1"/>
  </sheetPr>
  <dimension ref="A1:Q32"/>
  <sheetViews>
    <sheetView zoomScaleNormal="100" workbookViewId="0"/>
  </sheetViews>
  <sheetFormatPr defaultColWidth="9.1796875" defaultRowHeight="15.5"/>
  <cols>
    <col min="1" max="1" width="36.7265625" style="9" customWidth="1"/>
    <col min="2" max="6" width="21.1796875" style="9" customWidth="1"/>
    <col min="7" max="10" width="9.1796875" style="18" customWidth="1"/>
    <col min="11" max="11" width="9.1796875" style="18"/>
    <col min="12" max="16384" width="9.1796875" style="9"/>
  </cols>
  <sheetData>
    <row r="1" spans="1:10" ht="30" customHeight="1">
      <c r="A1" s="22" t="s">
        <v>784</v>
      </c>
      <c r="B1" s="13"/>
      <c r="C1" s="13"/>
      <c r="D1" s="13"/>
      <c r="E1" s="13"/>
    </row>
    <row r="2" spans="1:10" ht="20.149999999999999" customHeight="1">
      <c r="A2" s="9" t="s">
        <v>236</v>
      </c>
      <c r="H2" s="7"/>
    </row>
    <row r="3" spans="1:10" ht="20.149999999999999" customHeight="1">
      <c r="A3" s="9" t="s">
        <v>215</v>
      </c>
    </row>
    <row r="4" spans="1:10" ht="20.149999999999999" customHeight="1">
      <c r="A4" s="15" t="s">
        <v>62</v>
      </c>
    </row>
    <row r="5" spans="1:10" ht="10" customHeight="1">
      <c r="B5" s="28"/>
      <c r="C5" s="28"/>
      <c r="D5" s="28"/>
      <c r="E5" s="28"/>
      <c r="F5" s="28"/>
      <c r="H5" s="7"/>
      <c r="I5" s="7"/>
      <c r="J5" s="7"/>
    </row>
    <row r="6" spans="1:10" ht="62">
      <c r="A6" s="98" t="s">
        <v>63</v>
      </c>
      <c r="B6" s="96" t="s">
        <v>253</v>
      </c>
      <c r="C6" s="96" t="s">
        <v>254</v>
      </c>
      <c r="D6" s="96" t="s">
        <v>597</v>
      </c>
      <c r="E6" s="96" t="s">
        <v>598</v>
      </c>
      <c r="F6" s="96" t="s">
        <v>599</v>
      </c>
      <c r="H6" s="106"/>
      <c r="I6" s="177"/>
      <c r="J6" s="177"/>
    </row>
    <row r="7" spans="1:10" ht="20.149999999999999" customHeight="1">
      <c r="A7" s="9" t="s">
        <v>628</v>
      </c>
      <c r="B7" s="130">
        <v>5357.6360000000004</v>
      </c>
      <c r="C7" s="35">
        <v>10230.766</v>
      </c>
      <c r="D7" s="35">
        <v>5357.6360000000004</v>
      </c>
      <c r="E7" s="35">
        <v>4873.13</v>
      </c>
      <c r="F7" s="35">
        <v>0</v>
      </c>
      <c r="G7" s="45"/>
      <c r="H7" s="274"/>
      <c r="I7" s="429"/>
      <c r="J7" s="174"/>
    </row>
    <row r="8" spans="1:10" ht="20.149999999999999" customHeight="1">
      <c r="A8" s="95" t="s">
        <v>619</v>
      </c>
      <c r="B8" s="167">
        <v>477.22300000000001</v>
      </c>
      <c r="C8" s="118">
        <v>8255.2189999999991</v>
      </c>
      <c r="D8" s="118">
        <v>477.22300000000001</v>
      </c>
      <c r="E8" s="118">
        <v>7777.9960000000001</v>
      </c>
      <c r="F8" s="118">
        <v>0</v>
      </c>
      <c r="G8" s="45"/>
      <c r="H8" s="274"/>
      <c r="I8" s="429"/>
      <c r="J8" s="174"/>
    </row>
    <row r="9" spans="1:10" ht="31">
      <c r="A9" s="46" t="s">
        <v>637</v>
      </c>
      <c r="B9" s="130">
        <v>1825.3309999999999</v>
      </c>
      <c r="C9" s="35">
        <v>2153.2350000000001</v>
      </c>
      <c r="D9" s="35">
        <v>1825.3309999999999</v>
      </c>
      <c r="E9" s="35">
        <v>327.904</v>
      </c>
      <c r="F9" s="35">
        <v>0</v>
      </c>
      <c r="G9" s="45"/>
      <c r="H9" s="274"/>
      <c r="I9" s="429"/>
      <c r="J9" s="174"/>
    </row>
    <row r="10" spans="1:10">
      <c r="A10" s="105" t="s">
        <v>36</v>
      </c>
      <c r="B10" s="167">
        <v>1561.0070000000001</v>
      </c>
      <c r="C10" s="118">
        <v>1022.67</v>
      </c>
      <c r="D10" s="118">
        <v>1022.67</v>
      </c>
      <c r="E10" s="118">
        <v>0</v>
      </c>
      <c r="F10" s="118">
        <v>538.33699999999999</v>
      </c>
      <c r="G10" s="45"/>
      <c r="H10" s="274"/>
      <c r="I10" s="429"/>
      <c r="J10" s="174"/>
    </row>
    <row r="11" spans="1:10" ht="31">
      <c r="A11" s="46" t="s">
        <v>638</v>
      </c>
      <c r="B11" s="130">
        <v>201.43899999999999</v>
      </c>
      <c r="C11" s="35">
        <v>999.60400000000004</v>
      </c>
      <c r="D11" s="35">
        <v>201.43899999999999</v>
      </c>
      <c r="E11" s="35">
        <v>798.16499999999996</v>
      </c>
      <c r="F11" s="35">
        <v>0</v>
      </c>
      <c r="G11" s="45"/>
      <c r="H11" s="274"/>
      <c r="I11" s="429"/>
      <c r="J11" s="174"/>
    </row>
    <row r="12" spans="1:10" ht="20.149999999999999" customHeight="1">
      <c r="A12" s="105" t="s">
        <v>50</v>
      </c>
      <c r="B12" s="167">
        <v>425.20100000000002</v>
      </c>
      <c r="C12" s="118">
        <v>865.95</v>
      </c>
      <c r="D12" s="118">
        <v>425.20100000000002</v>
      </c>
      <c r="E12" s="118">
        <v>440.74900000000002</v>
      </c>
      <c r="F12" s="118">
        <v>0</v>
      </c>
      <c r="G12" s="45"/>
      <c r="H12" s="274"/>
      <c r="I12" s="429"/>
      <c r="J12" s="174"/>
    </row>
    <row r="13" spans="1:10" ht="20.149999999999999" customHeight="1">
      <c r="A13" s="9" t="s">
        <v>639</v>
      </c>
      <c r="B13" s="130">
        <v>138.63</v>
      </c>
      <c r="C13" s="35">
        <v>789.37199999999996</v>
      </c>
      <c r="D13" s="35">
        <v>138.63</v>
      </c>
      <c r="E13" s="35">
        <v>650.74199999999996</v>
      </c>
      <c r="F13" s="35">
        <v>0</v>
      </c>
      <c r="G13" s="45"/>
      <c r="H13" s="274"/>
      <c r="I13" s="429"/>
      <c r="J13" s="174"/>
    </row>
    <row r="14" spans="1:10" ht="31">
      <c r="A14" s="105" t="s">
        <v>640</v>
      </c>
      <c r="B14" s="167">
        <v>348.07299999999998</v>
      </c>
      <c r="C14" s="118">
        <v>748.63800000000003</v>
      </c>
      <c r="D14" s="118">
        <v>348.07299999999998</v>
      </c>
      <c r="E14" s="118">
        <v>400.565</v>
      </c>
      <c r="F14" s="118">
        <v>0</v>
      </c>
      <c r="G14" s="45"/>
      <c r="H14" s="274"/>
      <c r="I14" s="429"/>
      <c r="J14" s="174"/>
    </row>
    <row r="15" spans="1:10" ht="46.5">
      <c r="A15" s="46" t="s">
        <v>641</v>
      </c>
      <c r="B15" s="130">
        <v>503.149</v>
      </c>
      <c r="C15" s="35">
        <v>711.19500000000005</v>
      </c>
      <c r="D15" s="35">
        <v>503.149</v>
      </c>
      <c r="E15" s="35">
        <v>208.04599999999999</v>
      </c>
      <c r="F15" s="35">
        <v>0</v>
      </c>
      <c r="G15" s="45"/>
      <c r="H15" s="274"/>
      <c r="I15" s="429"/>
      <c r="J15" s="174"/>
    </row>
    <row r="16" spans="1:10" ht="20.149999999999999" customHeight="1">
      <c r="A16" s="95" t="s">
        <v>48</v>
      </c>
      <c r="B16" s="167">
        <v>127.434</v>
      </c>
      <c r="C16" s="118">
        <v>75.224999999999994</v>
      </c>
      <c r="D16" s="118">
        <v>75.224999999999994</v>
      </c>
      <c r="E16" s="118">
        <v>0</v>
      </c>
      <c r="F16" s="118">
        <v>52.209000000000003</v>
      </c>
      <c r="G16" s="45"/>
      <c r="H16" s="274"/>
      <c r="I16" s="429"/>
      <c r="J16" s="174"/>
    </row>
    <row r="17" spans="1:17" ht="25" customHeight="1">
      <c r="A17" s="98" t="s">
        <v>106</v>
      </c>
      <c r="B17" s="126">
        <v>10965.123</v>
      </c>
      <c r="C17" s="126">
        <v>25851.874</v>
      </c>
      <c r="D17" s="126">
        <v>10374.576999999999</v>
      </c>
      <c r="E17" s="126">
        <v>15477.297</v>
      </c>
      <c r="F17" s="126">
        <v>590.54600000000005</v>
      </c>
      <c r="G17" s="45"/>
      <c r="H17" s="274"/>
      <c r="I17" s="429"/>
      <c r="J17" s="176"/>
      <c r="L17" s="7"/>
      <c r="M17" s="7"/>
      <c r="N17" s="7"/>
      <c r="O17" s="7"/>
      <c r="P17" s="7"/>
      <c r="Q17" s="7"/>
    </row>
    <row r="23" spans="1:17">
      <c r="B23" s="48"/>
    </row>
    <row r="24" spans="1:17">
      <c r="B24" s="48"/>
    </row>
    <row r="25" spans="1:17">
      <c r="B25" s="48"/>
    </row>
    <row r="26" spans="1:17">
      <c r="B26" s="48"/>
    </row>
    <row r="27" spans="1:17">
      <c r="B27" s="48"/>
    </row>
    <row r="28" spans="1:17">
      <c r="B28" s="48"/>
    </row>
    <row r="29" spans="1:17">
      <c r="B29" s="48"/>
    </row>
    <row r="30" spans="1:17">
      <c r="B30" s="48"/>
    </row>
    <row r="31" spans="1:17">
      <c r="B31" s="48"/>
    </row>
    <row r="32" spans="1:17">
      <c r="B32" s="48"/>
    </row>
  </sheetData>
  <sortState xmlns:xlrd2="http://schemas.microsoft.com/office/spreadsheetml/2017/richdata2" ref="A7:J16">
    <sortCondition descending="1" ref="C7:C16"/>
  </sortState>
  <hyperlinks>
    <hyperlink ref="A4" location="Contents!A1" display="Return to Contents" xr:uid="{00000000-0004-0000-0E00-000000000000}"/>
  </hyperlinks>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5">
    <tabColor rgb="FFDDE5F1"/>
    <pageSetUpPr fitToPage="1"/>
  </sheetPr>
  <dimension ref="A1:I20"/>
  <sheetViews>
    <sheetView zoomScaleNormal="100" workbookViewId="0"/>
  </sheetViews>
  <sheetFormatPr defaultColWidth="9.1796875" defaultRowHeight="15.5"/>
  <cols>
    <col min="1" max="1" width="62.1796875" style="9" customWidth="1"/>
    <col min="2" max="4" width="13.26953125" style="9" customWidth="1"/>
    <col min="5" max="5" width="9.1796875" style="9" customWidth="1"/>
    <col min="6" max="8" width="9.1796875" style="18" customWidth="1"/>
    <col min="9" max="16384" width="9.1796875" style="9"/>
  </cols>
  <sheetData>
    <row r="1" spans="1:9" ht="30" customHeight="1">
      <c r="A1" s="22" t="s">
        <v>785</v>
      </c>
      <c r="B1" s="13"/>
      <c r="C1" s="13"/>
      <c r="F1" s="9"/>
      <c r="G1" s="9"/>
      <c r="H1" s="9"/>
    </row>
    <row r="2" spans="1:9" ht="20.149999999999999" customHeight="1">
      <c r="A2" s="9" t="s">
        <v>255</v>
      </c>
      <c r="F2" s="9"/>
      <c r="G2" s="9"/>
      <c r="H2" s="9"/>
    </row>
    <row r="3" spans="1:9" ht="20.149999999999999" customHeight="1">
      <c r="A3" s="19" t="s">
        <v>233</v>
      </c>
      <c r="F3" s="8"/>
      <c r="G3" s="7"/>
      <c r="H3" s="7"/>
    </row>
    <row r="4" spans="1:9" ht="20.149999999999999" customHeight="1">
      <c r="A4" s="29" t="s">
        <v>235</v>
      </c>
      <c r="F4" s="8"/>
      <c r="G4" s="7"/>
      <c r="H4" s="7"/>
    </row>
    <row r="5" spans="1:9" ht="20.149999999999999" customHeight="1">
      <c r="A5" s="127" t="s">
        <v>296</v>
      </c>
      <c r="F5" s="8"/>
      <c r="G5" s="7"/>
      <c r="H5" s="7"/>
    </row>
    <row r="6" spans="1:9" ht="20.149999999999999" customHeight="1">
      <c r="A6" s="9" t="s">
        <v>212</v>
      </c>
      <c r="F6" s="9"/>
      <c r="G6" s="9"/>
      <c r="H6" s="9"/>
    </row>
    <row r="7" spans="1:9" ht="20.149999999999999" customHeight="1">
      <c r="A7" s="15" t="s">
        <v>62</v>
      </c>
      <c r="F7" s="106"/>
      <c r="G7" s="107"/>
      <c r="H7" s="107"/>
    </row>
    <row r="8" spans="1:9" ht="10.15" customHeight="1">
      <c r="A8" s="15"/>
      <c r="F8" s="107"/>
      <c r="G8" s="107"/>
      <c r="H8" s="107"/>
    </row>
    <row r="9" spans="1:9" ht="55" customHeight="1">
      <c r="A9" s="98" t="s">
        <v>256</v>
      </c>
      <c r="B9" s="96" t="s">
        <v>197</v>
      </c>
      <c r="C9" s="96" t="s">
        <v>36</v>
      </c>
      <c r="D9" s="99" t="s">
        <v>38</v>
      </c>
      <c r="F9" s="106"/>
      <c r="G9" s="106"/>
      <c r="H9" s="106"/>
      <c r="I9" s="180"/>
    </row>
    <row r="10" spans="1:9" ht="20.149999999999999" customHeight="1">
      <c r="A10" s="9" t="s">
        <v>39</v>
      </c>
      <c r="B10" s="71">
        <v>927.61099999999999</v>
      </c>
      <c r="C10" s="71">
        <v>228.65299999999999</v>
      </c>
      <c r="D10" s="21">
        <v>1156.2639999999999</v>
      </c>
      <c r="F10" s="107"/>
      <c r="G10" s="107"/>
      <c r="H10" s="107"/>
      <c r="I10" s="172"/>
    </row>
    <row r="11" spans="1:9" ht="20.149999999999999" customHeight="1">
      <c r="A11" s="95" t="s">
        <v>234</v>
      </c>
      <c r="B11" s="167">
        <v>-163.70400000000001</v>
      </c>
      <c r="C11" s="167">
        <v>-11.199</v>
      </c>
      <c r="D11" s="179">
        <v>-174.90299999999999</v>
      </c>
      <c r="F11" s="107"/>
      <c r="G11" s="107"/>
      <c r="H11" s="107"/>
      <c r="I11" s="172"/>
    </row>
    <row r="12" spans="1:9" ht="20.149999999999999" customHeight="1">
      <c r="A12" s="9" t="s">
        <v>40</v>
      </c>
      <c r="B12" s="71">
        <v>430.57299999999998</v>
      </c>
      <c r="C12" s="71">
        <v>160.643</v>
      </c>
      <c r="D12" s="21">
        <v>591.21600000000001</v>
      </c>
      <c r="F12" s="107"/>
      <c r="G12" s="107"/>
      <c r="H12" s="107"/>
      <c r="I12" s="172"/>
    </row>
    <row r="13" spans="1:9" ht="20.149999999999999" customHeight="1">
      <c r="A13" s="95" t="s">
        <v>195</v>
      </c>
      <c r="B13" s="167">
        <v>113.292</v>
      </c>
      <c r="C13" s="167">
        <v>159.09399999999999</v>
      </c>
      <c r="D13" s="179">
        <v>272.38600000000002</v>
      </c>
      <c r="F13" s="107"/>
      <c r="G13" s="107"/>
      <c r="H13" s="107"/>
      <c r="I13" s="172"/>
    </row>
    <row r="14" spans="1:9" ht="20.149999999999999" customHeight="1">
      <c r="A14" s="9" t="s">
        <v>137</v>
      </c>
      <c r="B14" s="71">
        <v>-0.41799999999999998</v>
      </c>
      <c r="C14" s="71">
        <v>0</v>
      </c>
      <c r="D14" s="21">
        <v>-0.41799999999999998</v>
      </c>
      <c r="F14" s="107"/>
      <c r="G14" s="107"/>
      <c r="H14" s="107"/>
      <c r="I14" s="172"/>
    </row>
    <row r="15" spans="1:9" ht="20.149999999999999" customHeight="1">
      <c r="A15" s="95" t="s">
        <v>41</v>
      </c>
      <c r="B15" s="167">
        <v>-1.0660000000000001</v>
      </c>
      <c r="C15" s="167">
        <v>0.23799999999999999</v>
      </c>
      <c r="D15" s="179">
        <v>-0.82799999999999996</v>
      </c>
      <c r="F15" s="107"/>
      <c r="G15" s="107"/>
      <c r="H15" s="107"/>
      <c r="I15" s="172"/>
    </row>
    <row r="16" spans="1:9" ht="25" customHeight="1">
      <c r="A16" s="98" t="s">
        <v>131</v>
      </c>
      <c r="B16" s="125">
        <v>1306.288</v>
      </c>
      <c r="C16" s="125">
        <v>537.42899999999997</v>
      </c>
      <c r="D16" s="125">
        <v>1843.7170000000001</v>
      </c>
      <c r="F16" s="172"/>
      <c r="G16" s="173"/>
      <c r="H16" s="173"/>
      <c r="I16" s="173"/>
    </row>
    <row r="17" ht="15" customHeight="1"/>
    <row r="18" ht="15" customHeight="1"/>
    <row r="19" ht="15" customHeight="1"/>
    <row r="20" ht="15" customHeight="1"/>
  </sheetData>
  <hyperlinks>
    <hyperlink ref="A7" location="Contents!A1" display="Return to Contents" xr:uid="{00000000-0004-0000-0F00-000000000000}"/>
  </hyperlinks>
  <pageMargins left="0.7" right="0.7" top="0.75" bottom="0.75" header="0.3" footer="0.3"/>
  <pageSetup paperSize="9" scale="48"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6">
    <tabColor rgb="FFDDE5F1"/>
    <pageSetUpPr fitToPage="1"/>
  </sheetPr>
  <dimension ref="A1:J12"/>
  <sheetViews>
    <sheetView zoomScaleNormal="100" workbookViewId="0">
      <selection activeCell="A4" sqref="A4"/>
    </sheetView>
  </sheetViews>
  <sheetFormatPr defaultColWidth="9.1796875" defaultRowHeight="15.5"/>
  <cols>
    <col min="1" max="1" width="46" style="9" customWidth="1"/>
    <col min="2" max="2" width="17" style="9" customWidth="1"/>
    <col min="3" max="3" width="9.1796875" style="9"/>
    <col min="4" max="4" width="9.1796875" style="7" customWidth="1"/>
    <col min="5" max="5" width="22.453125" style="18" customWidth="1"/>
    <col min="6" max="16384" width="9.1796875" style="9"/>
  </cols>
  <sheetData>
    <row r="1" spans="1:10" ht="30" customHeight="1">
      <c r="A1" s="22" t="s">
        <v>786</v>
      </c>
      <c r="B1" s="37"/>
    </row>
    <row r="2" spans="1:10" ht="20.149999999999999" customHeight="1">
      <c r="A2" s="9" t="s">
        <v>214</v>
      </c>
      <c r="B2" s="6"/>
    </row>
    <row r="3" spans="1:10" ht="20.149999999999999" customHeight="1">
      <c r="A3" s="9" t="s">
        <v>887</v>
      </c>
      <c r="B3" s="6"/>
    </row>
    <row r="4" spans="1:10" ht="20.149999999999999" customHeight="1">
      <c r="A4" s="9" t="s">
        <v>212</v>
      </c>
      <c r="B4" s="6"/>
    </row>
    <row r="5" spans="1:10" ht="20.149999999999999" customHeight="1">
      <c r="A5" s="15" t="s">
        <v>62</v>
      </c>
      <c r="B5" s="49"/>
      <c r="D5" s="9"/>
      <c r="E5" s="9"/>
    </row>
    <row r="6" spans="1:10" ht="10" customHeight="1">
      <c r="B6" s="28"/>
      <c r="C6" s="7"/>
      <c r="E6" s="7"/>
      <c r="F6" s="7"/>
      <c r="G6" s="7"/>
      <c r="H6" s="7"/>
      <c r="I6" s="7"/>
      <c r="J6" s="7"/>
    </row>
    <row r="7" spans="1:10" ht="25" customHeight="1">
      <c r="A7" s="98" t="s">
        <v>257</v>
      </c>
      <c r="B7" s="99" t="s">
        <v>838</v>
      </c>
      <c r="D7" s="106"/>
      <c r="E7" s="106"/>
      <c r="F7" s="18"/>
    </row>
    <row r="8" spans="1:10" ht="20.149999999999999" customHeight="1">
      <c r="A8" s="9" t="s">
        <v>186</v>
      </c>
      <c r="B8" s="71">
        <v>10337.276</v>
      </c>
      <c r="C8" s="42"/>
      <c r="D8" s="332"/>
      <c r="E8" s="174"/>
    </row>
    <row r="9" spans="1:10" ht="20.149999999999999" customHeight="1">
      <c r="A9" s="95" t="s">
        <v>133</v>
      </c>
      <c r="B9" s="169">
        <v>3067.607</v>
      </c>
      <c r="C9" s="42"/>
      <c r="D9" s="332"/>
      <c r="E9" s="174"/>
    </row>
    <row r="10" spans="1:10" ht="20.149999999999999" customHeight="1">
      <c r="A10" s="9" t="s">
        <v>42</v>
      </c>
      <c r="B10" s="71">
        <v>2996.8490000000002</v>
      </c>
      <c r="C10" s="42"/>
      <c r="D10" s="332"/>
      <c r="E10" s="174"/>
    </row>
    <row r="11" spans="1:10" ht="20.149999999999999" customHeight="1">
      <c r="A11" s="95" t="s">
        <v>185</v>
      </c>
      <c r="B11" s="169">
        <v>10.700000000000699</v>
      </c>
      <c r="C11" s="42"/>
      <c r="D11" s="332"/>
      <c r="E11" s="174"/>
    </row>
    <row r="12" spans="1:10" ht="25" customHeight="1">
      <c r="A12" s="98" t="s">
        <v>132</v>
      </c>
      <c r="B12" s="125">
        <v>16412.432000000001</v>
      </c>
      <c r="C12" s="42"/>
      <c r="D12" s="332"/>
      <c r="E12" s="173"/>
    </row>
  </sheetData>
  <hyperlinks>
    <hyperlink ref="A5" location="Contents!A1" display="Return to Contents" xr:uid="{00000000-0004-0000-1000-000000000000}"/>
  </hyperlinks>
  <pageMargins left="0.25" right="0.25" top="0.75" bottom="0.75" header="0.3" footer="0.3"/>
  <pageSetup paperSize="9" scale="70"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7">
    <tabColor rgb="FFDDE5F1"/>
    <pageSetUpPr fitToPage="1"/>
  </sheetPr>
  <dimension ref="A1:S24"/>
  <sheetViews>
    <sheetView zoomScaleNormal="100" workbookViewId="0">
      <selection activeCell="A6" sqref="A6"/>
    </sheetView>
  </sheetViews>
  <sheetFormatPr defaultColWidth="9.1796875" defaultRowHeight="15.5"/>
  <cols>
    <col min="1" max="1" width="31.26953125" style="9" customWidth="1"/>
    <col min="2" max="6" width="14.7265625" style="9" customWidth="1"/>
    <col min="7" max="7" width="26.7265625" style="9" customWidth="1"/>
    <col min="8" max="8" width="9.1796875" style="9" customWidth="1"/>
    <col min="9" max="9" width="9.1796875" style="7" customWidth="1"/>
    <col min="10" max="15" width="9.1796875" style="18" customWidth="1"/>
    <col min="16" max="16384" width="9.1796875" style="9"/>
  </cols>
  <sheetData>
    <row r="1" spans="1:19" ht="30" customHeight="1">
      <c r="A1" s="22" t="s">
        <v>809</v>
      </c>
      <c r="B1" s="5"/>
      <c r="C1" s="5"/>
      <c r="D1" s="5"/>
    </row>
    <row r="2" spans="1:19" ht="20.149999999999999" customHeight="1">
      <c r="A2" s="7" t="s">
        <v>255</v>
      </c>
      <c r="B2" s="5"/>
      <c r="C2" s="5"/>
      <c r="D2" s="5"/>
    </row>
    <row r="3" spans="1:19" ht="20.149999999999999" customHeight="1">
      <c r="A3" s="54" t="s">
        <v>326</v>
      </c>
      <c r="F3" s="18"/>
      <c r="G3" s="18"/>
      <c r="H3" s="18"/>
      <c r="I3" s="18"/>
    </row>
    <row r="4" spans="1:19" ht="20.149999999999999" customHeight="1">
      <c r="A4" s="54" t="s">
        <v>825</v>
      </c>
      <c r="F4" s="18"/>
      <c r="G4" s="18"/>
      <c r="H4" s="18"/>
      <c r="I4" s="18"/>
    </row>
    <row r="5" spans="1:19" ht="20.149999999999999" customHeight="1">
      <c r="A5" s="377" t="s">
        <v>886</v>
      </c>
      <c r="F5" s="18"/>
      <c r="G5" s="18"/>
      <c r="H5" s="18"/>
      <c r="I5" s="18"/>
    </row>
    <row r="6" spans="1:19" ht="20.149999999999999" customHeight="1">
      <c r="A6" s="9" t="s">
        <v>212</v>
      </c>
      <c r="B6" s="5"/>
      <c r="C6" s="5"/>
      <c r="D6" s="5"/>
    </row>
    <row r="7" spans="1:19" ht="20.149999999999999" customHeight="1">
      <c r="A7" s="15" t="s">
        <v>62</v>
      </c>
      <c r="B7" s="5"/>
      <c r="C7" s="5"/>
      <c r="D7" s="5"/>
      <c r="E7" s="5"/>
      <c r="F7" s="5"/>
      <c r="I7" s="9"/>
      <c r="J7" s="9"/>
      <c r="K7" s="9"/>
      <c r="L7" s="9"/>
      <c r="M7" s="9"/>
      <c r="N7" s="9"/>
      <c r="O7" s="9"/>
    </row>
    <row r="8" spans="1:19" ht="10" customHeight="1">
      <c r="B8" s="5"/>
      <c r="C8" s="5"/>
      <c r="D8" s="5"/>
      <c r="E8" s="5"/>
      <c r="F8" s="28"/>
      <c r="G8" s="7"/>
      <c r="H8" s="7"/>
      <c r="J8" s="7"/>
      <c r="K8" s="7"/>
      <c r="L8" s="7"/>
      <c r="M8" s="7"/>
      <c r="N8" s="7"/>
      <c r="O8" s="7"/>
      <c r="P8" s="7"/>
      <c r="Q8" s="7"/>
      <c r="R8" s="7"/>
      <c r="S8" s="7"/>
    </row>
    <row r="9" spans="1:19" ht="40" customHeight="1">
      <c r="A9" s="98" t="s">
        <v>257</v>
      </c>
      <c r="B9" s="99" t="s">
        <v>188</v>
      </c>
      <c r="C9" s="99" t="s">
        <v>424</v>
      </c>
      <c r="D9" s="99" t="s">
        <v>600</v>
      </c>
      <c r="E9" s="99" t="s">
        <v>636</v>
      </c>
      <c r="F9" s="99" t="s">
        <v>838</v>
      </c>
      <c r="G9" s="96" t="s">
        <v>844</v>
      </c>
      <c r="I9" s="106"/>
      <c r="J9" s="106"/>
      <c r="K9" s="106"/>
      <c r="L9" s="106"/>
      <c r="M9" s="106"/>
      <c r="N9" s="106"/>
      <c r="O9" s="180"/>
    </row>
    <row r="10" spans="1:19" ht="20.149999999999999" customHeight="1">
      <c r="A10" s="9" t="s">
        <v>186</v>
      </c>
      <c r="B10" s="71">
        <v>9307.7669999999998</v>
      </c>
      <c r="C10" s="71">
        <v>9013.8953167953405</v>
      </c>
      <c r="D10" s="71">
        <v>8672.1277579927191</v>
      </c>
      <c r="E10" s="71">
        <v>8920.1579999999994</v>
      </c>
      <c r="F10" s="71">
        <v>10337.276</v>
      </c>
      <c r="G10" s="48">
        <v>0.15886691693129201</v>
      </c>
      <c r="H10" s="50"/>
      <c r="I10" s="185"/>
      <c r="J10" s="175"/>
      <c r="K10" s="107"/>
      <c r="L10" s="107"/>
      <c r="M10" s="174"/>
      <c r="N10" s="174"/>
      <c r="O10" s="176"/>
    </row>
    <row r="11" spans="1:19" ht="20.149999999999999" customHeight="1">
      <c r="A11" s="95" t="s">
        <v>133</v>
      </c>
      <c r="B11" s="169">
        <v>1867.9580000000001</v>
      </c>
      <c r="C11" s="169">
        <v>2089.9229999999998</v>
      </c>
      <c r="D11" s="169">
        <v>2765.2890000000002</v>
      </c>
      <c r="E11" s="169">
        <v>3045.0160000000001</v>
      </c>
      <c r="F11" s="169">
        <v>3067.607</v>
      </c>
      <c r="G11" s="373">
        <v>7.41900863575098E-3</v>
      </c>
      <c r="I11" s="185"/>
      <c r="J11" s="175"/>
      <c r="K11" s="107"/>
      <c r="L11" s="107"/>
      <c r="M11" s="174"/>
      <c r="N11" s="174"/>
      <c r="O11" s="176"/>
    </row>
    <row r="12" spans="1:19" ht="20.149999999999999" customHeight="1">
      <c r="A12" s="9" t="s">
        <v>42</v>
      </c>
      <c r="B12" s="71">
        <v>2581.4749999999999</v>
      </c>
      <c r="C12" s="71">
        <v>2640.123</v>
      </c>
      <c r="D12" s="71">
        <v>2766.6329999999998</v>
      </c>
      <c r="E12" s="71">
        <v>2930.953</v>
      </c>
      <c r="F12" s="71">
        <v>2996.8490000000002</v>
      </c>
      <c r="G12" s="48">
        <v>2.2482789727436801E-2</v>
      </c>
      <c r="I12" s="185"/>
      <c r="J12" s="175"/>
      <c r="K12" s="107"/>
      <c r="L12" s="107"/>
      <c r="M12" s="174"/>
      <c r="N12" s="174"/>
      <c r="O12" s="176"/>
    </row>
    <row r="13" spans="1:19" ht="20.149999999999999" customHeight="1">
      <c r="A13" s="95" t="s">
        <v>185</v>
      </c>
      <c r="B13" s="169">
        <v>76.534999999999897</v>
      </c>
      <c r="C13" s="169">
        <v>43.704999999999899</v>
      </c>
      <c r="D13" s="169">
        <v>29.5389999999989</v>
      </c>
      <c r="E13" s="169">
        <v>87.298999999999097</v>
      </c>
      <c r="F13" s="169">
        <v>10.700000000000699</v>
      </c>
      <c r="G13" s="373">
        <v>-0.87743273118820597</v>
      </c>
      <c r="I13" s="185"/>
      <c r="J13" s="175"/>
      <c r="K13" s="107"/>
      <c r="L13" s="107"/>
      <c r="M13" s="174"/>
      <c r="N13" s="174"/>
      <c r="O13" s="176"/>
    </row>
    <row r="14" spans="1:19" ht="25" customHeight="1">
      <c r="A14" s="98" t="s">
        <v>132</v>
      </c>
      <c r="B14" s="125">
        <v>13833.735000000001</v>
      </c>
      <c r="C14" s="125">
        <v>13787.646316795301</v>
      </c>
      <c r="D14" s="125">
        <v>14233.5887579927</v>
      </c>
      <c r="E14" s="125">
        <v>14983.425999999999</v>
      </c>
      <c r="F14" s="125">
        <v>16412.432000000001</v>
      </c>
      <c r="G14" s="374">
        <v>9.5372446862286506E-2</v>
      </c>
      <c r="I14" s="185"/>
      <c r="J14" s="175"/>
      <c r="K14" s="176"/>
      <c r="L14" s="176"/>
      <c r="M14" s="176"/>
      <c r="N14" s="176"/>
      <c r="O14" s="176"/>
    </row>
    <row r="15" spans="1:19">
      <c r="E15" s="44"/>
      <c r="F15" s="44"/>
      <c r="G15" s="44"/>
    </row>
    <row r="16" spans="1:19">
      <c r="B16" s="44"/>
      <c r="C16" s="44"/>
      <c r="D16" s="44"/>
      <c r="E16" s="44"/>
      <c r="F16" s="44"/>
    </row>
    <row r="17" spans="1:7">
      <c r="A17" s="131"/>
      <c r="B17" s="181"/>
      <c r="C17" s="181"/>
      <c r="D17" s="181"/>
      <c r="E17" s="181"/>
      <c r="F17" s="400"/>
      <c r="G17" s="113"/>
    </row>
    <row r="18" spans="1:7">
      <c r="A18" s="131"/>
      <c r="B18" s="182"/>
      <c r="C18" s="182"/>
      <c r="D18" s="183"/>
      <c r="E18" s="183"/>
      <c r="F18" s="400"/>
      <c r="G18" s="184"/>
    </row>
    <row r="19" spans="1:7">
      <c r="A19" s="131"/>
      <c r="B19" s="182"/>
      <c r="C19" s="182"/>
      <c r="D19" s="182"/>
      <c r="E19" s="182"/>
      <c r="F19" s="400"/>
      <c r="G19" s="184"/>
    </row>
    <row r="20" spans="1:7">
      <c r="A20" s="113"/>
      <c r="B20" s="186"/>
      <c r="C20" s="186"/>
      <c r="D20" s="186"/>
      <c r="E20" s="186"/>
      <c r="F20" s="400"/>
      <c r="G20" s="184"/>
    </row>
    <row r="21" spans="1:7">
      <c r="A21" s="113"/>
      <c r="B21" s="182"/>
      <c r="C21" s="182"/>
      <c r="D21" s="182"/>
      <c r="E21" s="182"/>
      <c r="F21" s="400"/>
      <c r="G21" s="184"/>
    </row>
    <row r="22" spans="1:7">
      <c r="A22" s="131"/>
      <c r="B22" s="182"/>
      <c r="C22" s="182"/>
      <c r="D22" s="182"/>
      <c r="E22" s="182"/>
      <c r="F22" s="400"/>
      <c r="G22" s="184"/>
    </row>
    <row r="23" spans="1:7">
      <c r="A23" s="131"/>
      <c r="B23" s="182"/>
      <c r="C23" s="182"/>
      <c r="D23" s="182"/>
      <c r="E23" s="182"/>
      <c r="F23" s="185"/>
      <c r="G23" s="184"/>
    </row>
    <row r="24" spans="1:7">
      <c r="A24" s="113"/>
      <c r="B24" s="184"/>
      <c r="C24" s="184"/>
      <c r="D24" s="184"/>
      <c r="E24" s="184"/>
      <c r="F24" s="184"/>
      <c r="G24" s="184"/>
    </row>
  </sheetData>
  <hyperlinks>
    <hyperlink ref="A7" location="Contents!A1" display="Return to Contents" xr:uid="{00000000-0004-0000-1100-000000000000}"/>
  </hyperlinks>
  <pageMargins left="0.25" right="0.25" top="0.75" bottom="0.75" header="0.3" footer="0.3"/>
  <pageSetup paperSize="9" scale="51"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ECF4D7-BE27-4F17-BC9D-401FF6504571}">
  <sheetPr codeName="Sheet18">
    <tabColor rgb="FFDDE5F1"/>
  </sheetPr>
  <dimension ref="A1:H17"/>
  <sheetViews>
    <sheetView zoomScaleNormal="100" workbookViewId="0"/>
  </sheetViews>
  <sheetFormatPr defaultColWidth="9.1796875" defaultRowHeight="15.5"/>
  <cols>
    <col min="1" max="1" width="13.81640625" style="9" customWidth="1"/>
    <col min="2" max="2" width="30.54296875" style="49" customWidth="1"/>
    <col min="3" max="3" width="16.54296875" style="49" customWidth="1"/>
    <col min="4" max="4" width="25.54296875" style="9" customWidth="1"/>
    <col min="5" max="5" width="22.453125" style="9" customWidth="1"/>
    <col min="6" max="16384" width="9.1796875" style="9"/>
  </cols>
  <sheetData>
    <row r="1" spans="1:8" ht="30" customHeight="1">
      <c r="A1" s="22" t="s">
        <v>462</v>
      </c>
      <c r="B1" s="194"/>
      <c r="C1" s="194"/>
      <c r="D1" s="13"/>
    </row>
    <row r="2" spans="1:8" ht="20.149999999999999" customHeight="1">
      <c r="A2" s="7" t="s">
        <v>255</v>
      </c>
    </row>
    <row r="3" spans="1:8" ht="20.149999999999999" customHeight="1">
      <c r="A3" s="54" t="s">
        <v>461</v>
      </c>
    </row>
    <row r="4" spans="1:8" ht="20.149999999999999" customHeight="1">
      <c r="A4" s="54" t="s">
        <v>460</v>
      </c>
    </row>
    <row r="5" spans="1:8" ht="20.149999999999999" customHeight="1">
      <c r="A5" s="7" t="s">
        <v>410</v>
      </c>
    </row>
    <row r="6" spans="1:8" ht="20.149999999999999" customHeight="1">
      <c r="A6" s="15" t="s">
        <v>62</v>
      </c>
      <c r="D6" s="5"/>
      <c r="E6" s="5"/>
      <c r="F6" s="5"/>
    </row>
    <row r="7" spans="1:8" ht="9.75" customHeight="1"/>
    <row r="8" spans="1:8" s="46" customFormat="1" ht="55" customHeight="1">
      <c r="A8" s="104" t="s">
        <v>459</v>
      </c>
      <c r="B8" s="104" t="s">
        <v>458</v>
      </c>
      <c r="C8" s="104" t="s">
        <v>457</v>
      </c>
      <c r="D8" s="96" t="s">
        <v>851</v>
      </c>
      <c r="E8" s="96" t="s">
        <v>456</v>
      </c>
      <c r="H8" s="193"/>
    </row>
    <row r="9" spans="1:8" ht="20.149999999999999" customHeight="1">
      <c r="A9" s="7" t="s">
        <v>115</v>
      </c>
      <c r="B9" s="112" t="s">
        <v>455</v>
      </c>
      <c r="C9" s="112" t="s">
        <v>454</v>
      </c>
      <c r="D9" s="381">
        <v>497867</v>
      </c>
      <c r="E9" s="92">
        <f>D9/$D$17</f>
        <v>0.1913000543698572</v>
      </c>
    </row>
    <row r="10" spans="1:8" ht="20.149999999999999" customHeight="1">
      <c r="A10" s="101" t="s">
        <v>116</v>
      </c>
      <c r="B10" s="205" t="s">
        <v>453</v>
      </c>
      <c r="C10" s="205" t="s">
        <v>452</v>
      </c>
      <c r="D10" s="382">
        <v>581576</v>
      </c>
      <c r="E10" s="114">
        <f>D10/$D$17</f>
        <v>0.22346433971362648</v>
      </c>
    </row>
    <row r="11" spans="1:8" ht="20.149999999999999" customHeight="1">
      <c r="A11" s="7" t="s">
        <v>117</v>
      </c>
      <c r="B11" s="112" t="s">
        <v>451</v>
      </c>
      <c r="C11" s="112" t="s">
        <v>450</v>
      </c>
      <c r="D11" s="381">
        <v>423304</v>
      </c>
      <c r="E11" s="92">
        <f>D11/$D$17</f>
        <v>0.1626500214213395</v>
      </c>
    </row>
    <row r="12" spans="1:8" ht="20.149999999999999" customHeight="1">
      <c r="A12" s="101" t="s">
        <v>118</v>
      </c>
      <c r="B12" s="205" t="s">
        <v>449</v>
      </c>
      <c r="C12" s="205" t="s">
        <v>448</v>
      </c>
      <c r="D12" s="382">
        <v>365001</v>
      </c>
      <c r="E12" s="114">
        <f t="shared" ref="E12:E15" si="0">D12/$D$17</f>
        <v>0.14024771905961281</v>
      </c>
    </row>
    <row r="13" spans="1:8" ht="20.149999999999999" customHeight="1">
      <c r="A13" s="7" t="s">
        <v>119</v>
      </c>
      <c r="B13" s="112" t="s">
        <v>447</v>
      </c>
      <c r="C13" s="112" t="s">
        <v>446</v>
      </c>
      <c r="D13" s="381">
        <v>362354</v>
      </c>
      <c r="E13" s="92">
        <f t="shared" si="0"/>
        <v>0.13923063770271024</v>
      </c>
    </row>
    <row r="14" spans="1:8" ht="20.149999999999999" customHeight="1">
      <c r="A14" s="101" t="s">
        <v>120</v>
      </c>
      <c r="B14" s="205" t="s">
        <v>445</v>
      </c>
      <c r="C14" s="205" t="s">
        <v>444</v>
      </c>
      <c r="D14" s="382">
        <v>217954</v>
      </c>
      <c r="E14" s="114">
        <f t="shared" si="0"/>
        <v>8.3746486612143109E-2</v>
      </c>
    </row>
    <row r="15" spans="1:8" ht="20.149999999999999" customHeight="1">
      <c r="A15" s="7" t="s">
        <v>121</v>
      </c>
      <c r="B15" s="112" t="s">
        <v>443</v>
      </c>
      <c r="C15" s="112" t="s">
        <v>442</v>
      </c>
      <c r="D15" s="381">
        <v>140162</v>
      </c>
      <c r="E15" s="92">
        <f t="shared" si="0"/>
        <v>5.3855745049557258E-2</v>
      </c>
    </row>
    <row r="16" spans="1:8" ht="20.149999999999999" customHeight="1">
      <c r="A16" s="101" t="s">
        <v>122</v>
      </c>
      <c r="B16" s="205" t="s">
        <v>441</v>
      </c>
      <c r="C16" s="205" t="s">
        <v>440</v>
      </c>
      <c r="D16" s="382">
        <v>14327</v>
      </c>
      <c r="E16" s="114">
        <f>D16/$D$17</f>
        <v>5.5049960711534285E-3</v>
      </c>
    </row>
    <row r="17" spans="1:5" ht="25" customHeight="1">
      <c r="A17" s="98" t="s">
        <v>38</v>
      </c>
      <c r="B17" s="122"/>
      <c r="C17" s="122"/>
      <c r="D17" s="192">
        <f>SUM(D9:D16)</f>
        <v>2602545</v>
      </c>
      <c r="E17" s="108">
        <v>0.99999999999999989</v>
      </c>
    </row>
  </sheetData>
  <hyperlinks>
    <hyperlink ref="A6" location="Contents!A1" display="Return to Contents" xr:uid="{B0BFA87B-C366-4140-B766-04F478B9DA3C}"/>
  </hyperlink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3E027-B21F-44CA-A14C-24F0977282B4}">
  <sheetPr codeName="Sheet19">
    <tabColor rgb="FFDDE5F1"/>
    <pageSetUpPr fitToPage="1"/>
  </sheetPr>
  <dimension ref="A1:T43"/>
  <sheetViews>
    <sheetView zoomScaleNormal="100" workbookViewId="0"/>
  </sheetViews>
  <sheetFormatPr defaultColWidth="9.1796875" defaultRowHeight="14"/>
  <cols>
    <col min="1" max="1" width="57.453125" style="4" customWidth="1"/>
    <col min="2" max="9" width="12.81640625" style="4" customWidth="1"/>
    <col min="10" max="10" width="14.453125" style="4" customWidth="1"/>
    <col min="11" max="16384" width="9.1796875" style="4"/>
  </cols>
  <sheetData>
    <row r="1" spans="1:20" ht="30" customHeight="1">
      <c r="A1" s="22" t="s">
        <v>787</v>
      </c>
    </row>
    <row r="2" spans="1:20" s="1" customFormat="1" ht="20.149999999999999" customHeight="1">
      <c r="A2" s="7" t="s">
        <v>470</v>
      </c>
      <c r="B2" s="5"/>
      <c r="C2" s="5"/>
      <c r="D2" s="5"/>
      <c r="E2" s="5"/>
      <c r="F2" s="5"/>
      <c r="G2" s="9"/>
      <c r="H2" s="9"/>
      <c r="I2" s="9"/>
      <c r="J2" s="9"/>
    </row>
    <row r="3" spans="1:20" s="1" customFormat="1" ht="20.149999999999999" customHeight="1">
      <c r="A3" s="7" t="s">
        <v>469</v>
      </c>
      <c r="B3" s="5"/>
      <c r="C3" s="5"/>
      <c r="D3" s="5"/>
      <c r="E3" s="5"/>
      <c r="F3" s="5"/>
      <c r="G3" s="9"/>
      <c r="H3" s="9"/>
      <c r="I3" s="9"/>
      <c r="J3" s="9"/>
    </row>
    <row r="4" spans="1:20" s="9" customFormat="1" ht="20.149999999999999" customHeight="1">
      <c r="A4" s="15" t="s">
        <v>62</v>
      </c>
      <c r="B4" s="5"/>
      <c r="C4" s="5"/>
      <c r="D4" s="5"/>
      <c r="E4" s="5"/>
      <c r="F4" s="6"/>
      <c r="G4" s="7"/>
      <c r="H4" s="7"/>
      <c r="I4" s="8"/>
      <c r="J4" s="8"/>
      <c r="K4" s="7"/>
      <c r="L4" s="7"/>
      <c r="M4" s="7"/>
      <c r="N4" s="7"/>
      <c r="O4" s="7"/>
      <c r="P4" s="7"/>
      <c r="Q4" s="7"/>
      <c r="R4" s="7"/>
      <c r="S4" s="7"/>
      <c r="T4" s="7"/>
    </row>
    <row r="5" spans="1:20" ht="10.4" customHeight="1">
      <c r="A5" s="88"/>
      <c r="B5" s="88"/>
      <c r="C5" s="88"/>
      <c r="D5" s="88"/>
      <c r="E5" s="88"/>
      <c r="F5" s="88"/>
      <c r="G5" s="88"/>
      <c r="H5" s="88"/>
      <c r="I5" s="88"/>
      <c r="J5" s="88"/>
    </row>
    <row r="6" spans="1:20" ht="25" customHeight="1">
      <c r="A6" s="104" t="s">
        <v>249</v>
      </c>
      <c r="B6" s="96" t="s">
        <v>115</v>
      </c>
      <c r="C6" s="96" t="s">
        <v>116</v>
      </c>
      <c r="D6" s="96" t="s">
        <v>117</v>
      </c>
      <c r="E6" s="96" t="s">
        <v>118</v>
      </c>
      <c r="F6" s="96" t="s">
        <v>119</v>
      </c>
      <c r="G6" s="96" t="s">
        <v>120</v>
      </c>
      <c r="H6" s="96" t="s">
        <v>121</v>
      </c>
      <c r="I6" s="96" t="s">
        <v>122</v>
      </c>
      <c r="J6" s="96" t="s">
        <v>38</v>
      </c>
    </row>
    <row r="7" spans="1:20" ht="20.149999999999999" customHeight="1">
      <c r="A7" s="7" t="s">
        <v>468</v>
      </c>
      <c r="B7" s="198">
        <v>257.78479961975671</v>
      </c>
      <c r="C7" s="198">
        <v>430.48582171441461</v>
      </c>
      <c r="D7" s="198">
        <v>397.11780028764178</v>
      </c>
      <c r="E7" s="198">
        <v>429.10249915490795</v>
      </c>
      <c r="F7" s="198">
        <v>596.75538360248697</v>
      </c>
      <c r="G7" s="198">
        <v>460.81447797227389</v>
      </c>
      <c r="H7" s="198">
        <v>363.02186068651781</v>
      </c>
      <c r="I7" s="198">
        <v>46.58477300674339</v>
      </c>
      <c r="J7" s="198">
        <v>2981.6674160447428</v>
      </c>
    </row>
    <row r="8" spans="1:20" ht="20.149999999999999" customHeight="1">
      <c r="A8" s="101" t="s">
        <v>467</v>
      </c>
      <c r="B8" s="206">
        <v>129.88024840302114</v>
      </c>
      <c r="C8" s="206">
        <v>119.99540114669657</v>
      </c>
      <c r="D8" s="206">
        <v>71.744622070135904</v>
      </c>
      <c r="E8" s="206">
        <v>36.055502715092096</v>
      </c>
      <c r="F8" s="206">
        <v>21.087466714818625</v>
      </c>
      <c r="G8" s="206">
        <v>7.9794454867884363</v>
      </c>
      <c r="H8" s="206">
        <v>3.4014414524405998</v>
      </c>
      <c r="I8" s="206">
        <v>0.15853198100660087</v>
      </c>
      <c r="J8" s="206">
        <v>390.30265996999998</v>
      </c>
    </row>
    <row r="9" spans="1:20" ht="20.149999999999999" customHeight="1">
      <c r="A9" s="7" t="s">
        <v>466</v>
      </c>
      <c r="B9" s="198">
        <v>70.924462338333342</v>
      </c>
      <c r="C9" s="198">
        <v>79.126668677777801</v>
      </c>
      <c r="D9" s="198">
        <v>56.938358944444438</v>
      </c>
      <c r="E9" s="198">
        <v>44.967119810000007</v>
      </c>
      <c r="F9" s="198">
        <v>44.514750569513893</v>
      </c>
      <c r="G9" s="198">
        <v>24.465192257187496</v>
      </c>
      <c r="H9" s="198">
        <v>15.504144191666667</v>
      </c>
      <c r="I9" s="198">
        <v>1.5361088154999998</v>
      </c>
      <c r="J9" s="198">
        <v>337.97680560442365</v>
      </c>
    </row>
    <row r="10" spans="1:20" ht="20.149999999999999" customHeight="1">
      <c r="A10" s="101" t="s">
        <v>465</v>
      </c>
      <c r="B10" s="206">
        <v>50.311447839999978</v>
      </c>
      <c r="C10" s="206">
        <v>33.09704129666666</v>
      </c>
      <c r="D10" s="206">
        <v>25.084836346666666</v>
      </c>
      <c r="E10" s="206">
        <v>21.435691350000006</v>
      </c>
      <c r="F10" s="206">
        <v>25.456741815694439</v>
      </c>
      <c r="G10" s="206">
        <v>13.560868944999999</v>
      </c>
      <c r="H10" s="206">
        <v>7.0888758345833356</v>
      </c>
      <c r="I10" s="206">
        <v>2.0040165530000005</v>
      </c>
      <c r="J10" s="206">
        <v>178.03951998161114</v>
      </c>
    </row>
    <row r="11" spans="1:20" ht="20.149999999999999" customHeight="1">
      <c r="A11" s="7" t="s">
        <v>464</v>
      </c>
      <c r="B11" s="198">
        <v>12.447652885555554</v>
      </c>
      <c r="C11" s="198">
        <v>12.488856611111114</v>
      </c>
      <c r="D11" s="198">
        <v>10.634730431111111</v>
      </c>
      <c r="E11" s="198">
        <v>9.6136651622222242</v>
      </c>
      <c r="F11" s="198">
        <v>11.486669881763888</v>
      </c>
      <c r="G11" s="198">
        <v>7.1103813021111097</v>
      </c>
      <c r="H11" s="198">
        <v>5.7295464806250003</v>
      </c>
      <c r="I11" s="198">
        <v>1.676082893666667</v>
      </c>
      <c r="J11" s="198">
        <v>71.187585648166674</v>
      </c>
    </row>
    <row r="12" spans="1:20" ht="25" customHeight="1">
      <c r="A12" s="98" t="s">
        <v>463</v>
      </c>
      <c r="B12" s="192">
        <v>521.34861108666666</v>
      </c>
      <c r="C12" s="192">
        <v>675.19378944666687</v>
      </c>
      <c r="D12" s="192">
        <v>561.52034807999996</v>
      </c>
      <c r="E12" s="192">
        <v>541.17447819222218</v>
      </c>
      <c r="F12" s="192">
        <v>699.30101258427783</v>
      </c>
      <c r="G12" s="192">
        <v>513.93036596336094</v>
      </c>
      <c r="H12" s="192">
        <v>394.74586864583347</v>
      </c>
      <c r="I12" s="192">
        <v>51.959513249916661</v>
      </c>
      <c r="J12" s="192">
        <v>3959.1739872489443</v>
      </c>
    </row>
    <row r="13" spans="1:20">
      <c r="A13" s="3"/>
      <c r="B13" s="3"/>
      <c r="C13" s="3"/>
      <c r="D13" s="3"/>
      <c r="E13" s="3"/>
      <c r="F13" s="3"/>
      <c r="G13" s="3"/>
      <c r="H13" s="3"/>
      <c r="I13" s="3"/>
      <c r="J13" s="3"/>
    </row>
    <row r="14" spans="1:20">
      <c r="A14" s="3"/>
      <c r="B14" s="3"/>
      <c r="C14" s="3"/>
      <c r="D14" s="3"/>
      <c r="E14" s="3"/>
      <c r="F14" s="3"/>
      <c r="G14" s="3"/>
      <c r="H14" s="3"/>
      <c r="I14" s="3"/>
      <c r="J14" s="3"/>
    </row>
    <row r="15" spans="1:20">
      <c r="A15" s="3"/>
      <c r="B15" s="3"/>
      <c r="C15" s="3"/>
      <c r="D15" s="3"/>
      <c r="E15" s="3"/>
      <c r="F15" s="3"/>
      <c r="G15" s="3"/>
      <c r="H15" s="3"/>
      <c r="I15" s="3"/>
      <c r="J15" s="3"/>
    </row>
    <row r="16" spans="1:20">
      <c r="A16" s="3"/>
      <c r="B16" s="3"/>
      <c r="C16" s="3"/>
      <c r="D16" s="3"/>
      <c r="E16" s="3"/>
      <c r="F16" s="3"/>
      <c r="G16" s="3"/>
      <c r="H16" s="3"/>
      <c r="I16" s="3"/>
      <c r="J16" s="3"/>
    </row>
    <row r="17" spans="1:10">
      <c r="A17" s="3"/>
      <c r="B17" s="3"/>
      <c r="C17" s="3"/>
      <c r="D17" s="3"/>
      <c r="E17" s="3"/>
      <c r="F17" s="3"/>
      <c r="G17" s="3"/>
      <c r="H17" s="3"/>
      <c r="I17" s="3"/>
      <c r="J17" s="3"/>
    </row>
    <row r="18" spans="1:10">
      <c r="A18" s="3"/>
      <c r="B18" s="3"/>
      <c r="C18" s="3"/>
      <c r="D18" s="3"/>
      <c r="E18" s="3"/>
      <c r="F18" s="3"/>
      <c r="G18" s="3"/>
      <c r="H18" s="3"/>
      <c r="I18" s="3"/>
      <c r="J18" s="3"/>
    </row>
    <row r="19" spans="1:10">
      <c r="A19" s="3"/>
      <c r="B19" s="3"/>
      <c r="C19" s="3"/>
      <c r="D19" s="3"/>
      <c r="E19" s="3"/>
      <c r="F19" s="3"/>
      <c r="G19" s="3"/>
      <c r="H19" s="3"/>
      <c r="I19" s="3"/>
      <c r="J19" s="3"/>
    </row>
    <row r="20" spans="1:10">
      <c r="A20" s="3"/>
      <c r="B20" s="3"/>
      <c r="C20" s="3"/>
      <c r="D20" s="3"/>
      <c r="E20" s="3"/>
      <c r="F20" s="3"/>
      <c r="G20" s="3"/>
      <c r="H20" s="3"/>
      <c r="I20" s="3"/>
      <c r="J20" s="3"/>
    </row>
    <row r="21" spans="1:10">
      <c r="A21" s="3"/>
      <c r="B21" s="3"/>
      <c r="C21" s="3"/>
      <c r="D21" s="3"/>
      <c r="E21" s="3"/>
      <c r="F21" s="3"/>
      <c r="G21" s="3"/>
      <c r="H21" s="3"/>
      <c r="I21" s="3"/>
      <c r="J21" s="3"/>
    </row>
    <row r="22" spans="1:10">
      <c r="A22" s="3"/>
      <c r="B22" s="3"/>
      <c r="C22" s="3"/>
      <c r="D22" s="3"/>
      <c r="E22" s="3"/>
      <c r="F22" s="3"/>
      <c r="G22" s="3"/>
      <c r="H22" s="3"/>
      <c r="I22" s="3"/>
      <c r="J22" s="3"/>
    </row>
    <row r="23" spans="1:10">
      <c r="A23" s="3"/>
      <c r="B23" s="3"/>
      <c r="C23" s="3"/>
      <c r="D23" s="3"/>
      <c r="E23" s="3"/>
      <c r="F23" s="3"/>
      <c r="G23" s="3"/>
      <c r="H23" s="3"/>
      <c r="I23" s="3"/>
      <c r="J23" s="3"/>
    </row>
    <row r="24" spans="1:10">
      <c r="A24" s="3"/>
      <c r="B24" s="3"/>
      <c r="C24" s="3"/>
      <c r="D24" s="3"/>
      <c r="E24" s="3"/>
      <c r="F24" s="3"/>
      <c r="G24" s="3"/>
      <c r="H24" s="3"/>
      <c r="I24" s="3"/>
      <c r="J24" s="3"/>
    </row>
    <row r="25" spans="1:10">
      <c r="A25" s="3"/>
      <c r="B25" s="3"/>
      <c r="C25" s="3"/>
      <c r="D25" s="3"/>
      <c r="E25" s="3"/>
      <c r="F25" s="3"/>
      <c r="G25" s="3"/>
      <c r="H25" s="3"/>
      <c r="I25" s="3"/>
      <c r="J25" s="3"/>
    </row>
    <row r="26" spans="1:10">
      <c r="A26" s="3"/>
      <c r="B26" s="3"/>
      <c r="C26" s="3"/>
      <c r="D26" s="3"/>
      <c r="E26" s="3"/>
      <c r="F26" s="3"/>
      <c r="G26" s="3"/>
      <c r="H26" s="3"/>
      <c r="I26" s="3"/>
      <c r="J26" s="3"/>
    </row>
    <row r="27" spans="1:10">
      <c r="A27" s="3"/>
      <c r="B27" s="3"/>
      <c r="C27" s="3"/>
      <c r="D27" s="3"/>
      <c r="E27" s="3"/>
      <c r="F27" s="3"/>
      <c r="G27" s="3"/>
      <c r="H27" s="3"/>
      <c r="I27" s="3"/>
      <c r="J27" s="3"/>
    </row>
    <row r="28" spans="1:10">
      <c r="A28" s="3"/>
      <c r="B28" s="3"/>
      <c r="C28" s="3"/>
      <c r="D28" s="3"/>
      <c r="E28" s="3"/>
      <c r="F28" s="3"/>
      <c r="G28" s="3"/>
      <c r="H28" s="3"/>
      <c r="I28" s="3"/>
      <c r="J28" s="3"/>
    </row>
    <row r="29" spans="1:10">
      <c r="A29" s="3"/>
      <c r="B29" s="3"/>
      <c r="C29" s="3"/>
      <c r="D29" s="3"/>
      <c r="E29" s="3"/>
      <c r="F29" s="3"/>
      <c r="G29" s="3"/>
      <c r="H29" s="3"/>
      <c r="I29" s="3"/>
      <c r="J29" s="3"/>
    </row>
    <row r="30" spans="1:10">
      <c r="A30" s="3"/>
      <c r="B30" s="3"/>
      <c r="C30" s="3"/>
      <c r="D30" s="3"/>
      <c r="E30" s="3"/>
      <c r="F30" s="3"/>
      <c r="G30" s="3"/>
      <c r="H30" s="3"/>
      <c r="I30" s="3"/>
      <c r="J30" s="3"/>
    </row>
    <row r="31" spans="1:10">
      <c r="A31" s="3"/>
      <c r="B31" s="3"/>
      <c r="C31" s="3"/>
      <c r="D31" s="3"/>
      <c r="E31" s="3"/>
      <c r="F31" s="3"/>
      <c r="G31" s="3"/>
      <c r="H31" s="3"/>
      <c r="I31" s="3"/>
      <c r="J31" s="3"/>
    </row>
    <row r="32" spans="1:10">
      <c r="A32" s="3"/>
      <c r="B32" s="3"/>
      <c r="C32" s="3"/>
      <c r="D32" s="3"/>
      <c r="E32" s="3"/>
      <c r="F32" s="3"/>
      <c r="G32" s="3"/>
      <c r="H32" s="3"/>
      <c r="I32" s="3"/>
      <c r="J32" s="3"/>
    </row>
    <row r="33" spans="1:10">
      <c r="A33" s="3"/>
      <c r="B33" s="3"/>
      <c r="C33" s="3"/>
      <c r="D33" s="3"/>
      <c r="E33" s="3"/>
      <c r="F33" s="3"/>
      <c r="G33" s="3"/>
      <c r="H33" s="3"/>
      <c r="I33" s="3"/>
      <c r="J33" s="3"/>
    </row>
    <row r="34" spans="1:10">
      <c r="A34" s="3"/>
      <c r="B34" s="3"/>
      <c r="C34" s="3"/>
      <c r="D34" s="3"/>
      <c r="E34" s="3"/>
      <c r="F34" s="3"/>
      <c r="G34" s="3"/>
      <c r="H34" s="3"/>
      <c r="I34" s="3"/>
      <c r="J34" s="3"/>
    </row>
    <row r="35" spans="1:10">
      <c r="A35" s="3"/>
      <c r="B35" s="3"/>
      <c r="C35" s="3"/>
      <c r="D35" s="3"/>
      <c r="E35" s="3"/>
      <c r="F35" s="3"/>
      <c r="G35" s="3"/>
      <c r="H35" s="3"/>
      <c r="I35" s="3"/>
      <c r="J35" s="3"/>
    </row>
    <row r="36" spans="1:10">
      <c r="A36" s="3"/>
      <c r="B36" s="3"/>
      <c r="C36" s="3"/>
      <c r="D36" s="3"/>
      <c r="E36" s="3"/>
      <c r="F36" s="3"/>
      <c r="G36" s="3"/>
      <c r="H36" s="3"/>
      <c r="I36" s="3"/>
      <c r="J36" s="3"/>
    </row>
    <row r="37" spans="1:10">
      <c r="A37" s="3"/>
      <c r="B37" s="3"/>
      <c r="C37" s="3"/>
      <c r="D37" s="3"/>
      <c r="E37" s="3"/>
      <c r="F37" s="3"/>
      <c r="G37" s="3"/>
      <c r="H37" s="3"/>
      <c r="I37" s="3"/>
      <c r="J37" s="3"/>
    </row>
    <row r="38" spans="1:10">
      <c r="A38" s="3"/>
      <c r="B38" s="3"/>
      <c r="C38" s="3"/>
      <c r="D38" s="3"/>
      <c r="E38" s="3"/>
      <c r="F38" s="3"/>
      <c r="G38" s="3"/>
      <c r="H38" s="3"/>
      <c r="I38" s="3"/>
      <c r="J38" s="3"/>
    </row>
    <row r="39" spans="1:10">
      <c r="A39" s="3"/>
      <c r="B39" s="3"/>
      <c r="C39" s="3"/>
      <c r="D39" s="3"/>
      <c r="E39" s="3"/>
      <c r="F39" s="3"/>
      <c r="G39" s="3"/>
      <c r="H39" s="3"/>
      <c r="I39" s="3"/>
      <c r="J39" s="3"/>
    </row>
    <row r="40" spans="1:10">
      <c r="A40" s="3"/>
      <c r="B40" s="3"/>
      <c r="C40" s="3"/>
      <c r="D40" s="3"/>
      <c r="E40" s="3"/>
      <c r="F40" s="3"/>
      <c r="G40" s="3"/>
      <c r="H40" s="3"/>
      <c r="I40" s="3"/>
      <c r="J40" s="3"/>
    </row>
    <row r="41" spans="1:10">
      <c r="A41" s="3"/>
      <c r="B41" s="3"/>
      <c r="C41" s="3"/>
      <c r="D41" s="3"/>
      <c r="E41" s="3"/>
      <c r="F41" s="3"/>
      <c r="G41" s="3"/>
      <c r="H41" s="3"/>
      <c r="I41" s="3"/>
      <c r="J41" s="3"/>
    </row>
    <row r="42" spans="1:10">
      <c r="A42" s="3"/>
      <c r="B42" s="3"/>
      <c r="C42" s="3"/>
      <c r="D42" s="3"/>
      <c r="E42" s="3"/>
      <c r="F42" s="3"/>
      <c r="G42" s="3"/>
      <c r="H42" s="3"/>
      <c r="I42" s="3"/>
      <c r="J42" s="3"/>
    </row>
    <row r="43" spans="1:10">
      <c r="A43" s="3"/>
      <c r="B43" s="3"/>
      <c r="C43" s="3"/>
      <c r="D43" s="3"/>
      <c r="E43" s="3"/>
      <c r="F43" s="3"/>
      <c r="G43" s="3"/>
      <c r="H43" s="3"/>
      <c r="I43" s="3"/>
      <c r="J43" s="3"/>
    </row>
  </sheetData>
  <hyperlinks>
    <hyperlink ref="A4" location="Contents!A1" display="Return to Contents" xr:uid="{64414B21-B776-4526-A77C-0353CDEA6C45}"/>
  </hyperlinks>
  <pageMargins left="0.7" right="0.7" top="0.75" bottom="0.75" header="0.3" footer="0.3"/>
  <pageSetup paperSize="9" scale="46"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59B09-928F-495E-8BC3-551AA449BE4B}">
  <sheetPr codeName="Sheet20">
    <tabColor rgb="FFDDE5F1"/>
  </sheetPr>
  <dimension ref="A1:F41"/>
  <sheetViews>
    <sheetView zoomScaleNormal="100" workbookViewId="0"/>
  </sheetViews>
  <sheetFormatPr defaultColWidth="9.1796875" defaultRowHeight="15.5"/>
  <cols>
    <col min="1" max="1" width="29.54296875" style="9" customWidth="1"/>
    <col min="2" max="2" width="38.54296875" style="9" customWidth="1"/>
    <col min="3" max="16384" width="9.1796875" style="9"/>
  </cols>
  <sheetData>
    <row r="1" spans="1:6" ht="30" customHeight="1">
      <c r="A1" s="22" t="s">
        <v>788</v>
      </c>
      <c r="B1" s="36"/>
      <c r="C1" s="37"/>
      <c r="D1" s="38"/>
      <c r="E1" s="38"/>
      <c r="F1" s="22"/>
    </row>
    <row r="2" spans="1:6" ht="20.149999999999999" customHeight="1">
      <c r="A2" s="7" t="s">
        <v>789</v>
      </c>
      <c r="B2" s="5"/>
      <c r="C2" s="6"/>
      <c r="D2" s="7"/>
      <c r="E2" s="7"/>
      <c r="F2" s="8"/>
    </row>
    <row r="3" spans="1:6" ht="20.149999999999999" customHeight="1">
      <c r="A3" s="7" t="s">
        <v>411</v>
      </c>
    </row>
    <row r="4" spans="1:6" ht="20.149999999999999" customHeight="1">
      <c r="A4" s="15" t="s">
        <v>62</v>
      </c>
      <c r="B4" s="5"/>
      <c r="C4" s="5"/>
    </row>
    <row r="5" spans="1:6" ht="9.75" customHeight="1"/>
    <row r="6" spans="1:6" ht="25" customHeight="1">
      <c r="A6" s="104" t="s">
        <v>5</v>
      </c>
      <c r="B6" s="96" t="s">
        <v>471</v>
      </c>
      <c r="D6" s="106"/>
      <c r="E6" s="106"/>
    </row>
    <row r="7" spans="1:6" ht="20.149999999999999" customHeight="1">
      <c r="A7" s="9" t="s">
        <v>6</v>
      </c>
      <c r="B7" s="208">
        <v>143678</v>
      </c>
      <c r="D7" s="107"/>
      <c r="E7" s="174"/>
    </row>
    <row r="8" spans="1:6" ht="20.149999999999999" customHeight="1">
      <c r="A8" s="95" t="s">
        <v>7</v>
      </c>
      <c r="B8" s="209">
        <v>170446</v>
      </c>
      <c r="D8" s="107"/>
      <c r="E8" s="174"/>
    </row>
    <row r="9" spans="1:6" ht="20.149999999999999" customHeight="1">
      <c r="A9" s="9" t="s">
        <v>8</v>
      </c>
      <c r="B9" s="208">
        <v>58344</v>
      </c>
      <c r="D9" s="107"/>
      <c r="E9" s="174"/>
    </row>
    <row r="10" spans="1:6" ht="20.149999999999999" customHeight="1">
      <c r="A10" s="95" t="s">
        <v>127</v>
      </c>
      <c r="B10" s="209">
        <v>66948</v>
      </c>
      <c r="D10" s="107"/>
      <c r="E10" s="174"/>
    </row>
    <row r="11" spans="1:6" ht="20.149999999999999" customHeight="1">
      <c r="A11" s="9" t="s">
        <v>113</v>
      </c>
      <c r="B11" s="208">
        <v>330188</v>
      </c>
      <c r="D11" s="107"/>
      <c r="E11" s="174"/>
    </row>
    <row r="12" spans="1:6" ht="20.149999999999999" customHeight="1">
      <c r="A12" s="95" t="s">
        <v>9</v>
      </c>
      <c r="B12" s="209">
        <v>26005</v>
      </c>
      <c r="D12" s="107"/>
      <c r="E12" s="174"/>
    </row>
    <row r="13" spans="1:6" ht="20.149999999999999" customHeight="1">
      <c r="A13" s="9" t="s">
        <v>10</v>
      </c>
      <c r="B13" s="208">
        <v>79364</v>
      </c>
      <c r="D13" s="107"/>
      <c r="E13" s="174"/>
    </row>
    <row r="14" spans="1:6" ht="20.149999999999999" customHeight="1">
      <c r="A14" s="95" t="s">
        <v>11</v>
      </c>
      <c r="B14" s="209">
        <v>66343</v>
      </c>
      <c r="D14" s="107"/>
      <c r="E14" s="174"/>
    </row>
    <row r="15" spans="1:6" ht="20.149999999999999" customHeight="1">
      <c r="A15" s="9" t="s">
        <v>12</v>
      </c>
      <c r="B15" s="208">
        <v>59317</v>
      </c>
      <c r="D15" s="107"/>
      <c r="E15" s="174"/>
    </row>
    <row r="16" spans="1:6" ht="20.149999999999999" customHeight="1">
      <c r="A16" s="95" t="s">
        <v>13</v>
      </c>
      <c r="B16" s="209">
        <v>72555</v>
      </c>
      <c r="D16" s="107"/>
      <c r="E16" s="174"/>
    </row>
    <row r="17" spans="1:5" ht="20.149999999999999" customHeight="1">
      <c r="A17" s="9" t="s">
        <v>14</v>
      </c>
      <c r="B17" s="208">
        <v>72867</v>
      </c>
      <c r="D17" s="107"/>
      <c r="E17" s="174"/>
    </row>
    <row r="18" spans="1:5" ht="20.149999999999999" customHeight="1">
      <c r="A18" s="95" t="s">
        <v>15</v>
      </c>
      <c r="B18" s="209">
        <v>63328</v>
      </c>
      <c r="D18" s="107"/>
      <c r="E18" s="174"/>
    </row>
    <row r="19" spans="1:5" ht="20.149999999999999" customHeight="1">
      <c r="A19" s="9" t="s">
        <v>17</v>
      </c>
      <c r="B19" s="208">
        <v>78618</v>
      </c>
      <c r="D19" s="107"/>
      <c r="E19" s="174"/>
    </row>
    <row r="20" spans="1:5" ht="20.149999999999999" customHeight="1">
      <c r="A20" s="95" t="s">
        <v>18</v>
      </c>
      <c r="B20" s="209">
        <v>194348</v>
      </c>
      <c r="D20" s="107"/>
      <c r="E20" s="174"/>
    </row>
    <row r="21" spans="1:5" ht="20.149999999999999" customHeight="1">
      <c r="A21" s="9" t="s">
        <v>19</v>
      </c>
      <c r="B21" s="208">
        <v>276965</v>
      </c>
      <c r="D21" s="107"/>
      <c r="E21" s="174"/>
    </row>
    <row r="22" spans="1:5" ht="20.149999999999999" customHeight="1">
      <c r="A22" s="95" t="s">
        <v>20</v>
      </c>
      <c r="B22" s="209">
        <v>153234</v>
      </c>
      <c r="D22" s="107"/>
      <c r="E22" s="174"/>
    </row>
    <row r="23" spans="1:5" ht="20.149999999999999" customHeight="1">
      <c r="A23" s="9" t="s">
        <v>21</v>
      </c>
      <c r="B23" s="208">
        <v>36037</v>
      </c>
      <c r="D23" s="107"/>
      <c r="E23" s="174"/>
    </row>
    <row r="24" spans="1:5" ht="20.149999999999999" customHeight="1">
      <c r="A24" s="95" t="s">
        <v>22</v>
      </c>
      <c r="B24" s="209">
        <v>58294</v>
      </c>
      <c r="D24" s="107"/>
      <c r="E24" s="174"/>
    </row>
    <row r="25" spans="1:5" ht="20.149999999999999" customHeight="1">
      <c r="A25" s="9" t="s">
        <v>23</v>
      </c>
      <c r="B25" s="208">
        <v>52553</v>
      </c>
      <c r="D25" s="107"/>
      <c r="E25" s="174"/>
    </row>
    <row r="26" spans="1:5" ht="20.149999999999999" customHeight="1">
      <c r="A26" s="95" t="s">
        <v>114</v>
      </c>
      <c r="B26" s="209">
        <v>14681</v>
      </c>
      <c r="D26" s="107"/>
      <c r="E26" s="174"/>
    </row>
    <row r="27" spans="1:5" ht="20.149999999999999" customHeight="1">
      <c r="A27" s="9" t="s">
        <v>24</v>
      </c>
      <c r="B27" s="208">
        <v>66140</v>
      </c>
      <c r="D27" s="107"/>
      <c r="E27" s="174"/>
    </row>
    <row r="28" spans="1:5" ht="20.149999999999999" customHeight="1">
      <c r="A28" s="95" t="s">
        <v>25</v>
      </c>
      <c r="B28" s="209">
        <v>141657</v>
      </c>
      <c r="D28" s="107"/>
      <c r="E28" s="174"/>
    </row>
    <row r="29" spans="1:5" ht="20.149999999999999" customHeight="1">
      <c r="A29" s="9" t="s">
        <v>26</v>
      </c>
      <c r="B29" s="208">
        <v>12461</v>
      </c>
      <c r="D29" s="107"/>
      <c r="E29" s="174"/>
    </row>
    <row r="30" spans="1:5" ht="20.149999999999999" customHeight="1">
      <c r="A30" s="95" t="s">
        <v>27</v>
      </c>
      <c r="B30" s="209">
        <v>100379</v>
      </c>
      <c r="D30" s="107"/>
      <c r="E30" s="174"/>
    </row>
    <row r="31" spans="1:5" ht="20.149999999999999" customHeight="1">
      <c r="A31" s="9" t="s">
        <v>16</v>
      </c>
      <c r="B31" s="208">
        <v>97701</v>
      </c>
      <c r="D31" s="107"/>
      <c r="E31" s="174"/>
    </row>
    <row r="32" spans="1:5" ht="20.149999999999999" customHeight="1">
      <c r="A32" s="95" t="s">
        <v>28</v>
      </c>
      <c r="B32" s="209">
        <v>69499</v>
      </c>
      <c r="D32" s="107"/>
      <c r="E32" s="174"/>
    </row>
    <row r="33" spans="1:6" ht="20.149999999999999" customHeight="1">
      <c r="A33" s="9" t="s">
        <v>29</v>
      </c>
      <c r="B33" s="208">
        <v>11328</v>
      </c>
      <c r="D33" s="107"/>
      <c r="E33" s="174"/>
    </row>
    <row r="34" spans="1:6" ht="20.149999999999999" customHeight="1">
      <c r="A34" s="95" t="s">
        <v>30</v>
      </c>
      <c r="B34" s="209">
        <v>67939</v>
      </c>
      <c r="D34" s="107"/>
      <c r="E34" s="174"/>
    </row>
    <row r="35" spans="1:6" ht="20.149999999999999" customHeight="1">
      <c r="A35" s="9" t="s">
        <v>31</v>
      </c>
      <c r="B35" s="208">
        <v>161060</v>
      </c>
      <c r="D35" s="107"/>
      <c r="E35" s="174"/>
    </row>
    <row r="36" spans="1:6" ht="20.149999999999999" customHeight="1">
      <c r="A36" s="95" t="s">
        <v>32</v>
      </c>
      <c r="B36" s="209">
        <v>60177</v>
      </c>
      <c r="D36" s="107"/>
      <c r="E36" s="174"/>
    </row>
    <row r="37" spans="1:6" ht="20.149999999999999" customHeight="1">
      <c r="A37" s="9" t="s">
        <v>33</v>
      </c>
      <c r="B37" s="208">
        <v>41701</v>
      </c>
      <c r="D37" s="107"/>
      <c r="E37" s="174"/>
    </row>
    <row r="38" spans="1:6" ht="20.149999999999999" customHeight="1">
      <c r="A38" s="95" t="s">
        <v>34</v>
      </c>
      <c r="B38" s="209">
        <v>92694</v>
      </c>
      <c r="D38" s="107"/>
      <c r="E38" s="174"/>
    </row>
    <row r="39" spans="1:6" ht="25" customHeight="1">
      <c r="A39" s="104" t="s">
        <v>60</v>
      </c>
      <c r="B39" s="210">
        <v>2996849</v>
      </c>
      <c r="D39" s="172"/>
      <c r="E39" s="175"/>
    </row>
    <row r="40" spans="1:6">
      <c r="A40" s="19"/>
      <c r="C40" s="18"/>
      <c r="D40" s="18"/>
      <c r="E40" s="18"/>
      <c r="F40" s="18"/>
    </row>
    <row r="41" spans="1:6">
      <c r="A41" s="19"/>
      <c r="C41" s="18"/>
      <c r="D41" s="18"/>
      <c r="E41" s="18"/>
      <c r="F41" s="18"/>
    </row>
  </sheetData>
  <hyperlinks>
    <hyperlink ref="A4" location="Contents!A1" display="Return to Contents" xr:uid="{DB07FDBC-7DBE-4843-963F-96B76AE5067E}"/>
  </hyperlink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24F8F4-73F5-41AA-9DAB-ADAD44995DFD}">
  <sheetPr codeName="Sheet21">
    <tabColor rgb="FFDDE5F1"/>
  </sheetPr>
  <dimension ref="A1:G16"/>
  <sheetViews>
    <sheetView zoomScaleNormal="100" workbookViewId="0"/>
  </sheetViews>
  <sheetFormatPr defaultColWidth="9.1796875" defaultRowHeight="15.5"/>
  <cols>
    <col min="1" max="1" width="14.54296875" style="9" customWidth="1"/>
    <col min="2" max="4" width="18.54296875" style="9" customWidth="1"/>
    <col min="5" max="5" width="16" style="9" bestFit="1" customWidth="1"/>
    <col min="6" max="16384" width="9.1796875" style="9"/>
  </cols>
  <sheetData>
    <row r="1" spans="1:7" ht="30" customHeight="1">
      <c r="A1" s="22" t="s">
        <v>810</v>
      </c>
      <c r="B1" s="36"/>
      <c r="C1" s="36"/>
      <c r="D1" s="36"/>
      <c r="E1" s="13"/>
    </row>
    <row r="2" spans="1:7" ht="20.149999999999999" customHeight="1">
      <c r="A2" s="7" t="s">
        <v>214</v>
      </c>
      <c r="B2" s="5"/>
      <c r="C2" s="36"/>
      <c r="D2" s="36"/>
      <c r="E2" s="13"/>
    </row>
    <row r="3" spans="1:7" ht="20.149999999999999" customHeight="1">
      <c r="A3" s="7" t="s">
        <v>410</v>
      </c>
      <c r="C3" s="36"/>
      <c r="D3" s="36"/>
      <c r="E3" s="13"/>
    </row>
    <row r="4" spans="1:7" ht="20.149999999999999" customHeight="1">
      <c r="A4" s="15" t="s">
        <v>62</v>
      </c>
      <c r="B4" s="5"/>
      <c r="C4" s="5"/>
      <c r="D4" s="5"/>
      <c r="E4" s="5"/>
      <c r="F4" s="5"/>
    </row>
    <row r="5" spans="1:7" ht="10" customHeight="1"/>
    <row r="6" spans="1:7" ht="40" customHeight="1">
      <c r="A6" s="104" t="s">
        <v>258</v>
      </c>
      <c r="B6" s="96" t="s">
        <v>474</v>
      </c>
      <c r="C6" s="96" t="s">
        <v>473</v>
      </c>
      <c r="D6" s="96" t="s">
        <v>472</v>
      </c>
    </row>
    <row r="7" spans="1:7" ht="20.149999999999999" customHeight="1">
      <c r="A7" s="9" t="s">
        <v>188</v>
      </c>
      <c r="B7" s="207">
        <v>2653732</v>
      </c>
      <c r="C7" s="207">
        <v>130845</v>
      </c>
      <c r="D7" s="207">
        <v>2522887</v>
      </c>
    </row>
    <row r="8" spans="1:7" ht="20.149999999999999" customHeight="1">
      <c r="A8" s="95" t="s">
        <v>424</v>
      </c>
      <c r="B8" s="196">
        <v>2674729</v>
      </c>
      <c r="C8" s="196">
        <v>134096</v>
      </c>
      <c r="D8" s="196">
        <v>2540633</v>
      </c>
      <c r="E8" s="48"/>
    </row>
    <row r="9" spans="1:7" ht="20.149999999999999" customHeight="1">
      <c r="A9" s="9" t="s">
        <v>600</v>
      </c>
      <c r="B9" s="207">
        <v>2699040</v>
      </c>
      <c r="C9" s="207">
        <v>136683</v>
      </c>
      <c r="D9" s="207">
        <v>2562357</v>
      </c>
      <c r="E9" s="48"/>
    </row>
    <row r="10" spans="1:7" ht="20.149999999999999" customHeight="1">
      <c r="A10" s="95" t="s">
        <v>636</v>
      </c>
      <c r="B10" s="209">
        <v>2720920</v>
      </c>
      <c r="C10" s="209">
        <v>139192</v>
      </c>
      <c r="D10" s="209">
        <v>2581728</v>
      </c>
      <c r="E10" s="48"/>
    </row>
    <row r="11" spans="1:7" ht="20.149999999999999" customHeight="1" thickBot="1">
      <c r="A11" s="331" t="s">
        <v>838</v>
      </c>
      <c r="B11" s="383">
        <v>2740973</v>
      </c>
      <c r="C11" s="383">
        <v>138428</v>
      </c>
      <c r="D11" s="383">
        <v>2602545</v>
      </c>
      <c r="E11" s="48"/>
      <c r="F11" s="51"/>
      <c r="G11" s="48"/>
    </row>
    <row r="14" spans="1:7">
      <c r="B14" s="197"/>
      <c r="C14" s="197"/>
      <c r="D14" s="197"/>
    </row>
    <row r="16" spans="1:7">
      <c r="A16" s="2"/>
    </row>
  </sheetData>
  <hyperlinks>
    <hyperlink ref="A4" location="Contents!A1" display="Return to Contents" xr:uid="{C20B17B3-516F-4B5A-AE9B-BD6F8D954E0E}"/>
  </hyperlinks>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CD4B9-9FB9-4CDA-9C08-3E82629D72A7}">
  <sheetPr codeName="Sheet22">
    <tabColor rgb="FFDDE5F1"/>
    <pageSetUpPr fitToPage="1"/>
  </sheetPr>
  <dimension ref="A1:Q39"/>
  <sheetViews>
    <sheetView zoomScaleNormal="100" workbookViewId="0"/>
  </sheetViews>
  <sheetFormatPr defaultColWidth="9.1796875" defaultRowHeight="14"/>
  <cols>
    <col min="1" max="1" width="24.453125" style="10" customWidth="1"/>
    <col min="2" max="4" width="13.453125" style="10" customWidth="1"/>
    <col min="5" max="5" width="16.453125" style="10" customWidth="1"/>
    <col min="6" max="6" width="20.54296875" style="10" customWidth="1"/>
    <col min="7" max="9" width="13.453125" style="10" customWidth="1"/>
    <col min="10" max="16384" width="9.1796875" style="10"/>
  </cols>
  <sheetData>
    <row r="1" spans="1:17" s="60" customFormat="1" ht="30" customHeight="1">
      <c r="A1" s="22" t="s">
        <v>852</v>
      </c>
    </row>
    <row r="2" spans="1:17" s="9" customFormat="1" ht="20.149999999999999" customHeight="1">
      <c r="A2" s="7" t="s">
        <v>236</v>
      </c>
      <c r="B2" s="5"/>
      <c r="C2" s="5"/>
      <c r="D2" s="5"/>
      <c r="E2" s="5"/>
      <c r="F2" s="5"/>
    </row>
    <row r="3" spans="1:17" s="9" customFormat="1" ht="20.149999999999999" customHeight="1">
      <c r="A3" s="7" t="s">
        <v>410</v>
      </c>
      <c r="B3" s="5"/>
      <c r="C3" s="5"/>
      <c r="D3" s="5"/>
      <c r="E3" s="5"/>
      <c r="F3" s="5"/>
      <c r="H3" s="89"/>
      <c r="I3" s="89"/>
    </row>
    <row r="4" spans="1:17" s="57" customFormat="1" ht="20.149999999999999" customHeight="1">
      <c r="A4" s="15" t="s">
        <v>62</v>
      </c>
      <c r="B4" s="5"/>
      <c r="C4" s="5"/>
      <c r="D4" s="5"/>
      <c r="E4" s="5"/>
      <c r="F4" s="5"/>
      <c r="G4" s="5"/>
      <c r="H4" s="5"/>
      <c r="I4" s="5"/>
      <c r="J4" s="199"/>
      <c r="K4" s="199"/>
      <c r="L4" s="199"/>
      <c r="M4" s="199"/>
      <c r="N4" s="199"/>
      <c r="O4" s="199"/>
      <c r="P4" s="199"/>
      <c r="Q4" s="199"/>
    </row>
    <row r="5" spans="1:17" s="57" customFormat="1" ht="10.4" customHeight="1"/>
    <row r="6" spans="1:17" s="57" customFormat="1" ht="55.4" customHeight="1">
      <c r="A6" s="104" t="s">
        <v>5</v>
      </c>
      <c r="B6" s="96" t="s">
        <v>481</v>
      </c>
      <c r="C6" s="96" t="s">
        <v>480</v>
      </c>
      <c r="D6" s="96" t="s">
        <v>479</v>
      </c>
      <c r="E6" s="96" t="s">
        <v>478</v>
      </c>
      <c r="F6" s="96" t="s">
        <v>477</v>
      </c>
      <c r="G6" s="96" t="s">
        <v>476</v>
      </c>
      <c r="H6" s="96" t="s">
        <v>475</v>
      </c>
      <c r="I6" s="96" t="s">
        <v>691</v>
      </c>
    </row>
    <row r="7" spans="1:17" s="57" customFormat="1" ht="20.149999999999999" customHeight="1">
      <c r="A7" s="95" t="s">
        <v>15</v>
      </c>
      <c r="B7" s="196">
        <v>6207</v>
      </c>
      <c r="C7" s="136">
        <v>10834</v>
      </c>
      <c r="D7" s="196">
        <v>23040</v>
      </c>
      <c r="E7" s="136">
        <v>40081</v>
      </c>
      <c r="F7" s="211">
        <v>0.15486140565355155</v>
      </c>
      <c r="G7" s="289">
        <v>0.2703026371597515</v>
      </c>
      <c r="H7" s="211">
        <v>0.57483595718669689</v>
      </c>
      <c r="I7" s="211">
        <v>0.42516404281330306</v>
      </c>
    </row>
    <row r="8" spans="1:17" s="57" customFormat="1" ht="20.149999999999999" customHeight="1">
      <c r="A8" s="95" t="s">
        <v>13</v>
      </c>
      <c r="B8" s="196">
        <v>4567</v>
      </c>
      <c r="C8" s="136">
        <v>16959</v>
      </c>
      <c r="D8" s="196">
        <v>25680</v>
      </c>
      <c r="E8" s="136">
        <v>47206</v>
      </c>
      <c r="F8" s="211">
        <v>9.6746176333516926E-2</v>
      </c>
      <c r="G8" s="289">
        <v>0.35925517942634411</v>
      </c>
      <c r="H8" s="211">
        <v>0.543998644240139</v>
      </c>
      <c r="I8" s="211">
        <v>0.45600135575986106</v>
      </c>
    </row>
    <row r="9" spans="1:17" s="57" customFormat="1" ht="20.149999999999999" customHeight="1">
      <c r="A9" s="95" t="s">
        <v>32</v>
      </c>
      <c r="B9" s="196">
        <v>13649</v>
      </c>
      <c r="C9" s="136">
        <v>9173</v>
      </c>
      <c r="D9" s="196">
        <v>18049</v>
      </c>
      <c r="E9" s="136">
        <v>40871</v>
      </c>
      <c r="F9" s="211">
        <v>0.33395316972914779</v>
      </c>
      <c r="G9" s="289">
        <v>0.22443786547919062</v>
      </c>
      <c r="H9" s="211">
        <v>0.44160896479166156</v>
      </c>
      <c r="I9" s="211">
        <v>0.55839103520833844</v>
      </c>
    </row>
    <row r="10" spans="1:17" s="57" customFormat="1" ht="20.149999999999999" customHeight="1">
      <c r="A10" s="95" t="s">
        <v>7</v>
      </c>
      <c r="B10" s="196">
        <v>34748</v>
      </c>
      <c r="C10" s="136">
        <v>32538</v>
      </c>
      <c r="D10" s="196">
        <v>52056</v>
      </c>
      <c r="E10" s="136">
        <v>119342</v>
      </c>
      <c r="F10" s="211">
        <v>0.29116321161032999</v>
      </c>
      <c r="G10" s="289">
        <v>0.27264500343550468</v>
      </c>
      <c r="H10" s="211">
        <v>0.43619178495416533</v>
      </c>
      <c r="I10" s="211">
        <v>0.56380821504583467</v>
      </c>
    </row>
    <row r="11" spans="1:17" s="57" customFormat="1" ht="20.149999999999999" customHeight="1">
      <c r="A11" s="9" t="s">
        <v>113</v>
      </c>
      <c r="B11" s="207">
        <v>65789</v>
      </c>
      <c r="C11" s="51">
        <v>84516</v>
      </c>
      <c r="D11" s="207">
        <v>95325</v>
      </c>
      <c r="E11" s="51">
        <v>245630</v>
      </c>
      <c r="F11" s="290">
        <v>0.26783780482840042</v>
      </c>
      <c r="G11" s="44">
        <v>0.34407849204087448</v>
      </c>
      <c r="H11" s="290">
        <v>0.3880837031307251</v>
      </c>
      <c r="I11" s="290">
        <v>0.61191629686927496</v>
      </c>
    </row>
    <row r="12" spans="1:17" s="57" customFormat="1" ht="20.149999999999999" customHeight="1">
      <c r="A12" s="9" t="s">
        <v>14</v>
      </c>
      <c r="B12" s="207">
        <v>10286</v>
      </c>
      <c r="C12" s="51">
        <v>22207</v>
      </c>
      <c r="D12" s="207">
        <v>19525</v>
      </c>
      <c r="E12" s="51">
        <v>52018</v>
      </c>
      <c r="F12" s="290">
        <v>0.19773924410780883</v>
      </c>
      <c r="G12" s="44">
        <v>0.4269099157983775</v>
      </c>
      <c r="H12" s="290">
        <v>0.3753508400938137</v>
      </c>
      <c r="I12" s="290">
        <v>0.6246491599061863</v>
      </c>
    </row>
    <row r="13" spans="1:17" s="57" customFormat="1" ht="20.149999999999999" customHeight="1">
      <c r="A13" s="95" t="s">
        <v>27</v>
      </c>
      <c r="B13" s="196">
        <v>22569</v>
      </c>
      <c r="C13" s="136">
        <v>24187</v>
      </c>
      <c r="D13" s="196">
        <v>27547</v>
      </c>
      <c r="E13" s="136">
        <v>74303</v>
      </c>
      <c r="F13" s="211">
        <v>0.3037427829293568</v>
      </c>
      <c r="G13" s="289">
        <v>0.32551848512173132</v>
      </c>
      <c r="H13" s="211">
        <v>0.37073873194891188</v>
      </c>
      <c r="I13" s="211">
        <v>0.62926126805108806</v>
      </c>
    </row>
    <row r="14" spans="1:17" s="57" customFormat="1" ht="20.149999999999999" customHeight="1">
      <c r="A14" s="95" t="s">
        <v>30</v>
      </c>
      <c r="B14" s="196">
        <v>19060</v>
      </c>
      <c r="C14" s="136">
        <v>17282</v>
      </c>
      <c r="D14" s="196">
        <v>18779</v>
      </c>
      <c r="E14" s="136">
        <v>55121</v>
      </c>
      <c r="F14" s="211">
        <v>0.34578472814353878</v>
      </c>
      <c r="G14" s="289">
        <v>0.31352841929573122</v>
      </c>
      <c r="H14" s="211">
        <v>0.34068685256073006</v>
      </c>
      <c r="I14" s="211">
        <v>0.65931314743926994</v>
      </c>
    </row>
    <row r="15" spans="1:17" s="57" customFormat="1" ht="20.149999999999999" customHeight="1">
      <c r="A15" s="95" t="s">
        <v>127</v>
      </c>
      <c r="B15" s="196">
        <v>16854</v>
      </c>
      <c r="C15" s="136">
        <v>15326</v>
      </c>
      <c r="D15" s="196">
        <v>15342</v>
      </c>
      <c r="E15" s="136">
        <v>47522</v>
      </c>
      <c r="F15" s="211">
        <v>0.35465679053911875</v>
      </c>
      <c r="G15" s="289">
        <v>0.32250326164723708</v>
      </c>
      <c r="H15" s="211">
        <v>0.32283994781364422</v>
      </c>
      <c r="I15" s="211">
        <v>0.67716005218635578</v>
      </c>
    </row>
    <row r="16" spans="1:17" s="57" customFormat="1" ht="20.149999999999999" customHeight="1">
      <c r="A16" s="9" t="s">
        <v>22</v>
      </c>
      <c r="B16" s="207">
        <v>13230</v>
      </c>
      <c r="C16" s="51">
        <v>17038</v>
      </c>
      <c r="D16" s="207">
        <v>13372</v>
      </c>
      <c r="E16" s="51">
        <v>43640</v>
      </c>
      <c r="F16" s="290">
        <v>0.30316223648029333</v>
      </c>
      <c r="G16" s="44">
        <v>0.39042163153070575</v>
      </c>
      <c r="H16" s="290">
        <v>0.30641613198900092</v>
      </c>
      <c r="I16" s="290">
        <v>0.69358386801099914</v>
      </c>
    </row>
    <row r="17" spans="1:9" s="57" customFormat="1" ht="20.149999999999999" customHeight="1">
      <c r="A17" s="9" t="s">
        <v>6</v>
      </c>
      <c r="B17" s="207">
        <v>46827</v>
      </c>
      <c r="C17" s="51">
        <v>35072</v>
      </c>
      <c r="D17" s="207">
        <v>33683</v>
      </c>
      <c r="E17" s="51">
        <v>115582</v>
      </c>
      <c r="F17" s="290">
        <v>0.40514093890052083</v>
      </c>
      <c r="G17" s="44">
        <v>0.30343825163087679</v>
      </c>
      <c r="H17" s="290">
        <v>0.29142080946860238</v>
      </c>
      <c r="I17" s="290">
        <v>0.70857919053139762</v>
      </c>
    </row>
    <row r="18" spans="1:9" s="57" customFormat="1" ht="20.149999999999999" customHeight="1">
      <c r="A18" s="9" t="s">
        <v>20</v>
      </c>
      <c r="B18" s="207">
        <v>41033</v>
      </c>
      <c r="C18" s="51">
        <v>44697</v>
      </c>
      <c r="D18" s="207">
        <v>35055</v>
      </c>
      <c r="E18" s="51">
        <v>120785</v>
      </c>
      <c r="F18" s="290">
        <v>0.33971933601026616</v>
      </c>
      <c r="G18" s="44">
        <v>0.37005422858798692</v>
      </c>
      <c r="H18" s="290">
        <v>0.29022643540174692</v>
      </c>
      <c r="I18" s="290">
        <v>0.70977356459825314</v>
      </c>
    </row>
    <row r="19" spans="1:9" s="57" customFormat="1" ht="20.149999999999999" customHeight="1">
      <c r="A19" s="95" t="s">
        <v>28</v>
      </c>
      <c r="B19" s="196">
        <v>27934</v>
      </c>
      <c r="C19" s="136">
        <v>13421</v>
      </c>
      <c r="D19" s="196">
        <v>16681</v>
      </c>
      <c r="E19" s="136">
        <v>58036</v>
      </c>
      <c r="F19" s="211">
        <v>0.48132193810738161</v>
      </c>
      <c r="G19" s="289">
        <v>0.2312530153697705</v>
      </c>
      <c r="H19" s="211">
        <v>0.28742504652284789</v>
      </c>
      <c r="I19" s="211">
        <v>0.71257495347715216</v>
      </c>
    </row>
    <row r="20" spans="1:9" s="57" customFormat="1" ht="20.149999999999999" customHeight="1">
      <c r="A20" s="104" t="s">
        <v>158</v>
      </c>
      <c r="B20" s="195">
        <v>1079443</v>
      </c>
      <c r="C20" s="195">
        <v>788305</v>
      </c>
      <c r="D20" s="195">
        <v>734797</v>
      </c>
      <c r="E20" s="195">
        <v>2602545</v>
      </c>
      <c r="F20" s="212">
        <v>0.41476439408348365</v>
      </c>
      <c r="G20" s="212">
        <v>0.3028977404809523</v>
      </c>
      <c r="H20" s="212">
        <v>0.28233786543556405</v>
      </c>
      <c r="I20" s="212">
        <v>0.71766213456443595</v>
      </c>
    </row>
    <row r="21" spans="1:9" s="57" customFormat="1" ht="20.149999999999999" customHeight="1">
      <c r="A21" s="95" t="s">
        <v>31</v>
      </c>
      <c r="B21" s="196">
        <v>64136</v>
      </c>
      <c r="C21" s="136">
        <v>48648</v>
      </c>
      <c r="D21" s="196">
        <v>42524</v>
      </c>
      <c r="E21" s="136">
        <v>155308</v>
      </c>
      <c r="F21" s="211">
        <v>0.41296005357096865</v>
      </c>
      <c r="G21" s="289">
        <v>0.3132356349962655</v>
      </c>
      <c r="H21" s="211">
        <v>0.27380431143276585</v>
      </c>
      <c r="I21" s="211">
        <v>0.72619568856723415</v>
      </c>
    </row>
    <row r="22" spans="1:9" s="57" customFormat="1" ht="20.149999999999999" customHeight="1">
      <c r="A22" s="9" t="s">
        <v>16</v>
      </c>
      <c r="B22" s="207">
        <v>35650</v>
      </c>
      <c r="C22" s="51">
        <v>28147</v>
      </c>
      <c r="D22" s="207">
        <v>23063</v>
      </c>
      <c r="E22" s="51">
        <v>86860</v>
      </c>
      <c r="F22" s="290">
        <v>0.41043057794151511</v>
      </c>
      <c r="G22" s="44">
        <v>0.32405019571724614</v>
      </c>
      <c r="H22" s="290">
        <v>0.26551922634123876</v>
      </c>
      <c r="I22" s="290">
        <v>0.73448077365876119</v>
      </c>
    </row>
    <row r="23" spans="1:9" s="57" customFormat="1" ht="20.149999999999999" customHeight="1">
      <c r="A23" s="9" t="s">
        <v>9</v>
      </c>
      <c r="B23" s="207">
        <v>13078</v>
      </c>
      <c r="C23" s="51">
        <v>4917</v>
      </c>
      <c r="D23" s="207">
        <v>6501</v>
      </c>
      <c r="E23" s="51">
        <v>24496</v>
      </c>
      <c r="F23" s="290">
        <v>0.53388308295231879</v>
      </c>
      <c r="G23" s="44">
        <v>0.20072664924885697</v>
      </c>
      <c r="H23" s="290">
        <v>0.2653902677988243</v>
      </c>
      <c r="I23" s="290">
        <v>0.73460973220117565</v>
      </c>
    </row>
    <row r="24" spans="1:9" s="57" customFormat="1" ht="20.149999999999999" customHeight="1">
      <c r="A24" s="21" t="s">
        <v>34</v>
      </c>
      <c r="B24" s="207">
        <v>41374</v>
      </c>
      <c r="C24" s="51">
        <v>20136</v>
      </c>
      <c r="D24" s="207">
        <v>21733</v>
      </c>
      <c r="E24" s="51">
        <v>83243</v>
      </c>
      <c r="F24" s="290">
        <v>0.4970267770262965</v>
      </c>
      <c r="G24" s="44">
        <v>0.24189421332724673</v>
      </c>
      <c r="H24" s="290">
        <v>0.26107900964645675</v>
      </c>
      <c r="I24" s="290">
        <v>0.73892099035354319</v>
      </c>
    </row>
    <row r="25" spans="1:9" s="57" customFormat="1" ht="20.149999999999999" customHeight="1">
      <c r="A25" s="95" t="s">
        <v>18</v>
      </c>
      <c r="B25" s="196">
        <v>85327</v>
      </c>
      <c r="C25" s="136">
        <v>44995</v>
      </c>
      <c r="D25" s="196">
        <v>45905</v>
      </c>
      <c r="E25" s="136">
        <v>176227</v>
      </c>
      <c r="F25" s="211">
        <v>0.48418800751303714</v>
      </c>
      <c r="G25" s="289">
        <v>0.25532409903136294</v>
      </c>
      <c r="H25" s="211">
        <v>0.26048789345559986</v>
      </c>
      <c r="I25" s="211">
        <v>0.73951210654440014</v>
      </c>
    </row>
    <row r="26" spans="1:9" s="57" customFormat="1" ht="20.149999999999999" customHeight="1">
      <c r="A26" s="95" t="s">
        <v>10</v>
      </c>
      <c r="B26" s="196">
        <v>32357</v>
      </c>
      <c r="C26" s="136">
        <v>22506</v>
      </c>
      <c r="D26" s="196">
        <v>19120</v>
      </c>
      <c r="E26" s="136">
        <v>73983</v>
      </c>
      <c r="F26" s="211">
        <v>0.4373572307151643</v>
      </c>
      <c r="G26" s="289">
        <v>0.30420502007217876</v>
      </c>
      <c r="H26" s="211">
        <v>0.25843774921265694</v>
      </c>
      <c r="I26" s="211">
        <v>0.74156225078734306</v>
      </c>
    </row>
    <row r="27" spans="1:9" s="57" customFormat="1" ht="20.149999999999999" customHeight="1">
      <c r="A27" s="9" t="s">
        <v>17</v>
      </c>
      <c r="B27" s="207">
        <v>40175</v>
      </c>
      <c r="C27" s="51">
        <v>16280</v>
      </c>
      <c r="D27" s="207">
        <v>18384</v>
      </c>
      <c r="E27" s="51">
        <v>74839</v>
      </c>
      <c r="F27" s="290">
        <v>0.53681903820200694</v>
      </c>
      <c r="G27" s="44">
        <v>0.21753363887812505</v>
      </c>
      <c r="H27" s="290">
        <v>0.24564732291986799</v>
      </c>
      <c r="I27" s="290">
        <v>0.75435267708013198</v>
      </c>
    </row>
    <row r="28" spans="1:9" s="57" customFormat="1" ht="20.149999999999999" customHeight="1">
      <c r="A28" s="9" t="s">
        <v>8</v>
      </c>
      <c r="B28" s="207">
        <v>26784</v>
      </c>
      <c r="C28" s="51">
        <v>16268</v>
      </c>
      <c r="D28" s="207">
        <v>13369</v>
      </c>
      <c r="E28" s="51">
        <v>56421</v>
      </c>
      <c r="F28" s="290">
        <v>0.47471686074334024</v>
      </c>
      <c r="G28" s="44">
        <v>0.28833235851899114</v>
      </c>
      <c r="H28" s="290">
        <v>0.23695078073766859</v>
      </c>
      <c r="I28" s="290">
        <v>0.76304921926233138</v>
      </c>
    </row>
    <row r="29" spans="1:9" s="57" customFormat="1" ht="20.149999999999999" customHeight="1">
      <c r="A29" s="9" t="s">
        <v>23</v>
      </c>
      <c r="B29" s="207">
        <v>21369</v>
      </c>
      <c r="C29" s="51">
        <v>13521</v>
      </c>
      <c r="D29" s="207">
        <v>9918</v>
      </c>
      <c r="E29" s="51">
        <v>44808</v>
      </c>
      <c r="F29" s="290">
        <v>0.4769014461703267</v>
      </c>
      <c r="G29" s="44">
        <v>0.30175415104445635</v>
      </c>
      <c r="H29" s="290">
        <v>0.22134440278521691</v>
      </c>
      <c r="I29" s="290">
        <v>0.77865559721478306</v>
      </c>
    </row>
    <row r="30" spans="1:9" s="57" customFormat="1" ht="20.149999999999999" customHeight="1">
      <c r="A30" s="9" t="s">
        <v>24</v>
      </c>
      <c r="B30" s="207">
        <v>38685</v>
      </c>
      <c r="C30" s="51">
        <v>14790</v>
      </c>
      <c r="D30" s="207">
        <v>14647</v>
      </c>
      <c r="E30" s="51">
        <v>68122</v>
      </c>
      <c r="F30" s="290">
        <v>0.56787821849035558</v>
      </c>
      <c r="G30" s="44">
        <v>0.21711047825959309</v>
      </c>
      <c r="H30" s="290">
        <v>0.21501130325005138</v>
      </c>
      <c r="I30" s="290">
        <v>0.78498869674994864</v>
      </c>
    </row>
    <row r="31" spans="1:9" s="57" customFormat="1" ht="20.149999999999999" customHeight="1">
      <c r="A31" s="95" t="s">
        <v>12</v>
      </c>
      <c r="B31" s="196">
        <v>33825</v>
      </c>
      <c r="C31" s="136">
        <v>12773</v>
      </c>
      <c r="D31" s="196">
        <v>11800</v>
      </c>
      <c r="E31" s="136">
        <v>58398</v>
      </c>
      <c r="F31" s="211">
        <v>0.57921504161101411</v>
      </c>
      <c r="G31" s="289">
        <v>0.2187232439467105</v>
      </c>
      <c r="H31" s="211">
        <v>0.20206171444227541</v>
      </c>
      <c r="I31" s="211">
        <v>0.79793828555772461</v>
      </c>
    </row>
    <row r="32" spans="1:9" s="57" customFormat="1" ht="20.149999999999999" customHeight="1">
      <c r="A32" s="95" t="s">
        <v>25</v>
      </c>
      <c r="B32" s="196">
        <v>87224</v>
      </c>
      <c r="C32" s="136">
        <v>38467</v>
      </c>
      <c r="D32" s="196">
        <v>31345</v>
      </c>
      <c r="E32" s="136">
        <v>157036</v>
      </c>
      <c r="F32" s="211">
        <v>0.55543951705341454</v>
      </c>
      <c r="G32" s="289">
        <v>0.24495657046791819</v>
      </c>
      <c r="H32" s="211">
        <v>0.19960391247866732</v>
      </c>
      <c r="I32" s="211">
        <v>0.80039608752133273</v>
      </c>
    </row>
    <row r="33" spans="1:9" s="57" customFormat="1" ht="20.149999999999999" customHeight="1">
      <c r="A33" s="95" t="s">
        <v>21</v>
      </c>
      <c r="B33" s="196">
        <v>23420</v>
      </c>
      <c r="C33" s="136">
        <v>7159</v>
      </c>
      <c r="D33" s="196">
        <v>7141</v>
      </c>
      <c r="E33" s="136">
        <v>37720</v>
      </c>
      <c r="F33" s="211">
        <v>0.62089077412513261</v>
      </c>
      <c r="G33" s="289">
        <v>0.1897932131495228</v>
      </c>
      <c r="H33" s="211">
        <v>0.18931601272534465</v>
      </c>
      <c r="I33" s="211">
        <v>0.8106839872746554</v>
      </c>
    </row>
    <row r="34" spans="1:9" s="57" customFormat="1" ht="20.149999999999999" customHeight="1">
      <c r="A34" s="95" t="s">
        <v>26</v>
      </c>
      <c r="B34" s="196">
        <v>4913</v>
      </c>
      <c r="C34" s="136">
        <v>4358</v>
      </c>
      <c r="D34" s="196">
        <v>2006</v>
      </c>
      <c r="E34" s="136">
        <v>11277</v>
      </c>
      <c r="F34" s="211">
        <v>0.43566551387780439</v>
      </c>
      <c r="G34" s="289">
        <v>0.3864502970648222</v>
      </c>
      <c r="H34" s="211">
        <v>0.17788418905737341</v>
      </c>
      <c r="I34" s="211">
        <v>0.82211581094262653</v>
      </c>
    </row>
    <row r="35" spans="1:9" s="57" customFormat="1" ht="20.149999999999999" customHeight="1">
      <c r="A35" s="9" t="s">
        <v>19</v>
      </c>
      <c r="B35" s="207">
        <v>130750</v>
      </c>
      <c r="C35" s="51">
        <v>110752</v>
      </c>
      <c r="D35" s="207">
        <v>51438</v>
      </c>
      <c r="E35" s="51">
        <v>292940</v>
      </c>
      <c r="F35" s="290">
        <v>0.44633713388407181</v>
      </c>
      <c r="G35" s="44">
        <v>0.37807059466102272</v>
      </c>
      <c r="H35" s="290">
        <v>0.17559227145490544</v>
      </c>
      <c r="I35" s="290">
        <v>0.82440772854509459</v>
      </c>
    </row>
    <row r="36" spans="1:9" s="57" customFormat="1" ht="20.149999999999999" customHeight="1">
      <c r="A36" s="95" t="s">
        <v>29</v>
      </c>
      <c r="B36" s="196">
        <v>4662</v>
      </c>
      <c r="C36" s="136">
        <v>4712</v>
      </c>
      <c r="D36" s="196">
        <v>1911</v>
      </c>
      <c r="E36" s="136">
        <v>11285</v>
      </c>
      <c r="F36" s="211">
        <v>0.41311475409836068</v>
      </c>
      <c r="G36" s="289">
        <v>0.41754541426672576</v>
      </c>
      <c r="H36" s="211">
        <v>0.16933983163491359</v>
      </c>
      <c r="I36" s="211">
        <v>0.83066016836508638</v>
      </c>
    </row>
    <row r="37" spans="1:9" s="57" customFormat="1" ht="20.149999999999999" customHeight="1">
      <c r="A37" s="9" t="s">
        <v>33</v>
      </c>
      <c r="B37" s="207">
        <v>23583</v>
      </c>
      <c r="C37" s="51">
        <v>13763</v>
      </c>
      <c r="D37" s="207">
        <v>7510</v>
      </c>
      <c r="E37" s="51">
        <v>44856</v>
      </c>
      <c r="F37" s="290">
        <v>0.52574906367041196</v>
      </c>
      <c r="G37" s="44">
        <v>0.30682628856786159</v>
      </c>
      <c r="H37" s="290">
        <v>0.16742464776172641</v>
      </c>
      <c r="I37" s="290">
        <v>0.83257535223827361</v>
      </c>
    </row>
    <row r="38" spans="1:9" s="57" customFormat="1" ht="20.149999999999999" customHeight="1">
      <c r="A38" s="9" t="s">
        <v>11</v>
      </c>
      <c r="B38" s="207">
        <v>41023</v>
      </c>
      <c r="C38" s="51">
        <v>18225</v>
      </c>
      <c r="D38" s="207">
        <v>10739</v>
      </c>
      <c r="E38" s="51">
        <v>69987</v>
      </c>
      <c r="F38" s="290">
        <v>0.58615171388972243</v>
      </c>
      <c r="G38" s="44">
        <v>0.26040550387929184</v>
      </c>
      <c r="H38" s="290">
        <v>0.15344278223098576</v>
      </c>
      <c r="I38" s="290">
        <v>0.84655721776901427</v>
      </c>
    </row>
    <row r="39" spans="1:9" s="57" customFormat="1" ht="20.149999999999999" customHeight="1">
      <c r="A39" s="95" t="s">
        <v>114</v>
      </c>
      <c r="B39" s="196">
        <v>8355</v>
      </c>
      <c r="C39" s="136">
        <v>4638</v>
      </c>
      <c r="D39" s="196">
        <v>1609</v>
      </c>
      <c r="E39" s="136">
        <v>14602</v>
      </c>
      <c r="F39" s="211">
        <v>0.57218189289138477</v>
      </c>
      <c r="G39" s="289">
        <v>0.31762772222983154</v>
      </c>
      <c r="H39" s="211">
        <v>0.11019038487878373</v>
      </c>
      <c r="I39" s="211">
        <v>0.88980961512121626</v>
      </c>
    </row>
  </sheetData>
  <sortState xmlns:xlrd2="http://schemas.microsoft.com/office/spreadsheetml/2017/richdata2" ref="A7:I39">
    <sortCondition ref="I7:I39"/>
  </sortState>
  <hyperlinks>
    <hyperlink ref="A4" location="Contents!A1" display="Return to Contents" xr:uid="{8E66854F-4E3C-4D67-9E27-E020AE1D1275}"/>
  </hyperlinks>
  <pageMargins left="0.25" right="0.25" top="0.75" bottom="0.75" header="0.3" footer="0.3"/>
  <pageSetup paperSize="9" scale="41" fitToHeight="0"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E180D-5F42-4416-B907-61AB73DEEE4E}">
  <sheetPr codeName="Sheet23">
    <tabColor rgb="FFDDE5F1"/>
  </sheetPr>
  <dimension ref="A1:Q39"/>
  <sheetViews>
    <sheetView zoomScaleNormal="100" workbookViewId="0"/>
  </sheetViews>
  <sheetFormatPr defaultColWidth="9.1796875" defaultRowHeight="14"/>
  <cols>
    <col min="1" max="1" width="25.54296875" style="4" customWidth="1"/>
    <col min="2" max="2" width="23.81640625" style="4" customWidth="1"/>
    <col min="3" max="16384" width="9.1796875" style="4"/>
  </cols>
  <sheetData>
    <row r="1" spans="1:17" s="59" customFormat="1" ht="30" customHeight="1">
      <c r="A1" s="22" t="s">
        <v>790</v>
      </c>
    </row>
    <row r="2" spans="1:17" s="9" customFormat="1" ht="20.149999999999999" customHeight="1">
      <c r="A2" s="7" t="s">
        <v>236</v>
      </c>
      <c r="B2" s="5"/>
      <c r="C2" s="5"/>
    </row>
    <row r="3" spans="1:17" s="9" customFormat="1" ht="20.149999999999999" customHeight="1">
      <c r="A3" s="200" t="s">
        <v>483</v>
      </c>
      <c r="B3" s="5"/>
      <c r="C3" s="5"/>
    </row>
    <row r="4" spans="1:17" s="57" customFormat="1" ht="20.149999999999999" customHeight="1">
      <c r="A4" s="15" t="s">
        <v>62</v>
      </c>
      <c r="B4" s="61"/>
      <c r="C4" s="61"/>
      <c r="D4" s="12"/>
      <c r="E4" s="12"/>
      <c r="F4" s="463"/>
      <c r="G4" s="463"/>
      <c r="H4" s="463"/>
      <c r="I4" s="463"/>
      <c r="J4" s="463"/>
      <c r="K4" s="463"/>
      <c r="L4" s="463"/>
      <c r="M4" s="463"/>
      <c r="N4" s="463"/>
      <c r="O4" s="463"/>
      <c r="P4" s="463"/>
      <c r="Q4" s="463"/>
    </row>
    <row r="5" spans="1:17" s="61" customFormat="1" ht="10.4" customHeight="1"/>
    <row r="6" spans="1:17" s="57" customFormat="1" ht="25" customHeight="1">
      <c r="A6" s="104" t="s">
        <v>5</v>
      </c>
      <c r="B6" s="96" t="s">
        <v>482</v>
      </c>
      <c r="N6" s="90"/>
    </row>
    <row r="7" spans="1:17" s="57" customFormat="1" ht="20.149999999999999" customHeight="1">
      <c r="A7" s="95" t="s">
        <v>857</v>
      </c>
      <c r="B7" s="291">
        <v>1260.6099999999999</v>
      </c>
      <c r="N7" s="90"/>
    </row>
    <row r="8" spans="1:17" s="57" customFormat="1" ht="20.149999999999999" customHeight="1">
      <c r="A8" s="9" t="s">
        <v>114</v>
      </c>
      <c r="B8" s="292">
        <v>1290.75</v>
      </c>
      <c r="N8" s="90"/>
    </row>
    <row r="9" spans="1:17" s="57" customFormat="1" ht="20.149999999999999" customHeight="1">
      <c r="A9" s="95" t="s">
        <v>31</v>
      </c>
      <c r="B9" s="291">
        <v>1300.81</v>
      </c>
      <c r="N9" s="90"/>
    </row>
    <row r="10" spans="1:17" s="57" customFormat="1" ht="20.149999999999999" customHeight="1">
      <c r="A10" s="95" t="s">
        <v>8</v>
      </c>
      <c r="B10" s="291">
        <v>1316.68</v>
      </c>
      <c r="N10" s="90"/>
    </row>
    <row r="11" spans="1:17" s="57" customFormat="1" ht="20.149999999999999" customHeight="1">
      <c r="A11" s="9" t="s">
        <v>25</v>
      </c>
      <c r="B11" s="292">
        <v>1320.78</v>
      </c>
      <c r="N11" s="90"/>
    </row>
    <row r="12" spans="1:17" s="57" customFormat="1" ht="20.149999999999999" customHeight="1">
      <c r="A12" s="95" t="s">
        <v>10</v>
      </c>
      <c r="B12" s="291">
        <v>1334.85</v>
      </c>
      <c r="N12" s="90"/>
    </row>
    <row r="13" spans="1:17" s="57" customFormat="1" ht="20.149999999999999" customHeight="1">
      <c r="A13" s="9" t="s">
        <v>28</v>
      </c>
      <c r="B13" s="292">
        <v>1356.11</v>
      </c>
      <c r="N13" s="90"/>
    </row>
    <row r="14" spans="1:17" s="57" customFormat="1" ht="20.149999999999999" customHeight="1">
      <c r="A14" s="9" t="s">
        <v>17</v>
      </c>
      <c r="B14" s="292">
        <v>1363.82</v>
      </c>
      <c r="N14" s="90"/>
    </row>
    <row r="15" spans="1:17" s="57" customFormat="1" ht="20.149999999999999" customHeight="1">
      <c r="A15" s="9" t="s">
        <v>856</v>
      </c>
      <c r="B15" s="292">
        <v>1369.21</v>
      </c>
      <c r="N15" s="90"/>
    </row>
    <row r="16" spans="1:17" s="57" customFormat="1" ht="20.149999999999999" customHeight="1">
      <c r="A16" s="95" t="s">
        <v>18</v>
      </c>
      <c r="B16" s="291">
        <v>1385.18</v>
      </c>
      <c r="N16" s="90"/>
    </row>
    <row r="17" spans="1:14" s="57" customFormat="1" ht="20.149999999999999" customHeight="1">
      <c r="A17" s="95" t="s">
        <v>34</v>
      </c>
      <c r="B17" s="291">
        <v>1390.96</v>
      </c>
      <c r="N17" s="90"/>
    </row>
    <row r="18" spans="1:14" s="57" customFormat="1" ht="20.149999999999999" customHeight="1">
      <c r="A18" s="9" t="s">
        <v>7</v>
      </c>
      <c r="B18" s="292">
        <v>1393.42</v>
      </c>
      <c r="N18" s="90"/>
    </row>
    <row r="19" spans="1:14" s="57" customFormat="1" ht="20.149999999999999" customHeight="1">
      <c r="A19" s="9" t="s">
        <v>33</v>
      </c>
      <c r="B19" s="292">
        <v>1398.98</v>
      </c>
      <c r="N19" s="90"/>
    </row>
    <row r="20" spans="1:14" s="57" customFormat="1" ht="20.149999999999999" customHeight="1">
      <c r="A20" s="95" t="s">
        <v>27</v>
      </c>
      <c r="B20" s="291">
        <v>1403.69</v>
      </c>
      <c r="N20" s="90"/>
    </row>
    <row r="21" spans="1:14" s="57" customFormat="1" ht="20.149999999999999" customHeight="1">
      <c r="A21" s="95" t="s">
        <v>9</v>
      </c>
      <c r="B21" s="291">
        <v>1410.96</v>
      </c>
      <c r="N21" s="90"/>
    </row>
    <row r="22" spans="1:14" s="57" customFormat="1" ht="20.149999999999999" customHeight="1">
      <c r="A22" s="9" t="s">
        <v>15</v>
      </c>
      <c r="B22" s="292">
        <v>1415.22</v>
      </c>
      <c r="N22" s="90"/>
    </row>
    <row r="23" spans="1:14" s="57" customFormat="1" ht="20.149999999999999" customHeight="1">
      <c r="A23" s="95" t="s">
        <v>13</v>
      </c>
      <c r="B23" s="291">
        <v>1415.66</v>
      </c>
      <c r="N23" s="90"/>
    </row>
    <row r="24" spans="1:14" s="57" customFormat="1" ht="20.149999999999999" customHeight="1">
      <c r="A24" s="104" t="s">
        <v>158</v>
      </c>
      <c r="B24" s="293">
        <v>1418.1085270595268</v>
      </c>
      <c r="N24" s="90"/>
    </row>
    <row r="25" spans="1:14" s="57" customFormat="1" ht="20.149999999999999" customHeight="1">
      <c r="A25" s="95" t="s">
        <v>20</v>
      </c>
      <c r="B25" s="291">
        <v>1427.19</v>
      </c>
      <c r="N25" s="90"/>
    </row>
    <row r="26" spans="1:14" s="57" customFormat="1" ht="20.149999999999999" customHeight="1">
      <c r="A26" s="95" t="s">
        <v>23</v>
      </c>
      <c r="B26" s="291">
        <v>1430.69</v>
      </c>
      <c r="N26" s="90"/>
    </row>
    <row r="27" spans="1:14" s="57" customFormat="1" ht="20.149999999999999" customHeight="1">
      <c r="A27" s="9" t="s">
        <v>14</v>
      </c>
      <c r="B27" s="292">
        <v>1435.62</v>
      </c>
      <c r="N27" s="90"/>
    </row>
    <row r="28" spans="1:14" s="57" customFormat="1" ht="20.149999999999999" customHeight="1">
      <c r="A28" s="9" t="s">
        <v>16</v>
      </c>
      <c r="B28" s="292">
        <v>1436.17</v>
      </c>
      <c r="N28" s="90"/>
    </row>
    <row r="29" spans="1:14" s="57" customFormat="1" ht="20.149999999999999" customHeight="1">
      <c r="A29" s="9" t="s">
        <v>113</v>
      </c>
      <c r="B29" s="292">
        <v>1447.69</v>
      </c>
      <c r="N29" s="90"/>
    </row>
    <row r="30" spans="1:14" s="57" customFormat="1" ht="20.149999999999999" customHeight="1">
      <c r="A30" s="95" t="s">
        <v>24</v>
      </c>
      <c r="B30" s="291">
        <v>1452.12</v>
      </c>
      <c r="N30" s="90"/>
    </row>
    <row r="31" spans="1:14" s="57" customFormat="1" ht="20.149999999999999" customHeight="1">
      <c r="A31" s="95" t="s">
        <v>30</v>
      </c>
      <c r="B31" s="291">
        <v>1453.16</v>
      </c>
      <c r="N31" s="90"/>
    </row>
    <row r="32" spans="1:14" s="57" customFormat="1" ht="20.149999999999999" customHeight="1">
      <c r="A32" s="9" t="s">
        <v>127</v>
      </c>
      <c r="B32" s="292">
        <v>1479.2</v>
      </c>
      <c r="N32" s="90"/>
    </row>
    <row r="33" spans="1:14" s="57" customFormat="1" ht="20.149999999999999" customHeight="1">
      <c r="A33" s="9" t="s">
        <v>32</v>
      </c>
      <c r="B33" s="292">
        <v>1481.5</v>
      </c>
      <c r="N33" s="90"/>
    </row>
    <row r="34" spans="1:14" s="57" customFormat="1" ht="20.149999999999999" customHeight="1">
      <c r="A34" s="9" t="s">
        <v>854</v>
      </c>
      <c r="B34" s="292">
        <v>1486.43</v>
      </c>
      <c r="N34" s="90"/>
    </row>
    <row r="35" spans="1:14" s="57" customFormat="1" ht="20.149999999999999" customHeight="1">
      <c r="A35" s="95" t="s">
        <v>12</v>
      </c>
      <c r="B35" s="291">
        <v>1487.44</v>
      </c>
      <c r="N35" s="90"/>
    </row>
    <row r="36" spans="1:14" s="57" customFormat="1" ht="20.149999999999999" customHeight="1">
      <c r="A36" s="95" t="s">
        <v>853</v>
      </c>
      <c r="B36" s="291">
        <v>1489.55</v>
      </c>
      <c r="N36" s="90"/>
    </row>
    <row r="37" spans="1:14" s="57" customFormat="1" ht="20.149999999999999" customHeight="1">
      <c r="A37" s="9" t="s">
        <v>855</v>
      </c>
      <c r="B37" s="292">
        <v>1499</v>
      </c>
      <c r="D37" s="464"/>
      <c r="E37" s="464"/>
      <c r="F37" s="464"/>
      <c r="N37" s="90"/>
    </row>
    <row r="38" spans="1:14" s="57" customFormat="1" ht="20.149999999999999" customHeight="1">
      <c r="A38" s="95" t="s">
        <v>22</v>
      </c>
      <c r="B38" s="291">
        <v>1514.73</v>
      </c>
      <c r="N38" s="90"/>
    </row>
    <row r="39" spans="1:14" s="57" customFormat="1" ht="20.149999999999999" customHeight="1">
      <c r="A39" s="9" t="s">
        <v>21</v>
      </c>
      <c r="B39" s="292">
        <v>1547.01</v>
      </c>
    </row>
  </sheetData>
  <sortState xmlns:xlrd2="http://schemas.microsoft.com/office/spreadsheetml/2017/richdata2" ref="A7:B39">
    <sortCondition ref="B7:B39"/>
  </sortState>
  <mergeCells count="2">
    <mergeCell ref="F4:Q4"/>
    <mergeCell ref="D37:F37"/>
  </mergeCells>
  <hyperlinks>
    <hyperlink ref="A4" location="Contents!A1" display="Return to Contents" xr:uid="{ECDFAAEA-486D-4885-B648-E06988336720}"/>
  </hyperlinks>
  <pageMargins left="0.7" right="0.7" top="0.75" bottom="0.75" header="0.3" footer="0.3"/>
  <pageSetup paperSize="9"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0661A-862C-4F6B-B46F-4C9687F3BC85}">
  <sheetPr codeName="Sheet24">
    <tabColor rgb="FFDDE5F1"/>
  </sheetPr>
  <dimension ref="A1:G17"/>
  <sheetViews>
    <sheetView zoomScaleNormal="100" workbookViewId="0"/>
  </sheetViews>
  <sheetFormatPr defaultColWidth="9.1796875" defaultRowHeight="15.5"/>
  <cols>
    <col min="1" max="1" width="22.453125" style="53" customWidth="1"/>
    <col min="2" max="3" width="19" style="53" customWidth="1"/>
    <col min="4" max="5" width="9.1796875" style="53"/>
    <col min="6" max="6" width="9.81640625" style="53" bestFit="1" customWidth="1"/>
    <col min="7" max="16384" width="9.1796875" style="53"/>
  </cols>
  <sheetData>
    <row r="1" spans="1:7" ht="30" customHeight="1">
      <c r="A1" s="22" t="s">
        <v>811</v>
      </c>
      <c r="B1" s="36"/>
      <c r="C1" s="36"/>
      <c r="D1" s="36"/>
      <c r="E1" s="36"/>
      <c r="F1" s="37"/>
      <c r="G1" s="38"/>
    </row>
    <row r="2" spans="1:7" ht="20.149999999999999" customHeight="1">
      <c r="A2" s="7" t="s">
        <v>488</v>
      </c>
      <c r="B2" s="5"/>
      <c r="C2" s="5"/>
      <c r="D2" s="5"/>
      <c r="E2" s="5"/>
      <c r="F2" s="6"/>
      <c r="G2" s="7"/>
    </row>
    <row r="3" spans="1:7" ht="20.149999999999999" customHeight="1">
      <c r="A3" s="7" t="s">
        <v>487</v>
      </c>
      <c r="B3" s="5"/>
      <c r="C3" s="5"/>
      <c r="D3" s="5"/>
      <c r="E3" s="5"/>
      <c r="F3" s="6"/>
      <c r="G3" s="7"/>
    </row>
    <row r="4" spans="1:7" ht="20.149999999999999" customHeight="1">
      <c r="A4" s="203" t="s">
        <v>486</v>
      </c>
      <c r="D4" s="5"/>
      <c r="E4" s="5"/>
      <c r="F4" s="6"/>
      <c r="G4" s="7"/>
    </row>
    <row r="5" spans="1:7" s="9" customFormat="1" ht="20.149999999999999" customHeight="1">
      <c r="A5" s="15" t="s">
        <v>62</v>
      </c>
      <c r="B5" s="5"/>
      <c r="C5" s="5"/>
      <c r="D5" s="5"/>
      <c r="E5" s="5"/>
      <c r="F5" s="5"/>
    </row>
    <row r="6" spans="1:7" ht="9.75" customHeight="1"/>
    <row r="7" spans="1:7" ht="25" customHeight="1">
      <c r="A7" s="104" t="s">
        <v>258</v>
      </c>
      <c r="B7" s="96" t="s">
        <v>485</v>
      </c>
      <c r="C7" s="96" t="s">
        <v>484</v>
      </c>
    </row>
    <row r="8" spans="1:7" ht="20.149999999999999" customHeight="1">
      <c r="A8" s="57" t="s">
        <v>188</v>
      </c>
      <c r="B8" s="213">
        <v>1201</v>
      </c>
      <c r="C8" s="213">
        <v>1053.1156962400614</v>
      </c>
      <c r="F8" s="354"/>
      <c r="G8" s="354"/>
    </row>
    <row r="9" spans="1:7" ht="20.149999999999999" customHeight="1">
      <c r="A9" s="124" t="s">
        <v>424</v>
      </c>
      <c r="B9" s="214">
        <v>1198.2208756098044</v>
      </c>
      <c r="C9" s="214">
        <v>1057.264206990935</v>
      </c>
      <c r="F9" s="354"/>
      <c r="G9" s="354"/>
    </row>
    <row r="10" spans="1:7" ht="20.149999999999999" customHeight="1">
      <c r="A10" s="57" t="s">
        <v>600</v>
      </c>
      <c r="B10" s="430">
        <v>1238.0307376999101</v>
      </c>
      <c r="C10" s="213">
        <v>1095.6665003980788</v>
      </c>
      <c r="F10" s="354"/>
      <c r="G10" s="354"/>
    </row>
    <row r="11" spans="1:7" ht="20.149999999999999" customHeight="1">
      <c r="A11" s="201" t="s">
        <v>636</v>
      </c>
      <c r="B11" s="215">
        <v>1301.89440142477</v>
      </c>
      <c r="C11" s="215">
        <v>1152</v>
      </c>
      <c r="D11" s="55"/>
      <c r="F11" s="354"/>
      <c r="G11" s="354"/>
    </row>
    <row r="12" spans="1:7" ht="20.149999999999999" customHeight="1" thickBot="1">
      <c r="A12" s="52" t="s">
        <v>838</v>
      </c>
      <c r="B12" s="216">
        <v>1309.7148402647151</v>
      </c>
      <c r="C12" s="431">
        <v>1160</v>
      </c>
      <c r="D12" s="55"/>
      <c r="F12" s="358"/>
      <c r="G12" s="354"/>
    </row>
    <row r="17" spans="3:3">
      <c r="C17" s="55"/>
    </row>
  </sheetData>
  <hyperlinks>
    <hyperlink ref="A5" location="Contents!A1" display="Return to Contents" xr:uid="{7ED3C01E-904C-4C62-8CF0-68C0FC2ED969}"/>
  </hyperlinks>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FEBB0-F697-4911-9009-A012A0C09089}">
  <sheetPr codeName="Sheet25">
    <tabColor rgb="FFDDE5F1"/>
  </sheetPr>
  <dimension ref="A1:F39"/>
  <sheetViews>
    <sheetView zoomScaleNormal="100" workbookViewId="0"/>
  </sheetViews>
  <sheetFormatPr defaultColWidth="9.1796875" defaultRowHeight="15.5"/>
  <cols>
    <col min="1" max="1" width="30" style="53" customWidth="1"/>
    <col min="2" max="3" width="27.1796875" style="53" customWidth="1"/>
    <col min="4" max="7" width="9.1796875" style="53"/>
    <col min="8" max="8" width="9.26953125" style="53" bestFit="1" customWidth="1"/>
    <col min="9" max="16384" width="9.1796875" style="53"/>
  </cols>
  <sheetData>
    <row r="1" spans="1:5" ht="30" customHeight="1">
      <c r="A1" s="22" t="s">
        <v>791</v>
      </c>
      <c r="B1" s="56"/>
      <c r="C1" s="56"/>
      <c r="D1" s="56"/>
      <c r="E1" s="56"/>
    </row>
    <row r="2" spans="1:5" ht="20.149999999999999" customHeight="1">
      <c r="A2" s="7" t="s">
        <v>214</v>
      </c>
      <c r="B2" s="5"/>
      <c r="C2" s="5"/>
    </row>
    <row r="3" spans="1:5" ht="20.149999999999999" customHeight="1">
      <c r="A3" s="203" t="s">
        <v>412</v>
      </c>
      <c r="C3" s="5"/>
    </row>
    <row r="4" spans="1:5" s="9" customFormat="1" ht="20.149999999999999" customHeight="1">
      <c r="A4" s="15" t="s">
        <v>62</v>
      </c>
      <c r="B4" s="5"/>
      <c r="C4" s="5"/>
    </row>
    <row r="5" spans="1:5" ht="10" customHeight="1"/>
    <row r="6" spans="1:5" ht="40" customHeight="1">
      <c r="A6" s="104" t="s">
        <v>5</v>
      </c>
      <c r="B6" s="96" t="s">
        <v>490</v>
      </c>
      <c r="C6" s="96" t="s">
        <v>489</v>
      </c>
    </row>
    <row r="7" spans="1:5" ht="20.149999999999999" customHeight="1">
      <c r="A7" s="9" t="s">
        <v>6</v>
      </c>
      <c r="B7" s="432">
        <v>11057.05629322461</v>
      </c>
      <c r="C7" s="208">
        <v>12628</v>
      </c>
    </row>
    <row r="8" spans="1:5" ht="20.149999999999999" customHeight="1">
      <c r="A8" s="95" t="s">
        <v>7</v>
      </c>
      <c r="B8" s="433">
        <v>8955.2778712634881</v>
      </c>
      <c r="C8" s="209">
        <v>9749</v>
      </c>
    </row>
    <row r="9" spans="1:5" ht="20.149999999999999" customHeight="1">
      <c r="A9" s="9" t="s">
        <v>8</v>
      </c>
      <c r="B9" s="432">
        <v>5531.9373510263677</v>
      </c>
      <c r="C9" s="208">
        <v>6049</v>
      </c>
    </row>
    <row r="10" spans="1:5" ht="20.149999999999999" customHeight="1">
      <c r="A10" s="95" t="s">
        <v>127</v>
      </c>
      <c r="B10" s="433">
        <v>5453.5022453536321</v>
      </c>
      <c r="C10" s="209">
        <v>5953</v>
      </c>
    </row>
    <row r="11" spans="1:5" ht="20.149999999999999" customHeight="1">
      <c r="A11" s="9" t="s">
        <v>113</v>
      </c>
      <c r="B11" s="432">
        <v>25522.279416559675</v>
      </c>
      <c r="C11" s="208">
        <v>27395</v>
      </c>
    </row>
    <row r="12" spans="1:5" ht="20.149999999999999" customHeight="1">
      <c r="A12" s="95" t="s">
        <v>9</v>
      </c>
      <c r="B12" s="433">
        <v>3734.2412394801913</v>
      </c>
      <c r="C12" s="209">
        <v>4190</v>
      </c>
    </row>
    <row r="13" spans="1:5" ht="20.149999999999999" customHeight="1">
      <c r="A13" s="9" t="s">
        <v>10</v>
      </c>
      <c r="B13" s="432">
        <v>9655.5846278702484</v>
      </c>
      <c r="C13" s="208">
        <v>10807</v>
      </c>
    </row>
    <row r="14" spans="1:5" ht="20.149999999999999" customHeight="1">
      <c r="A14" s="95" t="s">
        <v>11</v>
      </c>
      <c r="B14" s="433">
        <v>12435.443665990386</v>
      </c>
      <c r="C14" s="209">
        <v>13617</v>
      </c>
    </row>
    <row r="15" spans="1:5" ht="20.149999999999999" customHeight="1">
      <c r="A15" s="9" t="s">
        <v>12</v>
      </c>
      <c r="B15" s="432">
        <v>9454.1685190321077</v>
      </c>
      <c r="C15" s="208">
        <v>10354</v>
      </c>
    </row>
    <row r="16" spans="1:5" ht="20.149999999999999" customHeight="1">
      <c r="A16" s="95" t="s">
        <v>13</v>
      </c>
      <c r="B16" s="433">
        <v>4843.1298331068565</v>
      </c>
      <c r="C16" s="209">
        <v>5347</v>
      </c>
    </row>
    <row r="17" spans="1:3" ht="20.149999999999999" customHeight="1">
      <c r="A17" s="9" t="s">
        <v>14</v>
      </c>
      <c r="B17" s="432">
        <v>5559.0627600599964</v>
      </c>
      <c r="C17" s="208">
        <v>6270</v>
      </c>
    </row>
    <row r="18" spans="1:3" ht="20.149999999999999" customHeight="1">
      <c r="A18" s="95" t="s">
        <v>15</v>
      </c>
      <c r="B18" s="433">
        <v>4052.8809307570118</v>
      </c>
      <c r="C18" s="209">
        <v>4400</v>
      </c>
    </row>
    <row r="19" spans="1:3" ht="20.149999999999999" customHeight="1">
      <c r="A19" s="9" t="s">
        <v>17</v>
      </c>
      <c r="B19" s="432">
        <v>8946.6963498550922</v>
      </c>
      <c r="C19" s="208">
        <v>10058</v>
      </c>
    </row>
    <row r="20" spans="1:3" ht="20.149999999999999" customHeight="1">
      <c r="A20" s="95" t="s">
        <v>18</v>
      </c>
      <c r="B20" s="433">
        <v>21196.108234477662</v>
      </c>
      <c r="C20" s="209">
        <v>23873</v>
      </c>
    </row>
    <row r="21" spans="1:3" ht="20.149999999999999" customHeight="1">
      <c r="A21" s="9" t="s">
        <v>19</v>
      </c>
      <c r="B21" s="432">
        <v>70374.037934992128</v>
      </c>
      <c r="C21" s="208">
        <v>77273</v>
      </c>
    </row>
    <row r="22" spans="1:3" ht="20.149999999999999" customHeight="1">
      <c r="A22" s="95" t="s">
        <v>20</v>
      </c>
      <c r="B22" s="433">
        <v>12582.538744313382</v>
      </c>
      <c r="C22" s="209">
        <v>13652</v>
      </c>
    </row>
    <row r="23" spans="1:3" ht="20.149999999999999" customHeight="1">
      <c r="A23" s="9" t="s">
        <v>21</v>
      </c>
      <c r="B23" s="432">
        <v>6733.4283620327187</v>
      </c>
      <c r="C23" s="208">
        <v>7917</v>
      </c>
    </row>
    <row r="24" spans="1:3" ht="20.149999999999999" customHeight="1">
      <c r="A24" s="95" t="s">
        <v>22</v>
      </c>
      <c r="B24" s="433">
        <v>4903.7855866980153</v>
      </c>
      <c r="C24" s="209">
        <v>5876</v>
      </c>
    </row>
    <row r="25" spans="1:3" ht="20.149999999999999" customHeight="1">
      <c r="A25" s="9" t="s">
        <v>23</v>
      </c>
      <c r="B25" s="432">
        <v>3907.8220134227354</v>
      </c>
      <c r="C25" s="208">
        <v>4335</v>
      </c>
    </row>
    <row r="26" spans="1:3" ht="20.149999999999999" customHeight="1">
      <c r="A26" s="95" t="s">
        <v>114</v>
      </c>
      <c r="B26" s="433">
        <v>1253.0659546708082</v>
      </c>
      <c r="C26" s="209">
        <v>1332</v>
      </c>
    </row>
    <row r="27" spans="1:3" ht="20.149999999999999" customHeight="1">
      <c r="A27" s="9" t="s">
        <v>24</v>
      </c>
      <c r="B27" s="432">
        <v>12820.293695624528</v>
      </c>
      <c r="C27" s="208">
        <v>14159</v>
      </c>
    </row>
    <row r="28" spans="1:3" ht="20.149999999999999" customHeight="1">
      <c r="A28" s="95" t="s">
        <v>25</v>
      </c>
      <c r="B28" s="433">
        <v>23583.17543496934</v>
      </c>
      <c r="C28" s="209">
        <v>26258</v>
      </c>
    </row>
    <row r="29" spans="1:3" ht="20.149999999999999" customHeight="1">
      <c r="A29" s="9" t="s">
        <v>26</v>
      </c>
      <c r="B29" s="432">
        <v>963.01053106704126</v>
      </c>
      <c r="C29" s="208">
        <v>990</v>
      </c>
    </row>
    <row r="30" spans="1:3" ht="20.149999999999999" customHeight="1">
      <c r="A30" s="95" t="s">
        <v>27</v>
      </c>
      <c r="B30" s="433">
        <v>6818.1045741842854</v>
      </c>
      <c r="C30" s="209">
        <v>7590</v>
      </c>
    </row>
    <row r="31" spans="1:3" ht="20.149999999999999" customHeight="1">
      <c r="A31" s="9" t="s">
        <v>16</v>
      </c>
      <c r="B31" s="432">
        <v>12750.939399878494</v>
      </c>
      <c r="C31" s="208">
        <v>13666</v>
      </c>
    </row>
    <row r="32" spans="1:3" ht="20.149999999999999" customHeight="1">
      <c r="A32" s="95" t="s">
        <v>28</v>
      </c>
      <c r="B32" s="433">
        <v>5411.8818665229146</v>
      </c>
      <c r="C32" s="209">
        <v>5745</v>
      </c>
    </row>
    <row r="33" spans="1:6" ht="20.149999999999999" customHeight="1">
      <c r="A33" s="9" t="s">
        <v>29</v>
      </c>
      <c r="B33" s="432">
        <v>719.6697894573399</v>
      </c>
      <c r="C33" s="208">
        <v>779</v>
      </c>
    </row>
    <row r="34" spans="1:6" ht="20.149999999999999" customHeight="1">
      <c r="A34" s="95" t="s">
        <v>30</v>
      </c>
      <c r="B34" s="433">
        <v>8220.2003501865292</v>
      </c>
      <c r="C34" s="209">
        <v>9077</v>
      </c>
    </row>
    <row r="35" spans="1:6" ht="20.149999999999999" customHeight="1">
      <c r="A35" s="9" t="s">
        <v>31</v>
      </c>
      <c r="B35" s="432">
        <v>21094.643445898033</v>
      </c>
      <c r="C35" s="208">
        <v>23613</v>
      </c>
    </row>
    <row r="36" spans="1:6" ht="20.149999999999999" customHeight="1">
      <c r="A36" s="95" t="s">
        <v>32</v>
      </c>
      <c r="B36" s="433">
        <v>4467.0953663740647</v>
      </c>
      <c r="C36" s="209">
        <v>5108</v>
      </c>
    </row>
    <row r="37" spans="1:6" ht="20.149999999999999" customHeight="1">
      <c r="A37" s="9" t="s">
        <v>33</v>
      </c>
      <c r="B37" s="432">
        <v>7563.4409140358266</v>
      </c>
      <c r="C37" s="208">
        <v>9141</v>
      </c>
    </row>
    <row r="38" spans="1:6" ht="20.149999999999999" customHeight="1">
      <c r="A38" s="95" t="s">
        <v>34</v>
      </c>
      <c r="B38" s="433">
        <v>10435.496697614524</v>
      </c>
      <c r="C38" s="209">
        <v>11809</v>
      </c>
    </row>
    <row r="39" spans="1:6" ht="25" customHeight="1">
      <c r="A39" s="104" t="s">
        <v>60</v>
      </c>
      <c r="B39" s="195">
        <v>350999.99999999977</v>
      </c>
      <c r="C39" s="210">
        <v>389010</v>
      </c>
      <c r="D39" s="204"/>
      <c r="E39" s="333"/>
      <c r="F39" s="333"/>
    </row>
  </sheetData>
  <hyperlinks>
    <hyperlink ref="A4" location="Contents!A1" display="Return to Contents" xr:uid="{70519AD1-F4C7-478B-B454-45AD340C8366}"/>
  </hyperlinks>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A3540-6323-4710-AB44-D64E703495DA}">
  <sheetPr codeName="Sheet26">
    <tabColor rgb="FFDDE5F1"/>
  </sheetPr>
  <dimension ref="A1:T19"/>
  <sheetViews>
    <sheetView zoomScaleNormal="100" workbookViewId="0"/>
  </sheetViews>
  <sheetFormatPr defaultColWidth="9.1796875" defaultRowHeight="15.5"/>
  <cols>
    <col min="1" max="1" width="46.54296875" style="7" customWidth="1"/>
    <col min="2" max="2" width="62" style="7" customWidth="1"/>
    <col min="3" max="3" width="55.1796875" style="7" customWidth="1"/>
    <col min="4" max="16384" width="9.1796875" style="9"/>
  </cols>
  <sheetData>
    <row r="1" spans="1:20" ht="30" customHeight="1">
      <c r="A1" s="22" t="s">
        <v>524</v>
      </c>
      <c r="B1" s="28"/>
      <c r="C1" s="28"/>
      <c r="D1" s="5"/>
      <c r="E1" s="5"/>
      <c r="F1" s="6"/>
      <c r="G1" s="7"/>
      <c r="H1" s="7"/>
      <c r="I1" s="8"/>
      <c r="J1" s="8"/>
      <c r="K1" s="7"/>
      <c r="L1" s="7"/>
      <c r="M1" s="7"/>
      <c r="N1" s="7"/>
      <c r="O1" s="7"/>
      <c r="P1" s="7"/>
      <c r="Q1" s="7"/>
      <c r="R1" s="7"/>
      <c r="S1" s="7"/>
      <c r="T1" s="7"/>
    </row>
    <row r="2" spans="1:20" ht="20.149999999999999" customHeight="1">
      <c r="A2" s="7" t="s">
        <v>523</v>
      </c>
    </row>
    <row r="3" spans="1:20" ht="20.149999999999999" customHeight="1">
      <c r="A3" s="112" t="s">
        <v>522</v>
      </c>
      <c r="E3" s="18"/>
      <c r="F3" s="18"/>
      <c r="G3" s="18"/>
      <c r="H3" s="18"/>
    </row>
    <row r="4" spans="1:20" ht="20.149999999999999" customHeight="1">
      <c r="A4" s="217" t="s">
        <v>62</v>
      </c>
      <c r="B4" s="28"/>
      <c r="C4" s="28"/>
      <c r="D4" s="5"/>
      <c r="E4" s="5"/>
      <c r="F4" s="5"/>
    </row>
    <row r="5" spans="1:20" ht="9.75" customHeight="1"/>
    <row r="6" spans="1:20" ht="25" customHeight="1">
      <c r="A6" s="104" t="s">
        <v>521</v>
      </c>
      <c r="B6" s="104" t="s">
        <v>520</v>
      </c>
      <c r="C6" s="104" t="s">
        <v>519</v>
      </c>
    </row>
    <row r="7" spans="1:20" ht="22" customHeight="1">
      <c r="A7" s="104" t="s">
        <v>518</v>
      </c>
      <c r="B7" s="96"/>
      <c r="C7" s="96"/>
    </row>
    <row r="8" spans="1:20" ht="35.15" customHeight="1">
      <c r="A8" s="144" t="s">
        <v>517</v>
      </c>
      <c r="B8" s="144" t="s">
        <v>516</v>
      </c>
      <c r="C8" s="144" t="s">
        <v>515</v>
      </c>
      <c r="G8" s="75"/>
    </row>
    <row r="9" spans="1:20" ht="50.15" customHeight="1">
      <c r="A9" s="101" t="s">
        <v>514</v>
      </c>
      <c r="B9" s="145" t="s">
        <v>513</v>
      </c>
      <c r="C9" s="145" t="s">
        <v>650</v>
      </c>
      <c r="G9" s="75"/>
    </row>
    <row r="10" spans="1:20" ht="35.15" customHeight="1">
      <c r="A10" s="144" t="s">
        <v>512</v>
      </c>
      <c r="B10" s="144" t="s">
        <v>509</v>
      </c>
      <c r="C10" s="144" t="s">
        <v>511</v>
      </c>
    </row>
    <row r="11" spans="1:20" ht="35.15" customHeight="1">
      <c r="A11" s="145" t="s">
        <v>510</v>
      </c>
      <c r="B11" s="145" t="s">
        <v>509</v>
      </c>
      <c r="C11" s="145" t="s">
        <v>508</v>
      </c>
    </row>
    <row r="12" spans="1:20" ht="35.15" customHeight="1">
      <c r="A12" s="144" t="s">
        <v>507</v>
      </c>
      <c r="B12" s="144" t="s">
        <v>506</v>
      </c>
      <c r="C12" s="144" t="s">
        <v>505</v>
      </c>
    </row>
    <row r="13" spans="1:20" ht="22" customHeight="1">
      <c r="A13" s="104" t="s">
        <v>504</v>
      </c>
      <c r="B13" s="218"/>
      <c r="C13" s="218"/>
    </row>
    <row r="14" spans="1:20" ht="50.15" customHeight="1">
      <c r="A14" s="101" t="s">
        <v>503</v>
      </c>
      <c r="B14" s="145" t="s">
        <v>502</v>
      </c>
      <c r="C14" s="101" t="s">
        <v>493</v>
      </c>
    </row>
    <row r="15" spans="1:20" ht="80.150000000000006" customHeight="1">
      <c r="A15" s="7" t="s">
        <v>501</v>
      </c>
      <c r="B15" s="144" t="s">
        <v>500</v>
      </c>
      <c r="C15" s="7" t="s">
        <v>493</v>
      </c>
    </row>
    <row r="16" spans="1:20" ht="22" customHeight="1">
      <c r="A16" s="104" t="s">
        <v>499</v>
      </c>
      <c r="B16" s="218"/>
      <c r="C16" s="218"/>
    </row>
    <row r="17" spans="1:3" ht="50.15" customHeight="1">
      <c r="A17" s="101" t="s">
        <v>498</v>
      </c>
      <c r="B17" s="145" t="s">
        <v>497</v>
      </c>
      <c r="C17" s="145" t="s">
        <v>496</v>
      </c>
    </row>
    <row r="18" spans="1:3" ht="50.15" customHeight="1">
      <c r="A18" s="7" t="s">
        <v>495</v>
      </c>
      <c r="B18" s="144" t="s">
        <v>494</v>
      </c>
      <c r="C18" s="219" t="s">
        <v>493</v>
      </c>
    </row>
    <row r="19" spans="1:3" ht="78" thickBot="1">
      <c r="A19" s="102" t="s">
        <v>492</v>
      </c>
      <c r="B19" s="220" t="s">
        <v>858</v>
      </c>
      <c r="C19" s="220" t="s">
        <v>491</v>
      </c>
    </row>
  </sheetData>
  <hyperlinks>
    <hyperlink ref="A4" location="Contents!A1" display="Return to Contents" xr:uid="{9F220AD1-9075-4D72-ABB8-AB39C401FE93}"/>
  </hyperlinks>
  <pageMargins left="0.7" right="0.7" top="0.75" bottom="0.75"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53224-D7C5-47F8-872B-F23C8B6533FF}">
  <sheetPr codeName="Sheet27">
    <tabColor rgb="FFDDE5F1"/>
  </sheetPr>
  <dimension ref="A1:K29"/>
  <sheetViews>
    <sheetView zoomScaleNormal="100" workbookViewId="0"/>
  </sheetViews>
  <sheetFormatPr defaultColWidth="9.1796875" defaultRowHeight="15.5"/>
  <cols>
    <col min="1" max="1" width="43.453125" style="9" customWidth="1"/>
    <col min="2" max="6" width="15.54296875" style="9" customWidth="1"/>
    <col min="7" max="16384" width="9.1796875" style="9"/>
  </cols>
  <sheetData>
    <row r="1" spans="1:11" ht="30" customHeight="1">
      <c r="A1" s="22" t="s">
        <v>812</v>
      </c>
      <c r="B1" s="13"/>
      <c r="C1" s="13"/>
      <c r="D1" s="13"/>
      <c r="E1" s="13"/>
      <c r="F1" s="13"/>
      <c r="G1" s="13"/>
      <c r="H1" s="13"/>
      <c r="I1" s="13"/>
      <c r="J1" s="13"/>
      <c r="K1" s="13"/>
    </row>
    <row r="2" spans="1:11" ht="20.149999999999999" customHeight="1">
      <c r="A2" s="7" t="s">
        <v>255</v>
      </c>
      <c r="B2" s="5"/>
    </row>
    <row r="3" spans="1:11" ht="20.149999999999999" customHeight="1">
      <c r="A3" s="54" t="s">
        <v>531</v>
      </c>
      <c r="B3" s="5"/>
    </row>
    <row r="4" spans="1:11" ht="20.149999999999999" customHeight="1">
      <c r="A4" s="54" t="s">
        <v>530</v>
      </c>
      <c r="B4" s="5"/>
    </row>
    <row r="5" spans="1:11" ht="20.149999999999999" customHeight="1">
      <c r="A5" s="7" t="s">
        <v>529</v>
      </c>
      <c r="B5" s="5"/>
    </row>
    <row r="6" spans="1:11" ht="20.149999999999999" customHeight="1">
      <c r="A6" s="15" t="s">
        <v>62</v>
      </c>
      <c r="B6" s="5"/>
      <c r="C6" s="5"/>
      <c r="D6" s="5"/>
      <c r="E6" s="5"/>
      <c r="F6" s="5"/>
    </row>
    <row r="7" spans="1:11" ht="10" customHeight="1">
      <c r="D7" s="51"/>
      <c r="E7" s="51"/>
      <c r="F7" s="51"/>
    </row>
    <row r="8" spans="1:11" ht="25" customHeight="1">
      <c r="A8" s="98" t="s">
        <v>521</v>
      </c>
      <c r="B8" s="99" t="s">
        <v>188</v>
      </c>
      <c r="C8" s="99" t="s">
        <v>424</v>
      </c>
      <c r="D8" s="99" t="s">
        <v>600</v>
      </c>
      <c r="E8" s="99" t="s">
        <v>636</v>
      </c>
      <c r="F8" s="99" t="s">
        <v>838</v>
      </c>
    </row>
    <row r="9" spans="1:11" ht="20.149999999999999" customHeight="1">
      <c r="A9" s="7" t="s">
        <v>498</v>
      </c>
      <c r="B9" s="20">
        <v>14009</v>
      </c>
      <c r="C9" s="20">
        <v>13988</v>
      </c>
      <c r="D9" s="20">
        <v>14096</v>
      </c>
      <c r="E9" s="20">
        <v>14686</v>
      </c>
      <c r="F9" s="20">
        <v>15082</v>
      </c>
    </row>
    <row r="10" spans="1:11" ht="20.149999999999999" customHeight="1">
      <c r="A10" s="101" t="s">
        <v>517</v>
      </c>
      <c r="B10" s="222">
        <v>1004557</v>
      </c>
      <c r="C10" s="196">
        <v>1025094</v>
      </c>
      <c r="D10" s="196">
        <v>1037962</v>
      </c>
      <c r="E10" s="196">
        <v>1048186</v>
      </c>
      <c r="F10" s="222">
        <v>1054874</v>
      </c>
    </row>
    <row r="11" spans="1:11" ht="20.149999999999999" customHeight="1">
      <c r="A11" s="7" t="s">
        <v>514</v>
      </c>
      <c r="B11" s="20">
        <v>24466</v>
      </c>
      <c r="C11" s="223">
        <v>23890</v>
      </c>
      <c r="D11" s="223">
        <v>24287</v>
      </c>
      <c r="E11" s="223">
        <v>24061</v>
      </c>
      <c r="F11" s="20">
        <v>21606</v>
      </c>
    </row>
    <row r="12" spans="1:11" ht="20.149999999999999" customHeight="1">
      <c r="A12" s="145" t="s">
        <v>528</v>
      </c>
      <c r="B12" s="222">
        <v>47333</v>
      </c>
      <c r="C12" s="196">
        <v>43766</v>
      </c>
      <c r="D12" s="196">
        <v>44601</v>
      </c>
      <c r="E12" s="196">
        <v>46217</v>
      </c>
      <c r="F12" s="222">
        <v>43538</v>
      </c>
    </row>
    <row r="13" spans="1:11" ht="20.149999999999999" customHeight="1">
      <c r="A13" s="7" t="s">
        <v>507</v>
      </c>
      <c r="B13" s="20">
        <v>1500</v>
      </c>
      <c r="C13" s="20">
        <v>1460</v>
      </c>
      <c r="D13" s="20">
        <v>1434</v>
      </c>
      <c r="E13" s="20">
        <v>1462</v>
      </c>
      <c r="F13" s="20">
        <v>1495</v>
      </c>
    </row>
    <row r="14" spans="1:11" ht="20.149999999999999" customHeight="1">
      <c r="A14" s="101" t="s">
        <v>527</v>
      </c>
      <c r="B14" s="222">
        <v>1445031</v>
      </c>
      <c r="C14" s="206">
        <v>1446423</v>
      </c>
      <c r="D14" s="206">
        <v>1454073</v>
      </c>
      <c r="E14" s="206">
        <v>1461802</v>
      </c>
      <c r="F14" s="222">
        <v>1480941</v>
      </c>
    </row>
    <row r="15" spans="1:11" ht="20.149999999999999" customHeight="1">
      <c r="A15" s="7" t="s">
        <v>526</v>
      </c>
      <c r="B15" s="20">
        <v>500620</v>
      </c>
      <c r="C15" s="20">
        <v>482060</v>
      </c>
      <c r="D15" s="20">
        <v>462200</v>
      </c>
      <c r="E15" s="20">
        <v>460750</v>
      </c>
      <c r="F15" s="20">
        <v>460680</v>
      </c>
    </row>
    <row r="16" spans="1:11" ht="22" customHeight="1">
      <c r="A16" s="98" t="s">
        <v>525</v>
      </c>
      <c r="B16" s="221">
        <v>2522887</v>
      </c>
      <c r="C16" s="221">
        <v>2540633</v>
      </c>
      <c r="D16" s="221">
        <v>2562357</v>
      </c>
      <c r="E16" s="221">
        <v>2581728</v>
      </c>
      <c r="F16" s="221">
        <v>2602545</v>
      </c>
    </row>
    <row r="20" spans="6:6">
      <c r="F20" s="44"/>
    </row>
    <row r="21" spans="6:6">
      <c r="F21" s="44"/>
    </row>
    <row r="22" spans="6:6">
      <c r="F22" s="44"/>
    </row>
    <row r="23" spans="6:6">
      <c r="F23" s="44"/>
    </row>
    <row r="24" spans="6:6">
      <c r="F24" s="44"/>
    </row>
    <row r="25" spans="6:6">
      <c r="F25" s="44"/>
    </row>
    <row r="26" spans="6:6">
      <c r="F26" s="44"/>
    </row>
    <row r="27" spans="6:6">
      <c r="F27" s="44"/>
    </row>
    <row r="28" spans="6:6">
      <c r="F28" s="44"/>
    </row>
    <row r="29" spans="6:6">
      <c r="F29" s="44"/>
    </row>
  </sheetData>
  <hyperlinks>
    <hyperlink ref="A6" location="Contents!A1" display="Return to Contents" xr:uid="{FECF6FCB-35B8-473A-B1D2-59430592F7AA}"/>
  </hyperlinks>
  <pageMargins left="0.7" right="0.7" top="0.75" bottom="0.75"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C0EFD-BAD4-41D8-BD44-A643AED85299}">
  <sheetPr>
    <tabColor rgb="FFDDE5F1"/>
  </sheetPr>
  <dimension ref="A1:Q14"/>
  <sheetViews>
    <sheetView zoomScaleNormal="100" workbookViewId="0">
      <selection sqref="A1:J1"/>
    </sheetView>
  </sheetViews>
  <sheetFormatPr defaultColWidth="9.1796875" defaultRowHeight="15.5"/>
  <cols>
    <col min="1" max="1" width="32.81640625" style="57" customWidth="1"/>
    <col min="2" max="16" width="14.81640625" style="57" customWidth="1"/>
    <col min="17" max="17" width="13.453125" style="57" customWidth="1"/>
    <col min="18" max="16384" width="9.1796875" style="57"/>
  </cols>
  <sheetData>
    <row r="1" spans="1:17" ht="30" customHeight="1">
      <c r="A1" s="465" t="s">
        <v>862</v>
      </c>
      <c r="B1" s="465"/>
      <c r="C1" s="465"/>
      <c r="D1" s="465"/>
      <c r="E1" s="465"/>
      <c r="F1" s="465"/>
      <c r="G1" s="465"/>
      <c r="H1" s="465"/>
      <c r="I1" s="465"/>
      <c r="J1" s="465"/>
    </row>
    <row r="2" spans="1:17" ht="20.149999999999999" customHeight="1">
      <c r="A2" s="466" t="s">
        <v>214</v>
      </c>
      <c r="B2" s="466"/>
      <c r="C2" s="466"/>
      <c r="D2" s="466"/>
      <c r="E2" s="466"/>
      <c r="F2" s="466"/>
      <c r="G2" s="466"/>
      <c r="H2" s="466"/>
      <c r="I2" s="466"/>
      <c r="J2" s="466"/>
    </row>
    <row r="3" spans="1:17" ht="60" customHeight="1">
      <c r="A3" s="467" t="s">
        <v>863</v>
      </c>
      <c r="B3" s="467"/>
      <c r="C3" s="467"/>
      <c r="D3" s="467"/>
      <c r="E3" s="467"/>
      <c r="F3" s="467"/>
      <c r="G3" s="467"/>
      <c r="H3" s="467"/>
      <c r="I3" s="467"/>
      <c r="J3" s="467"/>
    </row>
    <row r="4" spans="1:17" ht="20.149999999999999" customHeight="1">
      <c r="A4" s="7" t="s">
        <v>693</v>
      </c>
      <c r="B4" s="7"/>
      <c r="C4" s="7"/>
      <c r="D4" s="7"/>
      <c r="E4" s="159"/>
      <c r="F4" s="159"/>
      <c r="G4" s="159"/>
      <c r="H4" s="159"/>
      <c r="I4" s="159"/>
      <c r="J4" s="159"/>
    </row>
    <row r="5" spans="1:17" s="9" customFormat="1" ht="20.149999999999999" customHeight="1">
      <c r="A5" s="15" t="s">
        <v>62</v>
      </c>
      <c r="B5" s="5"/>
      <c r="C5" s="5"/>
      <c r="D5" s="5"/>
      <c r="E5" s="5"/>
      <c r="F5" s="5"/>
      <c r="Q5" s="384"/>
    </row>
    <row r="6" spans="1:17" ht="9.75" customHeight="1"/>
    <row r="7" spans="1:17" ht="25.4" customHeight="1">
      <c r="A7" s="122" t="s">
        <v>532</v>
      </c>
      <c r="B7" s="99" t="s">
        <v>123</v>
      </c>
      <c r="C7" s="99" t="s">
        <v>128</v>
      </c>
      <c r="D7" s="99" t="s">
        <v>124</v>
      </c>
      <c r="E7" s="99" t="s">
        <v>125</v>
      </c>
      <c r="F7" s="99" t="s">
        <v>126</v>
      </c>
      <c r="G7" s="99" t="s">
        <v>0</v>
      </c>
      <c r="H7" s="99" t="s">
        <v>1</v>
      </c>
      <c r="I7" s="99" t="s">
        <v>2</v>
      </c>
      <c r="J7" s="99" t="s">
        <v>3</v>
      </c>
      <c r="K7" s="99" t="s">
        <v>4</v>
      </c>
      <c r="L7" s="99" t="s">
        <v>153</v>
      </c>
      <c r="M7" s="99" t="s">
        <v>188</v>
      </c>
      <c r="N7" s="99" t="s">
        <v>424</v>
      </c>
      <c r="O7" s="99" t="s">
        <v>600</v>
      </c>
      <c r="P7" s="99" t="s">
        <v>636</v>
      </c>
      <c r="Q7" s="99" t="s">
        <v>838</v>
      </c>
    </row>
    <row r="8" spans="1:17" ht="20.149999999999999" customHeight="1">
      <c r="A8" s="235" t="s">
        <v>651</v>
      </c>
      <c r="B8" s="158">
        <v>2009.82620395</v>
      </c>
      <c r="C8" s="158">
        <v>2138.1625371181817</v>
      </c>
      <c r="D8" s="158">
        <v>2251.05174244</v>
      </c>
      <c r="E8" s="158">
        <v>2346.915211</v>
      </c>
      <c r="F8" s="158">
        <v>2366.8845059999999</v>
      </c>
      <c r="G8" s="158">
        <v>2511.2895960000001</v>
      </c>
      <c r="H8" s="158">
        <v>2578.770344</v>
      </c>
      <c r="I8" s="158">
        <v>2731.4814409999999</v>
      </c>
      <c r="J8" s="158">
        <v>2762.2488539999999</v>
      </c>
      <c r="K8" s="158">
        <v>2846.5466270000002</v>
      </c>
      <c r="L8" s="158">
        <v>2752.830731</v>
      </c>
      <c r="M8" s="158">
        <v>1816.1203089999999</v>
      </c>
      <c r="N8" s="158">
        <v>2108.180163</v>
      </c>
      <c r="O8" s="158">
        <v>2791.9627499999997</v>
      </c>
      <c r="P8" s="158">
        <v>3033</v>
      </c>
      <c r="Q8" s="158">
        <v>3146.3172327100001</v>
      </c>
    </row>
    <row r="9" spans="1:17" ht="20.149999999999999" customHeight="1" thickBot="1">
      <c r="A9" s="246" t="s">
        <v>652</v>
      </c>
      <c r="B9" s="247">
        <v>2127</v>
      </c>
      <c r="C9" s="247">
        <v>2068</v>
      </c>
      <c r="D9" s="247">
        <v>2171</v>
      </c>
      <c r="E9" s="247">
        <v>2263</v>
      </c>
      <c r="F9" s="247">
        <v>2435</v>
      </c>
      <c r="G9" s="247">
        <v>2649.5</v>
      </c>
      <c r="H9" s="247">
        <v>2788.5</v>
      </c>
      <c r="I9" s="247">
        <v>2768.5</v>
      </c>
      <c r="J9" s="247">
        <v>2665.8</v>
      </c>
      <c r="K9" s="247">
        <v>2636</v>
      </c>
      <c r="L9" s="247">
        <v>2853</v>
      </c>
      <c r="M9" s="247">
        <v>1868.0299999999997</v>
      </c>
      <c r="N9" s="294">
        <v>2090</v>
      </c>
      <c r="O9" s="294">
        <v>2765.9999999999995</v>
      </c>
      <c r="P9" s="294">
        <v>3047</v>
      </c>
      <c r="Q9" s="294">
        <v>3068</v>
      </c>
    </row>
    <row r="11" spans="1:17">
      <c r="M11" s="385"/>
      <c r="N11" s="385"/>
    </row>
    <row r="12" spans="1:17">
      <c r="N12" s="385"/>
    </row>
    <row r="14" spans="1:17">
      <c r="A14" s="7"/>
    </row>
  </sheetData>
  <mergeCells count="3">
    <mergeCell ref="A1:J1"/>
    <mergeCell ref="A2:J2"/>
    <mergeCell ref="A3:J3"/>
  </mergeCells>
  <hyperlinks>
    <hyperlink ref="A5" location="Contents!A1" display="Return to Contents" xr:uid="{B44C4C53-3C46-4504-B578-625781574C8C}"/>
  </hyperlinks>
  <pageMargins left="0.7" right="0.7" top="0.75" bottom="0.75"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EF46F5-8746-4A3B-A50D-2A1CDC0D721A}">
  <sheetPr>
    <tabColor rgb="FFDDE5F1"/>
  </sheetPr>
  <dimension ref="A1:O46"/>
  <sheetViews>
    <sheetView zoomScaleNormal="100" workbookViewId="0"/>
  </sheetViews>
  <sheetFormatPr defaultColWidth="9.1796875" defaultRowHeight="15.5"/>
  <cols>
    <col min="1" max="1" width="25.81640625" style="9" customWidth="1"/>
    <col min="2" max="5" width="28.81640625" style="9" customWidth="1"/>
    <col min="6" max="6" width="15.81640625" style="9" customWidth="1"/>
    <col min="7" max="7" width="14.81640625" style="9" bestFit="1" customWidth="1"/>
    <col min="8" max="8" width="16.54296875" style="9" customWidth="1"/>
    <col min="9" max="9" width="12.1796875" style="9" customWidth="1"/>
    <col min="10" max="16384" width="9.1796875" style="9"/>
  </cols>
  <sheetData>
    <row r="1" spans="1:15" ht="30" customHeight="1">
      <c r="A1" s="234" t="s">
        <v>826</v>
      </c>
      <c r="B1" s="234"/>
      <c r="C1" s="234"/>
      <c r="D1" s="234"/>
      <c r="E1" s="234"/>
      <c r="F1" s="7"/>
      <c r="G1" s="7"/>
      <c r="H1" s="7"/>
      <c r="I1" s="7"/>
      <c r="J1" s="7"/>
      <c r="K1" s="7"/>
      <c r="L1" s="7"/>
      <c r="M1" s="7"/>
      <c r="N1" s="7"/>
      <c r="O1" s="7"/>
    </row>
    <row r="2" spans="1:15" ht="20.149999999999999" customHeight="1">
      <c r="A2" s="7" t="s">
        <v>255</v>
      </c>
      <c r="B2" s="199"/>
      <c r="C2" s="234"/>
      <c r="D2" s="234"/>
      <c r="E2" s="234"/>
      <c r="F2" s="7"/>
      <c r="G2" s="7"/>
      <c r="H2" s="7"/>
      <c r="I2" s="7"/>
      <c r="J2" s="7"/>
      <c r="K2" s="7"/>
      <c r="L2" s="7"/>
      <c r="M2" s="7"/>
      <c r="N2" s="7"/>
      <c r="O2" s="7"/>
    </row>
    <row r="3" spans="1:15" s="57" customFormat="1" ht="20.149999999999999" customHeight="1">
      <c r="A3" s="54" t="s">
        <v>533</v>
      </c>
      <c r="B3" s="54"/>
      <c r="C3" s="159"/>
      <c r="D3" s="159"/>
      <c r="E3" s="159"/>
      <c r="F3" s="159"/>
      <c r="G3" s="159"/>
      <c r="H3" s="159"/>
      <c r="I3" s="159"/>
      <c r="J3" s="159"/>
      <c r="K3" s="159"/>
      <c r="L3" s="159"/>
      <c r="M3" s="159"/>
      <c r="N3" s="159"/>
      <c r="O3" s="159"/>
    </row>
    <row r="4" spans="1:15" s="57" customFormat="1" ht="20.149999999999999" customHeight="1">
      <c r="A4" s="245" t="s">
        <v>534</v>
      </c>
      <c r="B4" s="245"/>
      <c r="C4" s="159"/>
      <c r="D4" s="159"/>
      <c r="E4" s="159"/>
      <c r="F4" s="159"/>
      <c r="G4" s="159"/>
      <c r="H4" s="159"/>
      <c r="I4" s="159"/>
      <c r="J4" s="159"/>
      <c r="K4" s="159"/>
      <c r="L4" s="159"/>
      <c r="M4" s="159"/>
      <c r="N4" s="159"/>
      <c r="O4" s="159"/>
    </row>
    <row r="5" spans="1:15" s="57" customFormat="1" ht="20.149999999999999" customHeight="1">
      <c r="A5" s="54" t="s">
        <v>535</v>
      </c>
      <c r="B5" s="54"/>
      <c r="C5" s="159"/>
      <c r="D5" s="159"/>
      <c r="E5" s="159"/>
      <c r="F5" s="159"/>
      <c r="G5" s="159"/>
      <c r="H5" s="159"/>
      <c r="I5" s="159"/>
      <c r="J5" s="159"/>
      <c r="K5" s="159"/>
      <c r="L5" s="159"/>
      <c r="M5" s="159"/>
      <c r="N5" s="159"/>
      <c r="O5" s="159"/>
    </row>
    <row r="6" spans="1:15" s="57" customFormat="1" ht="20.149999999999999" customHeight="1">
      <c r="A6" s="54" t="s">
        <v>536</v>
      </c>
      <c r="B6" s="54"/>
      <c r="C6" s="159"/>
      <c r="D6" s="159"/>
      <c r="E6" s="159"/>
      <c r="F6" s="159"/>
      <c r="G6" s="159"/>
      <c r="H6" s="159"/>
      <c r="I6" s="159"/>
      <c r="J6" s="159"/>
      <c r="K6" s="159"/>
      <c r="L6" s="159"/>
      <c r="M6" s="159"/>
      <c r="N6" s="159"/>
      <c r="O6" s="159"/>
    </row>
    <row r="7" spans="1:15" s="57" customFormat="1" ht="20.149999999999999" customHeight="1">
      <c r="A7" s="54" t="s">
        <v>537</v>
      </c>
      <c r="B7" s="54"/>
      <c r="C7" s="159"/>
      <c r="D7" s="159"/>
      <c r="E7" s="159"/>
      <c r="F7" s="159"/>
      <c r="G7" s="159"/>
      <c r="H7" s="159"/>
      <c r="I7" s="159"/>
      <c r="J7" s="159"/>
      <c r="K7" s="159"/>
      <c r="L7" s="159"/>
      <c r="M7" s="159"/>
      <c r="N7" s="159"/>
      <c r="O7" s="159"/>
    </row>
    <row r="8" spans="1:15" ht="20.149999999999999" customHeight="1">
      <c r="A8" s="159" t="s">
        <v>884</v>
      </c>
      <c r="B8" s="300"/>
      <c r="C8" s="300"/>
      <c r="D8" s="300"/>
      <c r="E8" s="300"/>
      <c r="F8" s="7"/>
      <c r="G8" s="7"/>
      <c r="H8" s="7"/>
      <c r="I8" s="7"/>
      <c r="J8" s="7"/>
      <c r="K8" s="7"/>
      <c r="L8" s="7"/>
      <c r="M8" s="7"/>
      <c r="N8" s="7"/>
      <c r="O8" s="7"/>
    </row>
    <row r="9" spans="1:15" ht="21.65" customHeight="1">
      <c r="A9" s="217" t="s">
        <v>62</v>
      </c>
      <c r="B9" s="28"/>
      <c r="C9" s="28"/>
      <c r="D9" s="461" t="s">
        <v>888</v>
      </c>
      <c r="E9" s="461" t="s">
        <v>888</v>
      </c>
      <c r="F9" s="7"/>
      <c r="G9" s="7"/>
      <c r="H9" s="7"/>
      <c r="I9" s="7"/>
      <c r="J9" s="7"/>
      <c r="K9" s="7"/>
      <c r="L9" s="7"/>
      <c r="M9" s="7"/>
      <c r="N9" s="7"/>
      <c r="O9" s="7"/>
    </row>
    <row r="10" spans="1:15" s="57" customFormat="1" ht="9.75" customHeight="1">
      <c r="C10" s="441"/>
      <c r="D10" s="7"/>
      <c r="E10" s="7"/>
      <c r="F10" s="442"/>
      <c r="G10" s="442"/>
      <c r="H10" s="442"/>
      <c r="I10" s="442"/>
      <c r="J10" s="442"/>
    </row>
    <row r="11" spans="1:15" ht="55.4" customHeight="1">
      <c r="A11" s="98" t="s">
        <v>5</v>
      </c>
      <c r="B11" s="96" t="s">
        <v>864</v>
      </c>
      <c r="C11" s="96" t="s">
        <v>865</v>
      </c>
      <c r="D11" s="96" t="s">
        <v>866</v>
      </c>
      <c r="E11" s="96" t="s">
        <v>867</v>
      </c>
    </row>
    <row r="12" spans="1:15" ht="20.149999999999999" customHeight="1">
      <c r="A12" s="9" t="s">
        <v>6</v>
      </c>
      <c r="B12" s="319">
        <v>9903</v>
      </c>
      <c r="C12" s="319">
        <v>484807.25400000002</v>
      </c>
      <c r="D12" s="319">
        <v>205176.51500000001</v>
      </c>
      <c r="E12" s="319">
        <v>208768</v>
      </c>
      <c r="F12" s="443"/>
      <c r="G12" s="460"/>
      <c r="H12" s="460"/>
      <c r="J12" s="444"/>
      <c r="K12" s="444"/>
    </row>
    <row r="13" spans="1:15" ht="20.149999999999999" customHeight="1">
      <c r="A13" s="95" t="s">
        <v>7</v>
      </c>
      <c r="B13" s="318">
        <v>14270</v>
      </c>
      <c r="C13" s="318">
        <v>305200.364</v>
      </c>
      <c r="D13" s="318">
        <v>132333.32399999999</v>
      </c>
      <c r="E13" s="318">
        <v>131630</v>
      </c>
      <c r="F13" s="443"/>
      <c r="G13" s="460"/>
      <c r="H13" s="460"/>
      <c r="J13" s="444"/>
      <c r="K13" s="444"/>
    </row>
    <row r="14" spans="1:15" ht="20.149999999999999" customHeight="1">
      <c r="A14" s="9" t="s">
        <v>8</v>
      </c>
      <c r="B14" s="319">
        <v>5619</v>
      </c>
      <c r="C14" s="319">
        <v>87563.664999999994</v>
      </c>
      <c r="D14" s="319">
        <v>29970.205000000002</v>
      </c>
      <c r="E14" s="319">
        <v>29304</v>
      </c>
      <c r="F14" s="443"/>
      <c r="G14" s="460"/>
      <c r="H14" s="460"/>
      <c r="J14" s="444"/>
      <c r="K14" s="444"/>
    </row>
    <row r="15" spans="1:15" ht="20.149999999999999" customHeight="1">
      <c r="A15" s="95" t="s">
        <v>653</v>
      </c>
      <c r="B15" s="318">
        <v>9644</v>
      </c>
      <c r="C15" s="318">
        <v>133271.57399999999</v>
      </c>
      <c r="D15" s="318">
        <v>47563.665999999997</v>
      </c>
      <c r="E15" s="318">
        <v>41334</v>
      </c>
      <c r="F15" s="443"/>
      <c r="G15" s="460"/>
      <c r="H15" s="460"/>
      <c r="J15" s="444"/>
      <c r="K15" s="444"/>
    </row>
    <row r="16" spans="1:15" ht="20.149999999999999" customHeight="1">
      <c r="A16" s="9" t="s">
        <v>113</v>
      </c>
      <c r="B16" s="319">
        <v>22910</v>
      </c>
      <c r="C16" s="319">
        <v>990250.00800000003</v>
      </c>
      <c r="D16" s="319">
        <v>402779.27399999998</v>
      </c>
      <c r="E16" s="319">
        <v>407645</v>
      </c>
      <c r="F16" s="443"/>
      <c r="G16" s="460"/>
      <c r="H16" s="460"/>
      <c r="J16" s="444"/>
      <c r="K16" s="444"/>
    </row>
    <row r="17" spans="1:11" ht="20.149999999999999" customHeight="1">
      <c r="A17" s="95" t="s">
        <v>9</v>
      </c>
      <c r="B17" s="318">
        <v>1728</v>
      </c>
      <c r="C17" s="318">
        <v>46631.31</v>
      </c>
      <c r="D17" s="318">
        <v>18684.238000000001</v>
      </c>
      <c r="E17" s="318">
        <v>19659</v>
      </c>
      <c r="F17" s="443"/>
      <c r="G17" s="460"/>
      <c r="H17" s="460"/>
      <c r="J17" s="444"/>
      <c r="K17" s="444"/>
    </row>
    <row r="18" spans="1:11" ht="20.149999999999999" customHeight="1">
      <c r="A18" s="9" t="s">
        <v>654</v>
      </c>
      <c r="B18" s="319">
        <v>10397</v>
      </c>
      <c r="C18" s="319">
        <v>158136.864</v>
      </c>
      <c r="D18" s="319">
        <v>65300.065999999999</v>
      </c>
      <c r="E18" s="319">
        <v>63708</v>
      </c>
      <c r="F18" s="443"/>
      <c r="G18" s="460"/>
      <c r="H18" s="460"/>
      <c r="J18" s="444"/>
      <c r="K18" s="444"/>
    </row>
    <row r="19" spans="1:11" ht="20.149999999999999" customHeight="1">
      <c r="A19" s="95" t="s">
        <v>11</v>
      </c>
      <c r="B19" s="318">
        <v>6285</v>
      </c>
      <c r="C19" s="318">
        <v>193360.31599999999</v>
      </c>
      <c r="D19" s="318">
        <v>67243.812000000005</v>
      </c>
      <c r="E19" s="318">
        <v>73695</v>
      </c>
      <c r="F19" s="443"/>
      <c r="G19" s="460"/>
      <c r="H19" s="460"/>
      <c r="J19" s="444"/>
      <c r="K19" s="444"/>
    </row>
    <row r="20" spans="1:11" ht="20.149999999999999" customHeight="1">
      <c r="A20" s="9" t="s">
        <v>12</v>
      </c>
      <c r="B20" s="319">
        <v>4760</v>
      </c>
      <c r="C20" s="319">
        <v>89088.510999999999</v>
      </c>
      <c r="D20" s="319">
        <v>32659.62</v>
      </c>
      <c r="E20" s="319">
        <v>33530</v>
      </c>
      <c r="F20" s="443"/>
      <c r="G20" s="460"/>
      <c r="H20" s="460"/>
      <c r="J20" s="444"/>
      <c r="K20" s="444"/>
    </row>
    <row r="21" spans="1:11" ht="20.149999999999999" customHeight="1">
      <c r="A21" s="95" t="s">
        <v>13</v>
      </c>
      <c r="B21" s="318">
        <v>2439</v>
      </c>
      <c r="C21" s="318">
        <v>74075.7</v>
      </c>
      <c r="D21" s="318">
        <v>25907.167000000001</v>
      </c>
      <c r="E21" s="318">
        <v>25901</v>
      </c>
      <c r="F21" s="443"/>
      <c r="G21" s="460"/>
      <c r="H21" s="460"/>
      <c r="J21" s="444"/>
      <c r="K21" s="444"/>
    </row>
    <row r="22" spans="1:11" ht="20.149999999999999" customHeight="1">
      <c r="A22" s="9" t="s">
        <v>14</v>
      </c>
      <c r="B22" s="319">
        <v>3800</v>
      </c>
      <c r="C22" s="319">
        <v>141744.10200000001</v>
      </c>
      <c r="D22" s="319">
        <v>61978.991999999998</v>
      </c>
      <c r="E22" s="319">
        <v>59925</v>
      </c>
      <c r="F22" s="443"/>
      <c r="G22" s="460"/>
      <c r="H22" s="460"/>
      <c r="J22" s="444"/>
      <c r="K22" s="444"/>
    </row>
    <row r="23" spans="1:11" ht="20.149999999999999" customHeight="1">
      <c r="A23" s="95" t="s">
        <v>15</v>
      </c>
      <c r="B23" s="318">
        <v>1945</v>
      </c>
      <c r="C23" s="318">
        <v>44533.273000000001</v>
      </c>
      <c r="D23" s="318">
        <v>15922.355</v>
      </c>
      <c r="E23" s="318">
        <v>15941</v>
      </c>
      <c r="F23" s="443"/>
      <c r="G23" s="460"/>
      <c r="H23" s="460"/>
      <c r="J23" s="444"/>
      <c r="K23" s="444"/>
    </row>
    <row r="24" spans="1:11" ht="20.149999999999999" customHeight="1">
      <c r="A24" s="9" t="s">
        <v>17</v>
      </c>
      <c r="B24" s="319">
        <v>5361</v>
      </c>
      <c r="C24" s="319">
        <v>197280.845</v>
      </c>
      <c r="D24" s="319">
        <v>82860.354999999996</v>
      </c>
      <c r="E24" s="319">
        <v>72962</v>
      </c>
      <c r="F24" s="443"/>
      <c r="G24" s="460"/>
      <c r="H24" s="460"/>
      <c r="J24" s="444"/>
      <c r="K24" s="444"/>
    </row>
    <row r="25" spans="1:11" ht="20.149999999999999" customHeight="1">
      <c r="A25" s="95" t="s">
        <v>18</v>
      </c>
      <c r="B25" s="318">
        <v>14637</v>
      </c>
      <c r="C25" s="318">
        <v>424447.46500000003</v>
      </c>
      <c r="D25" s="318">
        <v>177513.576</v>
      </c>
      <c r="E25" s="318">
        <v>143471</v>
      </c>
      <c r="F25" s="443"/>
      <c r="G25" s="460"/>
      <c r="H25" s="460"/>
      <c r="J25" s="444"/>
      <c r="K25" s="444"/>
    </row>
    <row r="26" spans="1:11" ht="20.149999999999999" customHeight="1">
      <c r="A26" s="9" t="s">
        <v>19</v>
      </c>
      <c r="B26" s="319">
        <v>28477</v>
      </c>
      <c r="C26" s="319">
        <v>1034226.148</v>
      </c>
      <c r="D26" s="319">
        <v>401042.91499999998</v>
      </c>
      <c r="E26" s="319">
        <v>386817</v>
      </c>
      <c r="F26" s="443"/>
      <c r="G26" s="460"/>
      <c r="H26" s="460"/>
      <c r="J26" s="444"/>
      <c r="K26" s="444"/>
    </row>
    <row r="27" spans="1:11" ht="20.149999999999999" customHeight="1">
      <c r="A27" s="95" t="s">
        <v>20</v>
      </c>
      <c r="B27" s="318">
        <v>19788</v>
      </c>
      <c r="C27" s="318">
        <v>431556.89299999998</v>
      </c>
      <c r="D27" s="318">
        <v>173040.976</v>
      </c>
      <c r="E27" s="318">
        <v>160345</v>
      </c>
      <c r="F27" s="443"/>
      <c r="G27" s="460"/>
      <c r="H27" s="460"/>
      <c r="J27" s="444"/>
      <c r="K27" s="444"/>
    </row>
    <row r="28" spans="1:11" ht="20.149999999999999" customHeight="1">
      <c r="A28" s="9" t="s">
        <v>21</v>
      </c>
      <c r="B28" s="319">
        <v>2467</v>
      </c>
      <c r="C28" s="319">
        <v>56878.313000000002</v>
      </c>
      <c r="D28" s="319">
        <v>21847.519</v>
      </c>
      <c r="E28" s="319">
        <v>20298</v>
      </c>
      <c r="F28" s="443"/>
      <c r="G28" s="460"/>
      <c r="H28" s="460"/>
      <c r="J28" s="444"/>
      <c r="K28" s="444"/>
    </row>
    <row r="29" spans="1:11" ht="20.149999999999999" customHeight="1">
      <c r="A29" s="95" t="s">
        <v>22</v>
      </c>
      <c r="B29" s="318">
        <v>3102</v>
      </c>
      <c r="C29" s="318">
        <v>93024.94</v>
      </c>
      <c r="D29" s="318">
        <v>36169.815000000002</v>
      </c>
      <c r="E29" s="318">
        <v>34944</v>
      </c>
      <c r="F29" s="443"/>
      <c r="G29" s="460"/>
      <c r="H29" s="460"/>
      <c r="J29" s="444"/>
      <c r="K29" s="444"/>
    </row>
    <row r="30" spans="1:11" ht="20.149999999999999" customHeight="1">
      <c r="A30" s="9" t="s">
        <v>23</v>
      </c>
      <c r="B30" s="319">
        <v>5581</v>
      </c>
      <c r="C30" s="319">
        <v>146085.30499999999</v>
      </c>
      <c r="D30" s="319">
        <v>58605.38</v>
      </c>
      <c r="E30" s="319">
        <v>67225</v>
      </c>
      <c r="F30" s="443"/>
      <c r="G30" s="460"/>
      <c r="H30" s="460"/>
      <c r="J30" s="444"/>
      <c r="K30" s="444"/>
    </row>
    <row r="31" spans="1:11" ht="20.149999999999999" customHeight="1">
      <c r="A31" s="95" t="s">
        <v>114</v>
      </c>
      <c r="B31" s="318">
        <v>2819</v>
      </c>
      <c r="C31" s="318">
        <v>30687.102999999999</v>
      </c>
      <c r="D31" s="318">
        <v>10260.845710000001</v>
      </c>
      <c r="E31" s="318">
        <v>9722</v>
      </c>
      <c r="F31" s="443"/>
      <c r="G31" s="460"/>
      <c r="H31" s="460"/>
      <c r="J31" s="444"/>
      <c r="K31" s="444"/>
    </row>
    <row r="32" spans="1:11" ht="20.149999999999999" customHeight="1">
      <c r="A32" s="9" t="s">
        <v>24</v>
      </c>
      <c r="B32" s="319">
        <v>5459</v>
      </c>
      <c r="C32" s="319">
        <v>121780.07</v>
      </c>
      <c r="D32" s="319">
        <v>43280.788999999997</v>
      </c>
      <c r="E32" s="319">
        <v>43129</v>
      </c>
      <c r="F32" s="443"/>
      <c r="G32" s="460"/>
      <c r="H32" s="460"/>
      <c r="J32" s="444"/>
      <c r="K32" s="444"/>
    </row>
    <row r="33" spans="1:11" ht="20.149999999999999" customHeight="1">
      <c r="A33" s="95" t="s">
        <v>25</v>
      </c>
      <c r="B33" s="318">
        <v>11359</v>
      </c>
      <c r="C33" s="318">
        <v>306733.57500000001</v>
      </c>
      <c r="D33" s="318">
        <v>129499.54300000001</v>
      </c>
      <c r="E33" s="318">
        <v>120743</v>
      </c>
      <c r="F33" s="443"/>
      <c r="G33" s="460"/>
      <c r="H33" s="460"/>
      <c r="J33" s="444"/>
      <c r="K33" s="444"/>
    </row>
    <row r="34" spans="1:11" ht="20.149999999999999" customHeight="1">
      <c r="A34" s="9" t="s">
        <v>26</v>
      </c>
      <c r="B34" s="319">
        <v>2617</v>
      </c>
      <c r="C34" s="319">
        <v>33008.839999999997</v>
      </c>
      <c r="D34" s="319">
        <v>12059.825999999999</v>
      </c>
      <c r="E34" s="319">
        <v>12176</v>
      </c>
      <c r="F34" s="443"/>
      <c r="G34" s="460"/>
      <c r="H34" s="460"/>
      <c r="J34" s="444"/>
      <c r="K34" s="444"/>
    </row>
    <row r="35" spans="1:11" ht="20.149999999999999" customHeight="1">
      <c r="A35" s="95" t="s">
        <v>655</v>
      </c>
      <c r="B35" s="318">
        <v>9811</v>
      </c>
      <c r="C35" s="318">
        <v>170204.18299999999</v>
      </c>
      <c r="D35" s="318">
        <v>64239.669000000002</v>
      </c>
      <c r="E35" s="318">
        <v>64717</v>
      </c>
      <c r="F35" s="443"/>
      <c r="G35" s="460"/>
      <c r="H35" s="460"/>
      <c r="J35" s="444"/>
      <c r="K35" s="444"/>
    </row>
    <row r="36" spans="1:11" ht="20.149999999999999" customHeight="1">
      <c r="A36" s="9" t="s">
        <v>16</v>
      </c>
      <c r="B36" s="319">
        <v>9963</v>
      </c>
      <c r="C36" s="319">
        <v>278439.88400000002</v>
      </c>
      <c r="D36" s="319">
        <v>107785.96</v>
      </c>
      <c r="E36" s="319">
        <v>107505</v>
      </c>
      <c r="F36" s="443"/>
      <c r="G36" s="460"/>
      <c r="H36" s="460"/>
      <c r="J36" s="444"/>
      <c r="K36" s="444"/>
    </row>
    <row r="37" spans="1:11" ht="20.149999999999999" customHeight="1">
      <c r="A37" s="95" t="s">
        <v>28</v>
      </c>
      <c r="B37" s="318">
        <v>9059</v>
      </c>
      <c r="C37" s="318">
        <v>118031.62300000001</v>
      </c>
      <c r="D37" s="318">
        <v>42146.31</v>
      </c>
      <c r="E37" s="318">
        <v>42222</v>
      </c>
      <c r="F37" s="443"/>
      <c r="G37" s="460"/>
      <c r="H37" s="460"/>
      <c r="J37" s="444"/>
      <c r="K37" s="444"/>
    </row>
    <row r="38" spans="1:11" ht="20.149999999999999" customHeight="1">
      <c r="A38" s="9" t="s">
        <v>29</v>
      </c>
      <c r="B38" s="319">
        <v>2373</v>
      </c>
      <c r="C38" s="319">
        <v>62262.29</v>
      </c>
      <c r="D38" s="319">
        <v>27424.303</v>
      </c>
      <c r="E38" s="319">
        <v>27348</v>
      </c>
      <c r="F38" s="443"/>
      <c r="G38" s="460"/>
      <c r="H38" s="460"/>
      <c r="J38" s="444"/>
      <c r="K38" s="444"/>
    </row>
    <row r="39" spans="1:11" ht="20.149999999999999" customHeight="1">
      <c r="A39" s="95" t="s">
        <v>30</v>
      </c>
      <c r="B39" s="318">
        <v>5440</v>
      </c>
      <c r="C39" s="318">
        <v>122452.88499999999</v>
      </c>
      <c r="D39" s="318">
        <v>50205.21</v>
      </c>
      <c r="E39" s="318">
        <v>46075</v>
      </c>
      <c r="F39" s="443"/>
      <c r="G39" s="460"/>
      <c r="H39" s="460"/>
      <c r="J39" s="444"/>
      <c r="K39" s="444"/>
    </row>
    <row r="40" spans="1:11" ht="20.149999999999999" customHeight="1">
      <c r="A40" s="9" t="s">
        <v>31</v>
      </c>
      <c r="B40" s="319">
        <v>11883</v>
      </c>
      <c r="C40" s="319">
        <v>782673.50899999996</v>
      </c>
      <c r="D40" s="319">
        <v>372277.49400000001</v>
      </c>
      <c r="E40" s="319">
        <v>366059</v>
      </c>
      <c r="F40" s="443"/>
      <c r="G40" s="460"/>
      <c r="H40" s="460"/>
      <c r="J40" s="444"/>
      <c r="K40" s="444"/>
    </row>
    <row r="41" spans="1:11" ht="20.149999999999999" customHeight="1">
      <c r="A41" s="95" t="s">
        <v>32</v>
      </c>
      <c r="B41" s="318">
        <v>6030</v>
      </c>
      <c r="C41" s="318">
        <v>125337.62</v>
      </c>
      <c r="D41" s="318">
        <v>47460.411</v>
      </c>
      <c r="E41" s="318">
        <v>47768</v>
      </c>
      <c r="F41" s="443"/>
      <c r="G41" s="460"/>
      <c r="H41" s="460"/>
      <c r="J41" s="444"/>
      <c r="K41" s="444"/>
    </row>
    <row r="42" spans="1:11" ht="20.149999999999999" customHeight="1">
      <c r="A42" s="9" t="s">
        <v>33</v>
      </c>
      <c r="B42" s="319">
        <v>3078</v>
      </c>
      <c r="C42" s="319">
        <v>183136.97</v>
      </c>
      <c r="D42" s="319">
        <v>86112.596999999994</v>
      </c>
      <c r="E42" s="319">
        <v>87481</v>
      </c>
      <c r="F42" s="443"/>
      <c r="G42" s="460"/>
      <c r="H42" s="460"/>
      <c r="J42" s="444"/>
      <c r="K42" s="444"/>
    </row>
    <row r="43" spans="1:11" ht="20.149999999999999" customHeight="1">
      <c r="A43" s="95" t="s">
        <v>34</v>
      </c>
      <c r="B43" s="318">
        <v>6676</v>
      </c>
      <c r="C43" s="318">
        <v>226329.00200000001</v>
      </c>
      <c r="D43" s="318">
        <v>96964.505000000005</v>
      </c>
      <c r="E43" s="318">
        <v>95953</v>
      </c>
      <c r="F43" s="443"/>
      <c r="G43" s="460"/>
      <c r="H43" s="460"/>
      <c r="J43" s="444"/>
      <c r="K43" s="444"/>
    </row>
    <row r="44" spans="1:11" ht="25.4" customHeight="1">
      <c r="A44" s="98" t="s">
        <v>60</v>
      </c>
      <c r="B44" s="132">
        <v>259680</v>
      </c>
      <c r="C44" s="132">
        <v>7693240.4040000001</v>
      </c>
      <c r="D44" s="132">
        <v>3146317.2327100001</v>
      </c>
      <c r="E44" s="132">
        <v>3068000</v>
      </c>
      <c r="F44" s="443"/>
      <c r="G44" s="460"/>
      <c r="H44" s="460"/>
      <c r="J44" s="444"/>
      <c r="K44" s="444"/>
    </row>
    <row r="45" spans="1:11">
      <c r="B45" s="444"/>
      <c r="C45" s="444"/>
    </row>
    <row r="46" spans="1:11">
      <c r="B46" s="444"/>
      <c r="C46" s="444"/>
      <c r="D46" s="444"/>
      <c r="E46" s="444"/>
    </row>
  </sheetData>
  <hyperlinks>
    <hyperlink ref="A9" location="Contents!A1" display="Return to Contents" xr:uid="{DC079D9E-85CB-4A75-BAE7-8D04390F9405}"/>
  </hyperlinks>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C3EB3-228C-4DEB-8076-56B746D7A31D}">
  <sheetPr>
    <tabColor rgb="FFDDE5F1"/>
  </sheetPr>
  <dimension ref="A1:C44"/>
  <sheetViews>
    <sheetView zoomScaleNormal="100" workbookViewId="0"/>
  </sheetViews>
  <sheetFormatPr defaultColWidth="9.1796875" defaultRowHeight="15.5"/>
  <cols>
    <col min="1" max="1" width="25.81640625" style="9" customWidth="1"/>
    <col min="2" max="3" width="28.81640625" style="9" customWidth="1"/>
    <col min="4" max="16384" width="9.1796875" style="9"/>
  </cols>
  <sheetData>
    <row r="1" spans="1:3" ht="30" customHeight="1">
      <c r="A1" s="234" t="s">
        <v>868</v>
      </c>
      <c r="B1" s="60"/>
      <c r="C1" s="60"/>
    </row>
    <row r="2" spans="1:3" ht="20.149999999999999" customHeight="1">
      <c r="A2" s="7" t="s">
        <v>255</v>
      </c>
      <c r="B2" s="7"/>
      <c r="C2" s="57"/>
    </row>
    <row r="3" spans="1:3" s="57" customFormat="1" ht="20.149999999999999" customHeight="1">
      <c r="A3" s="54" t="s">
        <v>656</v>
      </c>
      <c r="B3" s="54"/>
    </row>
    <row r="4" spans="1:3" s="57" customFormat="1" ht="20.149999999999999" customHeight="1">
      <c r="A4" s="245" t="s">
        <v>534</v>
      </c>
      <c r="B4" s="245"/>
    </row>
    <row r="5" spans="1:3" s="57" customFormat="1" ht="20.149999999999999" customHeight="1">
      <c r="A5" s="54" t="s">
        <v>535</v>
      </c>
      <c r="B5" s="54"/>
    </row>
    <row r="6" spans="1:3" ht="20.149999999999999" customHeight="1">
      <c r="A6" s="159" t="s">
        <v>413</v>
      </c>
      <c r="B6" s="159"/>
      <c r="C6" s="57"/>
    </row>
    <row r="7" spans="1:3" ht="20.149999999999999" customHeight="1">
      <c r="A7" s="15" t="s">
        <v>62</v>
      </c>
      <c r="B7" s="5"/>
      <c r="C7" s="5"/>
    </row>
    <row r="8" spans="1:3" s="57" customFormat="1" ht="10.4" customHeight="1"/>
    <row r="9" spans="1:3" ht="40.4" customHeight="1">
      <c r="A9" s="98" t="s">
        <v>5</v>
      </c>
      <c r="B9" s="96" t="s">
        <v>538</v>
      </c>
      <c r="C9" s="96" t="s">
        <v>601</v>
      </c>
    </row>
    <row r="10" spans="1:3" ht="20.149999999999999" customHeight="1">
      <c r="A10" s="9" t="s">
        <v>6</v>
      </c>
      <c r="B10" s="319">
        <v>9913</v>
      </c>
      <c r="C10" s="319">
        <v>470815.34</v>
      </c>
    </row>
    <row r="11" spans="1:3" ht="20.149999999999999" customHeight="1">
      <c r="A11" s="95" t="s">
        <v>7</v>
      </c>
      <c r="B11" s="318">
        <v>14244</v>
      </c>
      <c r="C11" s="318">
        <v>303639.63400000002</v>
      </c>
    </row>
    <row r="12" spans="1:3" ht="20.149999999999999" customHeight="1">
      <c r="A12" s="9" t="s">
        <v>8</v>
      </c>
      <c r="B12" s="319">
        <v>5654</v>
      </c>
      <c r="C12" s="319">
        <v>87097.695000000007</v>
      </c>
    </row>
    <row r="13" spans="1:3" ht="20.149999999999999" customHeight="1">
      <c r="A13" s="95" t="s">
        <v>653</v>
      </c>
      <c r="B13" s="318">
        <v>9230</v>
      </c>
      <c r="C13" s="318">
        <v>134629.81400000001</v>
      </c>
    </row>
    <row r="14" spans="1:3" ht="20.149999999999999" customHeight="1">
      <c r="A14" s="9" t="s">
        <v>113</v>
      </c>
      <c r="B14" s="319">
        <v>22602</v>
      </c>
      <c r="C14" s="319">
        <v>973230.13800000004</v>
      </c>
    </row>
    <row r="15" spans="1:3" ht="20.149999999999999" customHeight="1">
      <c r="A15" s="95" t="s">
        <v>9</v>
      </c>
      <c r="B15" s="318">
        <v>1743</v>
      </c>
      <c r="C15" s="318">
        <v>47029.26</v>
      </c>
    </row>
    <row r="16" spans="1:3" ht="20.149999999999999" customHeight="1">
      <c r="A16" s="9" t="s">
        <v>654</v>
      </c>
      <c r="B16" s="319">
        <v>10418</v>
      </c>
      <c r="C16" s="319">
        <v>157884.62400000001</v>
      </c>
    </row>
    <row r="17" spans="1:3" ht="20.149999999999999" customHeight="1">
      <c r="A17" s="95" t="s">
        <v>11</v>
      </c>
      <c r="B17" s="318">
        <v>6283</v>
      </c>
      <c r="C17" s="318">
        <v>187740.511</v>
      </c>
    </row>
    <row r="18" spans="1:3" ht="20.149999999999999" customHeight="1">
      <c r="A18" s="9" t="s">
        <v>12</v>
      </c>
      <c r="B18" s="319">
        <v>5068</v>
      </c>
      <c r="C18" s="319">
        <v>89749.120999999999</v>
      </c>
    </row>
    <row r="19" spans="1:3" ht="20.149999999999999" customHeight="1">
      <c r="A19" s="95" t="s">
        <v>13</v>
      </c>
      <c r="B19" s="318">
        <v>2454</v>
      </c>
      <c r="C19" s="318">
        <v>72529.59</v>
      </c>
    </row>
    <row r="20" spans="1:3" ht="20.149999999999999" customHeight="1">
      <c r="A20" s="9" t="s">
        <v>14</v>
      </c>
      <c r="B20" s="319">
        <v>3815</v>
      </c>
      <c r="C20" s="319">
        <v>140904.43700000001</v>
      </c>
    </row>
    <row r="21" spans="1:3" ht="20.149999999999999" customHeight="1">
      <c r="A21" s="95" t="s">
        <v>15</v>
      </c>
      <c r="B21" s="318">
        <v>2016</v>
      </c>
      <c r="C21" s="318">
        <v>45152.684000000001</v>
      </c>
    </row>
    <row r="22" spans="1:3" ht="20.149999999999999" customHeight="1">
      <c r="A22" s="9" t="s">
        <v>17</v>
      </c>
      <c r="B22" s="319">
        <v>5450</v>
      </c>
      <c r="C22" s="319">
        <v>194938.095</v>
      </c>
    </row>
    <row r="23" spans="1:3" ht="20.149999999999999" customHeight="1">
      <c r="A23" s="95" t="s">
        <v>18</v>
      </c>
      <c r="B23" s="318">
        <v>14742</v>
      </c>
      <c r="C23" s="318">
        <v>422184.41</v>
      </c>
    </row>
    <row r="24" spans="1:3" ht="20.149999999999999" customHeight="1">
      <c r="A24" s="9" t="s">
        <v>19</v>
      </c>
      <c r="B24" s="319">
        <v>28539</v>
      </c>
      <c r="C24" s="319">
        <v>1016691.275</v>
      </c>
    </row>
    <row r="25" spans="1:3" ht="20.149999999999999" customHeight="1">
      <c r="A25" s="95" t="s">
        <v>20</v>
      </c>
      <c r="B25" s="318">
        <v>19662</v>
      </c>
      <c r="C25" s="318">
        <v>426737.76299999998</v>
      </c>
    </row>
    <row r="26" spans="1:3" ht="20.149999999999999" customHeight="1">
      <c r="A26" s="9" t="s">
        <v>21</v>
      </c>
      <c r="B26" s="319">
        <v>2480</v>
      </c>
      <c r="C26" s="319">
        <v>56551.599000000002</v>
      </c>
    </row>
    <row r="27" spans="1:3" ht="20.149999999999999" customHeight="1">
      <c r="A27" s="95" t="s">
        <v>22</v>
      </c>
      <c r="B27" s="318">
        <v>3092</v>
      </c>
      <c r="C27" s="318">
        <v>92617.115000000005</v>
      </c>
    </row>
    <row r="28" spans="1:3" ht="20.149999999999999" customHeight="1">
      <c r="A28" s="9" t="s">
        <v>23</v>
      </c>
      <c r="B28" s="319">
        <v>5526</v>
      </c>
      <c r="C28" s="319">
        <v>146933.454</v>
      </c>
    </row>
    <row r="29" spans="1:3" ht="20.149999999999999" customHeight="1">
      <c r="A29" s="95" t="s">
        <v>114</v>
      </c>
      <c r="B29" s="318">
        <v>2734</v>
      </c>
      <c r="C29" s="318">
        <v>30394.793000000001</v>
      </c>
    </row>
    <row r="30" spans="1:3" ht="20.149999999999999" customHeight="1">
      <c r="A30" s="9" t="s">
        <v>24</v>
      </c>
      <c r="B30" s="319">
        <v>5503</v>
      </c>
      <c r="C30" s="319">
        <v>122047.16499999999</v>
      </c>
    </row>
    <row r="31" spans="1:3" ht="20.149999999999999" customHeight="1">
      <c r="A31" s="95" t="s">
        <v>25</v>
      </c>
      <c r="B31" s="318">
        <v>11504</v>
      </c>
      <c r="C31" s="318">
        <v>302896.17499999999</v>
      </c>
    </row>
    <row r="32" spans="1:3" ht="20.149999999999999" customHeight="1">
      <c r="A32" s="9" t="s">
        <v>26</v>
      </c>
      <c r="B32" s="319">
        <v>2654</v>
      </c>
      <c r="C32" s="319">
        <v>32989.904999999999</v>
      </c>
    </row>
    <row r="33" spans="1:3" ht="20.149999999999999" customHeight="1">
      <c r="A33" s="95" t="s">
        <v>655</v>
      </c>
      <c r="B33" s="318">
        <v>9833</v>
      </c>
      <c r="C33" s="318">
        <v>169093.09299999999</v>
      </c>
    </row>
    <row r="34" spans="1:3" ht="20.149999999999999" customHeight="1">
      <c r="A34" s="9" t="s">
        <v>16</v>
      </c>
      <c r="B34" s="319">
        <v>10049</v>
      </c>
      <c r="C34" s="319">
        <v>268238.97499999998</v>
      </c>
    </row>
    <row r="35" spans="1:3" ht="20.149999999999999" customHeight="1">
      <c r="A35" s="95" t="s">
        <v>28</v>
      </c>
      <c r="B35" s="318">
        <v>8957</v>
      </c>
      <c r="C35" s="318">
        <v>116639.193</v>
      </c>
    </row>
    <row r="36" spans="1:3" ht="20.149999999999999" customHeight="1">
      <c r="A36" s="9" t="s">
        <v>29</v>
      </c>
      <c r="B36" s="319">
        <v>2377</v>
      </c>
      <c r="C36" s="319">
        <v>71260.37</v>
      </c>
    </row>
    <row r="37" spans="1:3" ht="20.149999999999999" customHeight="1">
      <c r="A37" s="95" t="s">
        <v>30</v>
      </c>
      <c r="B37" s="318">
        <v>5470</v>
      </c>
      <c r="C37" s="318">
        <v>122610.86</v>
      </c>
    </row>
    <row r="38" spans="1:3" ht="20.149999999999999" customHeight="1">
      <c r="A38" s="9" t="s">
        <v>31</v>
      </c>
      <c r="B38" s="319">
        <v>12031</v>
      </c>
      <c r="C38" s="319">
        <v>780177.30900000001</v>
      </c>
    </row>
    <row r="39" spans="1:3" ht="20.149999999999999" customHeight="1">
      <c r="A39" s="95" t="s">
        <v>32</v>
      </c>
      <c r="B39" s="318">
        <v>5992</v>
      </c>
      <c r="C39" s="318">
        <v>123655.435</v>
      </c>
    </row>
    <row r="40" spans="1:3" ht="20.149999999999999" customHeight="1">
      <c r="A40" s="9" t="s">
        <v>33</v>
      </c>
      <c r="B40" s="319">
        <v>3061</v>
      </c>
      <c r="C40" s="319">
        <v>182484.234</v>
      </c>
    </row>
    <row r="41" spans="1:3" ht="20.149999999999999" customHeight="1">
      <c r="A41" s="95" t="s">
        <v>34</v>
      </c>
      <c r="B41" s="318">
        <v>6694</v>
      </c>
      <c r="C41" s="318">
        <v>221085.76500000001</v>
      </c>
    </row>
    <row r="42" spans="1:3" ht="25.4" customHeight="1">
      <c r="A42" s="98" t="s">
        <v>60</v>
      </c>
      <c r="B42" s="132">
        <v>259790</v>
      </c>
      <c r="C42" s="132">
        <v>7610629.8310000002</v>
      </c>
    </row>
    <row r="44" spans="1:3">
      <c r="B44" s="444"/>
      <c r="C44" s="444"/>
    </row>
  </sheetData>
  <hyperlinks>
    <hyperlink ref="A7" location="Contents!A1" display="Return to Contents" xr:uid="{BAC1861F-1491-4283-B79D-B75A1453EA95}"/>
  </hyperlinks>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AD047-0357-4B57-800A-A48EDEEDA29A}">
  <sheetPr>
    <tabColor rgb="FFDDE5F1"/>
  </sheetPr>
  <dimension ref="A1:G29"/>
  <sheetViews>
    <sheetView zoomScaleNormal="100" workbookViewId="0"/>
  </sheetViews>
  <sheetFormatPr defaultColWidth="9.1796875" defaultRowHeight="15.5"/>
  <cols>
    <col min="1" max="1" width="40.81640625" style="61" customWidth="1"/>
    <col min="2" max="5" width="25.81640625" style="61" customWidth="1"/>
    <col min="6" max="16384" width="9.1796875" style="61"/>
  </cols>
  <sheetData>
    <row r="1" spans="1:7" ht="30" customHeight="1">
      <c r="A1" s="234" t="s">
        <v>869</v>
      </c>
      <c r="B1" s="445"/>
      <c r="C1" s="59"/>
      <c r="D1" s="59"/>
      <c r="E1" s="59"/>
      <c r="F1" s="59"/>
    </row>
    <row r="2" spans="1:7" ht="20.149999999999999" customHeight="1">
      <c r="A2" s="7" t="s">
        <v>539</v>
      </c>
      <c r="B2" s="12"/>
      <c r="C2" s="59"/>
    </row>
    <row r="3" spans="1:7" ht="20.149999999999999" customHeight="1">
      <c r="A3" s="159" t="s">
        <v>413</v>
      </c>
      <c r="C3" s="59"/>
    </row>
    <row r="4" spans="1:7" s="9" customFormat="1" ht="20.149999999999999" customHeight="1">
      <c r="A4" s="15" t="s">
        <v>62</v>
      </c>
      <c r="B4" s="5"/>
      <c r="C4" s="5"/>
      <c r="D4" s="61"/>
      <c r="E4" s="5"/>
      <c r="F4" s="5"/>
    </row>
    <row r="5" spans="1:7" ht="10.4" customHeight="1"/>
    <row r="6" spans="1:7" ht="55.4" customHeight="1">
      <c r="A6" s="122" t="s">
        <v>540</v>
      </c>
      <c r="B6" s="96" t="s">
        <v>538</v>
      </c>
      <c r="C6" s="96" t="s">
        <v>602</v>
      </c>
      <c r="D6" s="96" t="s">
        <v>601</v>
      </c>
      <c r="E6" s="96" t="s">
        <v>603</v>
      </c>
    </row>
    <row r="7" spans="1:7" ht="20.149999999999999" customHeight="1">
      <c r="A7" s="295" t="s">
        <v>548</v>
      </c>
      <c r="B7" s="319">
        <v>54827</v>
      </c>
      <c r="C7" s="62">
        <v>0.21113293284041898</v>
      </c>
      <c r="D7" s="319">
        <v>1454663.6189999999</v>
      </c>
      <c r="E7" s="62">
        <v>0.18908334363809387</v>
      </c>
    </row>
    <row r="8" spans="1:7" ht="20.149999999999999" customHeight="1">
      <c r="A8" s="101" t="s">
        <v>657</v>
      </c>
      <c r="B8" s="318">
        <v>3597</v>
      </c>
      <c r="C8" s="134">
        <v>1.3851663585951942E-2</v>
      </c>
      <c r="D8" s="318">
        <v>120690.23</v>
      </c>
      <c r="E8" s="134">
        <v>1.5687827711356673E-2</v>
      </c>
    </row>
    <row r="9" spans="1:7" ht="20.149999999999999" customHeight="1">
      <c r="A9" s="295" t="s">
        <v>545</v>
      </c>
      <c r="B9" s="319">
        <v>44428</v>
      </c>
      <c r="C9" s="62">
        <v>0.17108749229821318</v>
      </c>
      <c r="D9" s="319">
        <v>1031388.765</v>
      </c>
      <c r="E9" s="62">
        <v>0.13406428381774513</v>
      </c>
    </row>
    <row r="10" spans="1:7" ht="20.149999999999999" customHeight="1">
      <c r="A10" s="101" t="s">
        <v>544</v>
      </c>
      <c r="B10" s="318">
        <v>5118</v>
      </c>
      <c r="C10" s="134">
        <v>1.970887245841035E-2</v>
      </c>
      <c r="D10" s="318">
        <v>289932.93</v>
      </c>
      <c r="E10" s="134">
        <v>3.7686711291285424E-2</v>
      </c>
    </row>
    <row r="11" spans="1:7" ht="20.149999999999999" customHeight="1">
      <c r="A11" s="295" t="s">
        <v>658</v>
      </c>
      <c r="B11" s="319">
        <v>60528</v>
      </c>
      <c r="C11" s="62">
        <v>0.23308687615526802</v>
      </c>
      <c r="D11" s="319">
        <v>1406556.172</v>
      </c>
      <c r="E11" s="62">
        <v>0.18283013374555143</v>
      </c>
      <c r="F11" s="446"/>
      <c r="G11" s="446"/>
    </row>
    <row r="12" spans="1:7" ht="20.149999999999999" customHeight="1">
      <c r="A12" s="101" t="s">
        <v>659</v>
      </c>
      <c r="B12" s="318">
        <v>26923</v>
      </c>
      <c r="C12" s="134">
        <v>0.10367760320394331</v>
      </c>
      <c r="D12" s="318">
        <v>347775.94199999998</v>
      </c>
      <c r="E12" s="134">
        <v>4.5205391192400336E-2</v>
      </c>
    </row>
    <row r="13" spans="1:7" ht="20.149999999999999" customHeight="1">
      <c r="A13" s="295" t="s">
        <v>660</v>
      </c>
      <c r="B13" s="319">
        <v>3874</v>
      </c>
      <c r="C13" s="62">
        <v>1.4918361059765866E-2</v>
      </c>
      <c r="D13" s="319">
        <v>77939.577000000005</v>
      </c>
      <c r="E13" s="62">
        <v>1.0130916610831028E-2</v>
      </c>
    </row>
    <row r="14" spans="1:7" ht="20.149999999999999" customHeight="1">
      <c r="A14" s="101" t="s">
        <v>543</v>
      </c>
      <c r="B14" s="318">
        <v>1356</v>
      </c>
      <c r="C14" s="134">
        <v>5.2218114602587797E-3</v>
      </c>
      <c r="D14" s="318">
        <v>57171.769</v>
      </c>
      <c r="E14" s="134">
        <v>7.4314288905198249E-3</v>
      </c>
    </row>
    <row r="15" spans="1:7" ht="20.149999999999999" customHeight="1">
      <c r="A15" s="295" t="s">
        <v>661</v>
      </c>
      <c r="B15" s="319">
        <v>12984</v>
      </c>
      <c r="C15" s="62">
        <v>0.05</v>
      </c>
      <c r="D15" s="319">
        <v>41373.453999999998</v>
      </c>
      <c r="E15" s="62">
        <v>5.3778969364441558E-3</v>
      </c>
    </row>
    <row r="16" spans="1:7" ht="20.149999999999999" customHeight="1">
      <c r="A16" s="101" t="s">
        <v>662</v>
      </c>
      <c r="B16" s="318">
        <v>3599</v>
      </c>
      <c r="C16" s="134">
        <v>1.3859365372766481E-2</v>
      </c>
      <c r="D16" s="318">
        <v>631248.495</v>
      </c>
      <c r="E16" s="134">
        <v>8.2052355295148538E-2</v>
      </c>
    </row>
    <row r="17" spans="1:6" ht="20.149999999999999" customHeight="1">
      <c r="A17" s="295" t="s">
        <v>663</v>
      </c>
      <c r="B17" s="319">
        <v>9344</v>
      </c>
      <c r="C17" s="62">
        <v>3.5982747997535432E-2</v>
      </c>
      <c r="D17" s="319">
        <v>361545.49200000003</v>
      </c>
      <c r="E17" s="62">
        <v>4.6995215671671878E-2</v>
      </c>
    </row>
    <row r="18" spans="1:6" ht="20.149999999999999" customHeight="1">
      <c r="A18" s="101" t="s">
        <v>542</v>
      </c>
      <c r="B18" s="318">
        <v>360</v>
      </c>
      <c r="C18" s="134">
        <v>1.3863216266173752E-3</v>
      </c>
      <c r="D18" s="318">
        <v>28445.5</v>
      </c>
      <c r="E18" s="134">
        <v>3.6974666728483013E-3</v>
      </c>
    </row>
    <row r="19" spans="1:6" ht="20.149999999999999" customHeight="1">
      <c r="A19" s="295" t="s">
        <v>664</v>
      </c>
      <c r="B19" s="319">
        <v>654</v>
      </c>
      <c r="C19" s="62">
        <v>2.5184842883548982E-3</v>
      </c>
      <c r="D19" s="319">
        <v>17172.46</v>
      </c>
      <c r="E19" s="62">
        <v>2.2321491462909964E-3</v>
      </c>
    </row>
    <row r="20" spans="1:6" ht="20.149999999999999" customHeight="1">
      <c r="A20" s="101" t="s">
        <v>546</v>
      </c>
      <c r="B20" s="318">
        <v>138</v>
      </c>
      <c r="C20" s="134">
        <v>5.3142329020332713E-4</v>
      </c>
      <c r="D20" s="318">
        <v>122002.72</v>
      </c>
      <c r="E20" s="134">
        <v>1.5858430725311311E-2</v>
      </c>
    </row>
    <row r="21" spans="1:6" ht="20.149999999999999" customHeight="1">
      <c r="A21" s="295" t="s">
        <v>547</v>
      </c>
      <c r="B21" s="319">
        <v>5848</v>
      </c>
      <c r="C21" s="62">
        <v>2.2520024645717805E-2</v>
      </c>
      <c r="D21" s="319">
        <v>62712.9</v>
      </c>
      <c r="E21" s="62">
        <v>8.1516885872165452E-3</v>
      </c>
    </row>
    <row r="22" spans="1:6" ht="20.149999999999999" customHeight="1">
      <c r="A22" s="101" t="s">
        <v>665</v>
      </c>
      <c r="B22" s="318">
        <v>2999</v>
      </c>
      <c r="C22" s="134">
        <v>1.1548829328404189E-2</v>
      </c>
      <c r="D22" s="318">
        <v>240744.53700000001</v>
      </c>
      <c r="E22" s="134">
        <v>3.1292995455442681E-2</v>
      </c>
    </row>
    <row r="23" spans="1:6" ht="20.149999999999999" customHeight="1">
      <c r="A23" s="295" t="s">
        <v>43</v>
      </c>
      <c r="B23" s="319">
        <v>17325</v>
      </c>
      <c r="C23" s="62">
        <v>6.6716728280961188E-2</v>
      </c>
      <c r="D23" s="319">
        <v>192892.06400000001</v>
      </c>
      <c r="E23" s="62">
        <v>2.5072928164276306E-2</v>
      </c>
    </row>
    <row r="24" spans="1:6" ht="20.149999999999999" customHeight="1">
      <c r="A24" s="101" t="s">
        <v>666</v>
      </c>
      <c r="B24" s="318">
        <v>3057</v>
      </c>
      <c r="C24" s="134">
        <v>1.1772181146025879E-2</v>
      </c>
      <c r="D24" s="318">
        <v>135533.66899999999</v>
      </c>
      <c r="E24" s="134">
        <v>1.7617240835153293E-2</v>
      </c>
      <c r="F24" s="63"/>
    </row>
    <row r="25" spans="1:6" ht="20.149999999999999" customHeight="1">
      <c r="A25" s="295" t="s">
        <v>541</v>
      </c>
      <c r="B25" s="319">
        <v>1385</v>
      </c>
      <c r="C25" s="62">
        <v>5.3334873690696243E-3</v>
      </c>
      <c r="D25" s="319">
        <v>13008.525</v>
      </c>
      <c r="E25" s="62">
        <v>1.6909032237230476E-3</v>
      </c>
    </row>
    <row r="26" spans="1:6" ht="20.149999999999999" customHeight="1">
      <c r="A26" s="101" t="s">
        <v>667</v>
      </c>
      <c r="B26" s="318">
        <v>1336</v>
      </c>
      <c r="C26" s="134">
        <v>5.1447935921133704E-3</v>
      </c>
      <c r="D26" s="318">
        <v>1060441.584</v>
      </c>
      <c r="E26" s="134">
        <v>0.13784069238868935</v>
      </c>
    </row>
    <row r="27" spans="1:6" ht="25.4" customHeight="1">
      <c r="A27" s="122" t="s">
        <v>549</v>
      </c>
      <c r="B27" s="224">
        <v>259680</v>
      </c>
      <c r="C27" s="133">
        <v>0.99999999999999989</v>
      </c>
      <c r="D27" s="224">
        <v>7693240.4039999992</v>
      </c>
      <c r="E27" s="133">
        <v>1.0000000000000002</v>
      </c>
    </row>
    <row r="29" spans="1:6">
      <c r="B29" s="444"/>
      <c r="C29" s="444"/>
      <c r="D29" s="444"/>
      <c r="E29" s="444"/>
    </row>
  </sheetData>
  <hyperlinks>
    <hyperlink ref="A4" location="Contents!A1" display="Return to Contents" xr:uid="{4122B6E8-588F-46CE-BE6E-76F6BB4988C5}"/>
  </hyperlinks>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E89B2-0878-4406-B7AB-2F31E06288CC}">
  <sheetPr>
    <tabColor rgb="FFDDE5F1"/>
  </sheetPr>
  <dimension ref="A1:F30"/>
  <sheetViews>
    <sheetView zoomScaleNormal="100" workbookViewId="0"/>
  </sheetViews>
  <sheetFormatPr defaultColWidth="9.1796875" defaultRowHeight="15.5"/>
  <cols>
    <col min="1" max="1" width="40.81640625" style="57" customWidth="1"/>
    <col min="2" max="5" width="25.81640625" style="57" customWidth="1"/>
    <col min="6" max="16384" width="9.1796875" style="57"/>
  </cols>
  <sheetData>
    <row r="1" spans="1:6" ht="30" customHeight="1">
      <c r="A1" s="234" t="s">
        <v>870</v>
      </c>
      <c r="B1" s="447"/>
      <c r="C1" s="60"/>
      <c r="D1"/>
      <c r="E1"/>
    </row>
    <row r="2" spans="1:6" ht="20.149999999999999" customHeight="1">
      <c r="A2" s="7" t="s">
        <v>539</v>
      </c>
      <c r="B2" s="60"/>
      <c r="C2" s="60"/>
    </row>
    <row r="3" spans="1:6" ht="20.149999999999999" customHeight="1">
      <c r="A3" s="159" t="s">
        <v>413</v>
      </c>
      <c r="C3" s="60"/>
    </row>
    <row r="4" spans="1:6" s="9" customFormat="1" ht="20.149999999999999" customHeight="1">
      <c r="A4" s="15" t="s">
        <v>62</v>
      </c>
      <c r="B4" s="5"/>
      <c r="C4" s="5"/>
      <c r="D4" s="5"/>
      <c r="E4" s="5"/>
      <c r="F4" s="5"/>
    </row>
    <row r="5" spans="1:6" ht="10.4" customHeight="1"/>
    <row r="6" spans="1:6" ht="55.4" customHeight="1">
      <c r="A6" s="122" t="s">
        <v>540</v>
      </c>
      <c r="B6" s="96" t="s">
        <v>538</v>
      </c>
      <c r="C6" s="96" t="s">
        <v>602</v>
      </c>
      <c r="D6" s="96" t="s">
        <v>601</v>
      </c>
      <c r="E6" s="96" t="s">
        <v>603</v>
      </c>
    </row>
    <row r="7" spans="1:6" ht="20.149999999999999" customHeight="1">
      <c r="A7" s="62" t="s">
        <v>548</v>
      </c>
      <c r="B7" s="319">
        <v>54745</v>
      </c>
      <c r="C7" s="62">
        <v>0.21072789560799107</v>
      </c>
      <c r="D7" s="319">
        <v>1413976.3689999999</v>
      </c>
      <c r="E7" s="42">
        <v>0.18578966529688784</v>
      </c>
    </row>
    <row r="8" spans="1:6" ht="20.149999999999999" customHeight="1">
      <c r="A8" s="134" t="s">
        <v>657</v>
      </c>
      <c r="B8" s="318">
        <v>3558</v>
      </c>
      <c r="C8" s="134">
        <v>1.3695677277801301E-2</v>
      </c>
      <c r="D8" s="318">
        <v>118201.68</v>
      </c>
      <c r="E8" s="296">
        <v>1.5531129830876149E-2</v>
      </c>
    </row>
    <row r="9" spans="1:6" ht="20.149999999999999" customHeight="1">
      <c r="A9" s="62" t="s">
        <v>545</v>
      </c>
      <c r="B9" s="319">
        <v>44284</v>
      </c>
      <c r="C9" s="62">
        <v>0.17046075676507949</v>
      </c>
      <c r="D9" s="319">
        <v>1003123.5</v>
      </c>
      <c r="E9" s="42">
        <v>0.131805582754009</v>
      </c>
    </row>
    <row r="10" spans="1:6" ht="20.149999999999999" customHeight="1">
      <c r="A10" s="134" t="s">
        <v>544</v>
      </c>
      <c r="B10" s="318">
        <v>4943</v>
      </c>
      <c r="C10" s="134">
        <v>1.9026906347434466E-2</v>
      </c>
      <c r="D10" s="318">
        <v>285200.34499999997</v>
      </c>
      <c r="E10" s="296">
        <v>3.7473947798421045E-2</v>
      </c>
    </row>
    <row r="11" spans="1:6" ht="20.149999999999999" customHeight="1">
      <c r="A11" s="62" t="s">
        <v>658</v>
      </c>
      <c r="B11" s="319">
        <v>61464</v>
      </c>
      <c r="C11" s="62">
        <v>0.23659109280572771</v>
      </c>
      <c r="D11" s="319">
        <v>1402956.0120000001</v>
      </c>
      <c r="E11" s="42">
        <v>0.1843416436160657</v>
      </c>
    </row>
    <row r="12" spans="1:6" ht="20.149999999999999" customHeight="1">
      <c r="A12" s="134" t="s">
        <v>659</v>
      </c>
      <c r="B12" s="318">
        <v>26388</v>
      </c>
      <c r="C12" s="134">
        <v>0.1015743485122599</v>
      </c>
      <c r="D12" s="318">
        <v>342097.37199999997</v>
      </c>
      <c r="E12" s="296">
        <v>4.4949942330206598E-2</v>
      </c>
    </row>
    <row r="13" spans="1:6" ht="20.149999999999999" customHeight="1">
      <c r="A13" s="62" t="s">
        <v>660</v>
      </c>
      <c r="B13" s="319">
        <v>3880</v>
      </c>
      <c r="C13" s="62">
        <v>1.4935139920705186E-2</v>
      </c>
      <c r="D13" s="319">
        <v>80256.017000000007</v>
      </c>
      <c r="E13" s="42">
        <v>1.0545252992478648E-2</v>
      </c>
    </row>
    <row r="14" spans="1:6" ht="20.149999999999999" customHeight="1">
      <c r="A14" s="134" t="s">
        <v>543</v>
      </c>
      <c r="B14" s="318">
        <v>1361</v>
      </c>
      <c r="C14" s="134">
        <v>5.2388467608452984E-3</v>
      </c>
      <c r="D14" s="318">
        <v>57311.569000000003</v>
      </c>
      <c r="E14" s="296">
        <v>7.5304633483231102E-3</v>
      </c>
    </row>
    <row r="15" spans="1:6" ht="20.149999999999999" customHeight="1">
      <c r="A15" s="62" t="s">
        <v>661</v>
      </c>
      <c r="B15" s="319">
        <v>12965</v>
      </c>
      <c r="C15" s="62">
        <v>4.9905693059779051E-2</v>
      </c>
      <c r="D15" s="319">
        <v>41593.423000000003</v>
      </c>
      <c r="E15" s="42">
        <v>5.4651748835003889E-3</v>
      </c>
    </row>
    <row r="16" spans="1:6" ht="20.149999999999999" customHeight="1">
      <c r="A16" s="134" t="s">
        <v>662</v>
      </c>
      <c r="B16" s="318">
        <v>3617</v>
      </c>
      <c r="C16" s="134">
        <v>1.3922783786904808E-2</v>
      </c>
      <c r="D16" s="318">
        <v>631343.56000000006</v>
      </c>
      <c r="E16" s="134">
        <v>8.2955494357166051E-2</v>
      </c>
    </row>
    <row r="17" spans="1:6" ht="20.149999999999999" customHeight="1">
      <c r="A17" s="62" t="s">
        <v>663</v>
      </c>
      <c r="B17" s="319">
        <v>9337</v>
      </c>
      <c r="C17" s="62">
        <v>3.5940567381346475E-2</v>
      </c>
      <c r="D17" s="319">
        <v>362965.342</v>
      </c>
      <c r="E17" s="42">
        <v>4.7691892794674021E-2</v>
      </c>
    </row>
    <row r="18" spans="1:6" ht="20.149999999999999" customHeight="1">
      <c r="A18" s="134" t="s">
        <v>542</v>
      </c>
      <c r="B18" s="318">
        <v>348</v>
      </c>
      <c r="C18" s="134">
        <v>1.3395434774240733E-3</v>
      </c>
      <c r="D18" s="318">
        <v>28546.15</v>
      </c>
      <c r="E18" s="134">
        <v>3.7508262304026918E-3</v>
      </c>
    </row>
    <row r="19" spans="1:6" ht="20.149999999999999" customHeight="1">
      <c r="A19" s="62" t="s">
        <v>664</v>
      </c>
      <c r="B19" s="319">
        <v>653</v>
      </c>
      <c r="C19" s="62">
        <v>2.5135686516032179E-3</v>
      </c>
      <c r="D19" s="319">
        <v>16592.259999999998</v>
      </c>
      <c r="E19" s="42">
        <v>2.1801428224002659E-3</v>
      </c>
    </row>
    <row r="20" spans="1:6" ht="20.149999999999999" customHeight="1">
      <c r="A20" s="134" t="s">
        <v>546</v>
      </c>
      <c r="B20" s="318">
        <v>136</v>
      </c>
      <c r="C20" s="134">
        <v>5.2349974979791372E-4</v>
      </c>
      <c r="D20" s="318">
        <v>120706.42</v>
      </c>
      <c r="E20" s="134">
        <v>1.5860240568833416E-2</v>
      </c>
    </row>
    <row r="21" spans="1:6" ht="20.149999999999999" customHeight="1">
      <c r="A21" s="62" t="s">
        <v>547</v>
      </c>
      <c r="B21" s="319">
        <v>5822</v>
      </c>
      <c r="C21" s="62">
        <v>2.2410408406790101E-2</v>
      </c>
      <c r="D21" s="319">
        <v>62881.334999999999</v>
      </c>
      <c r="E21" s="42">
        <v>8.2623036984230385E-3</v>
      </c>
    </row>
    <row r="22" spans="1:6" ht="20.149999999999999" customHeight="1">
      <c r="A22" s="134" t="s">
        <v>665</v>
      </c>
      <c r="B22" s="318">
        <v>2983</v>
      </c>
      <c r="C22" s="134">
        <v>1.1482351129758652E-2</v>
      </c>
      <c r="D22" s="318">
        <v>242076.93700000001</v>
      </c>
      <c r="E22" s="134">
        <v>3.1807740275838943E-2</v>
      </c>
    </row>
    <row r="23" spans="1:6" ht="20.149999999999999" customHeight="1">
      <c r="A23" s="62" t="s">
        <v>43</v>
      </c>
      <c r="B23" s="319">
        <v>17511</v>
      </c>
      <c r="C23" s="62">
        <v>6.7404442049347549E-2</v>
      </c>
      <c r="D23" s="319">
        <v>186830.489</v>
      </c>
      <c r="E23" s="42">
        <v>2.4548623852258939E-2</v>
      </c>
    </row>
    <row r="24" spans="1:6" ht="20.149999999999999" customHeight="1">
      <c r="A24" s="134" t="s">
        <v>666</v>
      </c>
      <c r="B24" s="318">
        <v>3038</v>
      </c>
      <c r="C24" s="134">
        <v>1.1694060587397513E-2</v>
      </c>
      <c r="D24" s="318">
        <v>136377.109</v>
      </c>
      <c r="E24" s="134">
        <v>1.7919293413076263E-2</v>
      </c>
      <c r="F24" s="63"/>
    </row>
    <row r="25" spans="1:6" ht="20.149999999999999" customHeight="1">
      <c r="A25" s="62" t="s">
        <v>541</v>
      </c>
      <c r="B25" s="319">
        <v>1388</v>
      </c>
      <c r="C25" s="62">
        <v>5.3427768582316485E-3</v>
      </c>
      <c r="D25" s="319">
        <v>13416.96</v>
      </c>
      <c r="E25" s="42">
        <v>1.7629237392875639E-3</v>
      </c>
    </row>
    <row r="26" spans="1:6" ht="20.149999999999999" customHeight="1">
      <c r="A26" s="134" t="s">
        <v>667</v>
      </c>
      <c r="B26" s="318">
        <v>1369</v>
      </c>
      <c r="C26" s="134">
        <v>5.2696408637745874E-3</v>
      </c>
      <c r="D26" s="318">
        <v>1064176.9820000001</v>
      </c>
      <c r="E26" s="134">
        <v>0.13982771539687044</v>
      </c>
    </row>
    <row r="27" spans="1:6" ht="25.4" customHeight="1">
      <c r="A27" s="122" t="s">
        <v>549</v>
      </c>
      <c r="B27" s="224">
        <v>259790</v>
      </c>
      <c r="C27" s="133">
        <v>1.0000000000000002</v>
      </c>
      <c r="D27" s="224">
        <v>7610629.8309999993</v>
      </c>
      <c r="E27" s="133">
        <v>1.0000000000000004</v>
      </c>
    </row>
    <row r="28" spans="1:6">
      <c r="D28" s="448"/>
    </row>
    <row r="29" spans="1:6">
      <c r="B29" s="444">
        <f>SUM(B7:B26)-B27</f>
        <v>0</v>
      </c>
      <c r="C29" s="444">
        <f t="shared" ref="C29:E29" si="0">SUM(C7:C26)-C27</f>
        <v>0</v>
      </c>
      <c r="D29" s="444">
        <f t="shared" si="0"/>
        <v>0</v>
      </c>
      <c r="E29" s="444">
        <f t="shared" si="0"/>
        <v>0</v>
      </c>
    </row>
    <row r="30" spans="1:6">
      <c r="B30" s="229"/>
    </row>
  </sheetData>
  <hyperlinks>
    <hyperlink ref="A4" location="Contents!A1" display="Return to Contents" xr:uid="{378FAF4A-3918-4E46-A716-5C79421BEB0C}"/>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43DC7-6E95-4D40-98FC-233F3016A72F}">
  <sheetPr>
    <tabColor rgb="FFDDE5F1"/>
  </sheetPr>
  <dimension ref="A1:AC78"/>
  <sheetViews>
    <sheetView zoomScaleNormal="100" workbookViewId="0"/>
  </sheetViews>
  <sheetFormatPr defaultColWidth="9.1796875" defaultRowHeight="14"/>
  <cols>
    <col min="1" max="1" width="25.81640625" style="1" customWidth="1"/>
    <col min="2" max="6" width="18.81640625" style="1" customWidth="1"/>
    <col min="7" max="7" width="22.81640625" style="1" customWidth="1"/>
    <col min="8" max="9" width="18.81640625" style="1" customWidth="1"/>
    <col min="10" max="10" width="9.1796875" style="1" customWidth="1"/>
    <col min="11" max="16384" width="9.1796875" style="1"/>
  </cols>
  <sheetData>
    <row r="1" spans="1:29" s="13" customFormat="1" ht="30" customHeight="1">
      <c r="A1" s="234" t="s">
        <v>871</v>
      </c>
      <c r="B1" s="38"/>
      <c r="C1" s="38"/>
      <c r="D1" s="38"/>
    </row>
    <row r="2" spans="1:29" s="9" customFormat="1" ht="20.149999999999999" customHeight="1">
      <c r="A2" s="7" t="s">
        <v>250</v>
      </c>
      <c r="B2" s="7"/>
      <c r="G2" s="5"/>
    </row>
    <row r="3" spans="1:29" s="57" customFormat="1" ht="20.149999999999999" customHeight="1">
      <c r="A3" s="54" t="s">
        <v>535</v>
      </c>
      <c r="B3" s="54"/>
      <c r="C3" s="9"/>
    </row>
    <row r="4" spans="1:29" s="57" customFormat="1" ht="20.149999999999999" customHeight="1">
      <c r="A4" s="297"/>
      <c r="B4" s="54"/>
      <c r="C4" s="9"/>
    </row>
    <row r="5" spans="1:29" s="9" customFormat="1" ht="20.149999999999999" customHeight="1">
      <c r="A5" s="159" t="s">
        <v>413</v>
      </c>
      <c r="B5" s="159"/>
      <c r="G5" s="5"/>
    </row>
    <row r="6" spans="1:29" s="61" customFormat="1" ht="20.149999999999999" customHeight="1">
      <c r="A6" s="15" t="s">
        <v>62</v>
      </c>
      <c r="D6" s="91"/>
      <c r="E6" s="91"/>
      <c r="F6" s="91"/>
      <c r="I6" s="91"/>
    </row>
    <row r="7" spans="1:29" s="61" customFormat="1" ht="10.4" customHeight="1">
      <c r="A7" s="11"/>
      <c r="D7" s="91"/>
      <c r="E7" s="91"/>
      <c r="F7" s="91"/>
      <c r="I7" s="91"/>
    </row>
    <row r="8" spans="1:29" s="9" customFormat="1" ht="87" customHeight="1">
      <c r="A8" s="122" t="s">
        <v>5</v>
      </c>
      <c r="B8" s="96" t="s">
        <v>668</v>
      </c>
      <c r="C8" s="96" t="s">
        <v>669</v>
      </c>
      <c r="D8" s="96" t="s">
        <v>670</v>
      </c>
      <c r="E8" s="96" t="s">
        <v>671</v>
      </c>
      <c r="F8" s="96" t="s">
        <v>550</v>
      </c>
      <c r="G8" s="96" t="s">
        <v>672</v>
      </c>
      <c r="H8" s="96" t="s">
        <v>673</v>
      </c>
      <c r="I8" s="96" t="s">
        <v>551</v>
      </c>
    </row>
    <row r="9" spans="1:29" s="9" customFormat="1" ht="20.149999999999999" customHeight="1">
      <c r="A9" s="386" t="s">
        <v>653</v>
      </c>
      <c r="B9" s="449">
        <v>8797</v>
      </c>
      <c r="C9" s="387">
        <v>535</v>
      </c>
      <c r="D9" s="449">
        <v>149</v>
      </c>
      <c r="E9" s="449">
        <v>163</v>
      </c>
      <c r="F9" s="449">
        <v>9644</v>
      </c>
      <c r="G9" s="450">
        <v>0.91217337204479465</v>
      </c>
      <c r="H9" s="450">
        <v>5.5474906677727087E-2</v>
      </c>
      <c r="I9" s="450">
        <v>3.2351721277478228E-2</v>
      </c>
      <c r="Y9" s="21"/>
      <c r="Z9" s="21"/>
      <c r="AA9" s="21"/>
      <c r="AB9" s="21"/>
      <c r="AC9" s="21"/>
    </row>
    <row r="10" spans="1:29" s="9" customFormat="1" ht="20.149999999999999" customHeight="1">
      <c r="A10" s="295" t="s">
        <v>114</v>
      </c>
      <c r="B10" s="451">
        <v>2564</v>
      </c>
      <c r="C10" s="303">
        <v>155</v>
      </c>
      <c r="D10" s="451">
        <v>54</v>
      </c>
      <c r="E10" s="451">
        <v>46</v>
      </c>
      <c r="F10" s="451">
        <v>2819</v>
      </c>
      <c r="G10" s="290">
        <v>0.90954239091876554</v>
      </c>
      <c r="H10" s="290">
        <v>5.4984036892515076E-2</v>
      </c>
      <c r="I10" s="290">
        <v>3.5473572188719403E-2</v>
      </c>
      <c r="Y10" s="21"/>
      <c r="Z10" s="21"/>
      <c r="AA10" s="21"/>
      <c r="AC10" s="21"/>
    </row>
    <row r="11" spans="1:29" s="9" customFormat="1" ht="20.149999999999999" customHeight="1">
      <c r="A11" s="386" t="s">
        <v>28</v>
      </c>
      <c r="B11" s="449">
        <v>8199</v>
      </c>
      <c r="C11" s="387">
        <v>506</v>
      </c>
      <c r="D11" s="449">
        <v>183</v>
      </c>
      <c r="E11" s="449">
        <v>171</v>
      </c>
      <c r="F11" s="449">
        <v>9059</v>
      </c>
      <c r="G11" s="450">
        <v>0.90506678441329069</v>
      </c>
      <c r="H11" s="450">
        <v>5.5856054752180154E-2</v>
      </c>
      <c r="I11" s="450">
        <v>3.9077160834529195E-2</v>
      </c>
    </row>
    <row r="12" spans="1:29" s="9" customFormat="1" ht="20.149999999999999" customHeight="1">
      <c r="A12" s="295" t="s">
        <v>26</v>
      </c>
      <c r="B12" s="451">
        <v>2364</v>
      </c>
      <c r="C12" s="303">
        <v>184</v>
      </c>
      <c r="D12" s="451">
        <v>36</v>
      </c>
      <c r="E12" s="451">
        <v>33</v>
      </c>
      <c r="F12" s="451">
        <v>2617</v>
      </c>
      <c r="G12" s="290">
        <v>0.90332441727168511</v>
      </c>
      <c r="H12" s="290">
        <v>7.0309514711501722E-2</v>
      </c>
      <c r="I12" s="290">
        <v>2.6366068016813144E-2</v>
      </c>
      <c r="Y12" s="21"/>
      <c r="Z12" s="21"/>
      <c r="AA12" s="21"/>
    </row>
    <row r="13" spans="1:29" s="9" customFormat="1" ht="20.149999999999999" customHeight="1">
      <c r="A13" s="386" t="s">
        <v>654</v>
      </c>
      <c r="B13" s="449">
        <v>9374</v>
      </c>
      <c r="C13" s="387">
        <v>598</v>
      </c>
      <c r="D13" s="449">
        <v>221</v>
      </c>
      <c r="E13" s="449">
        <v>204</v>
      </c>
      <c r="F13" s="449">
        <v>10397</v>
      </c>
      <c r="G13" s="450">
        <v>0.90160623256708661</v>
      </c>
      <c r="H13" s="450">
        <v>5.7516591324420503E-2</v>
      </c>
      <c r="I13" s="450">
        <v>4.0877176108492834E-2</v>
      </c>
      <c r="Y13" s="21"/>
      <c r="Z13" s="21"/>
    </row>
    <row r="14" spans="1:29" s="9" customFormat="1" ht="20.149999999999999" customHeight="1">
      <c r="A14" s="295" t="s">
        <v>8</v>
      </c>
      <c r="B14" s="451">
        <v>4970</v>
      </c>
      <c r="C14" s="303">
        <v>388</v>
      </c>
      <c r="D14" s="451">
        <v>117</v>
      </c>
      <c r="E14" s="451">
        <v>144</v>
      </c>
      <c r="F14" s="451">
        <v>5619</v>
      </c>
      <c r="G14" s="290">
        <v>0.88449902117814561</v>
      </c>
      <c r="H14" s="290">
        <v>6.9051432639259655E-2</v>
      </c>
      <c r="I14" s="290">
        <v>4.6449546182594767E-2</v>
      </c>
      <c r="Y14" s="21"/>
      <c r="Z14" s="21"/>
    </row>
    <row r="15" spans="1:29" s="9" customFormat="1" ht="20.149999999999999" customHeight="1">
      <c r="A15" s="386" t="s">
        <v>29</v>
      </c>
      <c r="B15" s="449">
        <v>2090</v>
      </c>
      <c r="C15" s="387">
        <v>165</v>
      </c>
      <c r="D15" s="449">
        <v>56</v>
      </c>
      <c r="E15" s="449">
        <v>62</v>
      </c>
      <c r="F15" s="449">
        <v>2373</v>
      </c>
      <c r="G15" s="450">
        <v>0.88074167720185415</v>
      </c>
      <c r="H15" s="450">
        <v>6.9532237673830599E-2</v>
      </c>
      <c r="I15" s="450">
        <v>4.9726085124315214E-2</v>
      </c>
      <c r="Y15" s="21"/>
      <c r="Z15" s="21"/>
      <c r="AA15" s="21"/>
      <c r="AB15" s="21"/>
      <c r="AC15" s="21"/>
    </row>
    <row r="16" spans="1:29" s="9" customFormat="1" ht="20.149999999999999" customHeight="1">
      <c r="A16" s="295" t="s">
        <v>655</v>
      </c>
      <c r="B16" s="451">
        <v>8608</v>
      </c>
      <c r="C16" s="303">
        <v>649</v>
      </c>
      <c r="D16" s="451">
        <v>269</v>
      </c>
      <c r="E16" s="451">
        <v>285</v>
      </c>
      <c r="F16" s="451">
        <v>9811</v>
      </c>
      <c r="G16" s="290">
        <v>0.87738252981347464</v>
      </c>
      <c r="H16" s="290">
        <v>6.6150239527061463E-2</v>
      </c>
      <c r="I16" s="290">
        <v>5.6467230659463866E-2</v>
      </c>
      <c r="Y16" s="21"/>
      <c r="Z16" s="21"/>
    </row>
    <row r="17" spans="1:29" s="9" customFormat="1" ht="20.149999999999999" customHeight="1">
      <c r="A17" s="386" t="s">
        <v>23</v>
      </c>
      <c r="B17" s="449">
        <v>4822</v>
      </c>
      <c r="C17" s="387">
        <v>401</v>
      </c>
      <c r="D17" s="449">
        <v>152</v>
      </c>
      <c r="E17" s="449">
        <v>206</v>
      </c>
      <c r="F17" s="449">
        <v>5581</v>
      </c>
      <c r="G17" s="450">
        <v>0.8640028668697366</v>
      </c>
      <c r="H17" s="450">
        <v>7.1850922773696466E-2</v>
      </c>
      <c r="I17" s="450">
        <v>6.4146210356566924E-2</v>
      </c>
      <c r="Y17" s="21"/>
      <c r="Z17" s="21"/>
    </row>
    <row r="18" spans="1:29" s="9" customFormat="1" ht="20.149999999999999" customHeight="1">
      <c r="A18" s="295" t="s">
        <v>20</v>
      </c>
      <c r="B18" s="451">
        <v>17084</v>
      </c>
      <c r="C18" s="303">
        <v>1481</v>
      </c>
      <c r="D18" s="451">
        <v>591</v>
      </c>
      <c r="E18" s="451">
        <v>632</v>
      </c>
      <c r="F18" s="451">
        <v>19788</v>
      </c>
      <c r="G18" s="290">
        <v>0.86335152617748134</v>
      </c>
      <c r="H18" s="290">
        <v>7.4843339397614714E-2</v>
      </c>
      <c r="I18" s="290">
        <v>6.1805134424903985E-2</v>
      </c>
      <c r="Y18" s="21"/>
      <c r="Z18" s="21"/>
    </row>
    <row r="19" spans="1:29" s="9" customFormat="1" ht="20.149999999999999" customHeight="1">
      <c r="A19" s="386" t="s">
        <v>12</v>
      </c>
      <c r="B19" s="449">
        <v>4101</v>
      </c>
      <c r="C19" s="387">
        <v>360</v>
      </c>
      <c r="D19" s="449">
        <v>148</v>
      </c>
      <c r="E19" s="449">
        <v>151</v>
      </c>
      <c r="F19" s="449">
        <v>4760</v>
      </c>
      <c r="G19" s="450">
        <v>0.86155462184873954</v>
      </c>
      <c r="H19" s="450">
        <v>7.5630252100840331E-2</v>
      </c>
      <c r="I19" s="450">
        <v>6.2815126050420167E-2</v>
      </c>
      <c r="Y19" s="21"/>
      <c r="Z19" s="21"/>
    </row>
    <row r="20" spans="1:29" s="9" customFormat="1" ht="20.149999999999999" customHeight="1">
      <c r="A20" s="295" t="s">
        <v>16</v>
      </c>
      <c r="B20" s="451">
        <v>8489</v>
      </c>
      <c r="C20" s="303">
        <v>772</v>
      </c>
      <c r="D20" s="451">
        <v>325</v>
      </c>
      <c r="E20" s="451">
        <v>377</v>
      </c>
      <c r="F20" s="451">
        <v>9963</v>
      </c>
      <c r="G20" s="290">
        <v>0.85205259460002003</v>
      </c>
      <c r="H20" s="290">
        <v>7.7486700792933849E-2</v>
      </c>
      <c r="I20" s="290">
        <v>7.0460704607046065E-2</v>
      </c>
      <c r="Y20" s="21"/>
      <c r="Z20" s="21"/>
    </row>
    <row r="21" spans="1:29" s="9" customFormat="1" ht="20.149999999999999" customHeight="1">
      <c r="A21" s="386" t="s">
        <v>24</v>
      </c>
      <c r="B21" s="449">
        <v>4638</v>
      </c>
      <c r="C21" s="387">
        <v>490</v>
      </c>
      <c r="D21" s="449">
        <v>162</v>
      </c>
      <c r="E21" s="449">
        <v>169</v>
      </c>
      <c r="F21" s="449">
        <v>5459</v>
      </c>
      <c r="G21" s="450">
        <v>0.84960615497343839</v>
      </c>
      <c r="H21" s="450">
        <v>8.9760029309397332E-2</v>
      </c>
      <c r="I21" s="450">
        <v>6.0633815717164315E-2</v>
      </c>
      <c r="Y21" s="21"/>
      <c r="Z21" s="21"/>
    </row>
    <row r="22" spans="1:29" s="9" customFormat="1" ht="20.149999999999999" customHeight="1">
      <c r="A22" s="295" t="s">
        <v>9</v>
      </c>
      <c r="B22" s="451">
        <v>1460</v>
      </c>
      <c r="C22" s="303">
        <v>165</v>
      </c>
      <c r="D22" s="451">
        <v>52</v>
      </c>
      <c r="E22" s="451">
        <v>51</v>
      </c>
      <c r="F22" s="451">
        <v>1728</v>
      </c>
      <c r="G22" s="290">
        <v>0.84490740740740744</v>
      </c>
      <c r="H22" s="290">
        <v>9.5486111111111105E-2</v>
      </c>
      <c r="I22" s="290">
        <v>5.9606481481481483E-2</v>
      </c>
      <c r="Y22" s="21"/>
      <c r="Z22" s="21"/>
    </row>
    <row r="23" spans="1:29" s="9" customFormat="1" ht="20.149999999999999" customHeight="1">
      <c r="A23" s="386" t="s">
        <v>7</v>
      </c>
      <c r="B23" s="449">
        <v>12012</v>
      </c>
      <c r="C23" s="387">
        <v>1259</v>
      </c>
      <c r="D23" s="449">
        <v>475</v>
      </c>
      <c r="E23" s="449">
        <v>524</v>
      </c>
      <c r="F23" s="449">
        <v>14270</v>
      </c>
      <c r="G23" s="450">
        <v>0.84176594253679049</v>
      </c>
      <c r="H23" s="450">
        <v>8.8227049754730197E-2</v>
      </c>
      <c r="I23" s="450">
        <v>7.0007007708479327E-2</v>
      </c>
      <c r="Y23" s="21"/>
      <c r="Z23" s="21"/>
    </row>
    <row r="24" spans="1:29" s="9" customFormat="1" ht="20.149999999999999" customHeight="1">
      <c r="A24" s="295" t="s">
        <v>30</v>
      </c>
      <c r="B24" s="451">
        <v>4575</v>
      </c>
      <c r="C24" s="303">
        <v>485</v>
      </c>
      <c r="D24" s="451">
        <v>169</v>
      </c>
      <c r="E24" s="451">
        <v>211</v>
      </c>
      <c r="F24" s="451">
        <v>5440</v>
      </c>
      <c r="G24" s="290">
        <v>0.84099264705882348</v>
      </c>
      <c r="H24" s="290">
        <v>8.9154411764705885E-2</v>
      </c>
      <c r="I24" s="290">
        <v>6.985294117647059E-2</v>
      </c>
      <c r="Y24" s="21"/>
      <c r="Z24" s="21"/>
      <c r="AA24" s="21"/>
    </row>
    <row r="25" spans="1:29" s="9" customFormat="1" ht="20.149999999999999" customHeight="1">
      <c r="A25" s="386" t="s">
        <v>21</v>
      </c>
      <c r="B25" s="449">
        <v>2069</v>
      </c>
      <c r="C25" s="387">
        <v>214</v>
      </c>
      <c r="D25" s="449">
        <v>81</v>
      </c>
      <c r="E25" s="449">
        <v>103</v>
      </c>
      <c r="F25" s="449">
        <v>2467</v>
      </c>
      <c r="G25" s="450">
        <v>0.83867044993919737</v>
      </c>
      <c r="H25" s="450">
        <v>8.6745034454803402E-2</v>
      </c>
      <c r="I25" s="450">
        <v>7.4584515605999185E-2</v>
      </c>
      <c r="Y25" s="21"/>
      <c r="Z25" s="21"/>
      <c r="AA25" s="21"/>
      <c r="AB25" s="21"/>
      <c r="AC25" s="21"/>
    </row>
    <row r="26" spans="1:29" s="9" customFormat="1" ht="20.149999999999999" customHeight="1">
      <c r="A26" s="295" t="s">
        <v>14</v>
      </c>
      <c r="B26" s="451">
        <v>3185</v>
      </c>
      <c r="C26" s="303">
        <v>340</v>
      </c>
      <c r="D26" s="451">
        <v>131</v>
      </c>
      <c r="E26" s="451">
        <v>144</v>
      </c>
      <c r="F26" s="451">
        <v>3800</v>
      </c>
      <c r="G26" s="290">
        <v>0.8381578947368421</v>
      </c>
      <c r="H26" s="290">
        <v>8.9473684210526316E-2</v>
      </c>
      <c r="I26" s="290">
        <v>7.2368421052631582E-2</v>
      </c>
      <c r="Y26" s="21"/>
      <c r="Z26" s="21"/>
      <c r="AA26" s="21"/>
    </row>
    <row r="27" spans="1:29" s="9" customFormat="1" ht="20.149999999999999" customHeight="1">
      <c r="A27" s="386" t="s">
        <v>32</v>
      </c>
      <c r="B27" s="449">
        <v>4983</v>
      </c>
      <c r="C27" s="387">
        <v>640</v>
      </c>
      <c r="D27" s="449">
        <v>203</v>
      </c>
      <c r="E27" s="449">
        <v>204</v>
      </c>
      <c r="F27" s="449">
        <v>6030</v>
      </c>
      <c r="G27" s="450">
        <v>0.8263681592039801</v>
      </c>
      <c r="H27" s="450">
        <v>0.10613598673300166</v>
      </c>
      <c r="I27" s="450">
        <v>6.7495854063018237E-2</v>
      </c>
      <c r="Y27" s="21"/>
      <c r="Z27" s="21"/>
    </row>
    <row r="28" spans="1:29" s="9" customFormat="1" ht="20.149999999999999" customHeight="1">
      <c r="A28" s="295" t="s">
        <v>18</v>
      </c>
      <c r="B28" s="451">
        <v>12077</v>
      </c>
      <c r="C28" s="303">
        <v>1498</v>
      </c>
      <c r="D28" s="451">
        <v>552</v>
      </c>
      <c r="E28" s="451">
        <v>510</v>
      </c>
      <c r="F28" s="451">
        <v>14637</v>
      </c>
      <c r="G28" s="290">
        <v>0.82510077201612353</v>
      </c>
      <c r="H28" s="290">
        <v>0.10234337637494022</v>
      </c>
      <c r="I28" s="290">
        <v>7.2555851608936253E-2</v>
      </c>
      <c r="Y28" s="21"/>
      <c r="Z28" s="21"/>
    </row>
    <row r="29" spans="1:29" s="9" customFormat="1" ht="20.149999999999999" customHeight="1">
      <c r="A29" s="386" t="s">
        <v>33</v>
      </c>
      <c r="B29" s="449">
        <v>2509</v>
      </c>
      <c r="C29" s="387">
        <v>311</v>
      </c>
      <c r="D29" s="449">
        <v>122</v>
      </c>
      <c r="E29" s="449">
        <v>136</v>
      </c>
      <c r="F29" s="449">
        <v>3078</v>
      </c>
      <c r="G29" s="450">
        <v>0.81513970110461342</v>
      </c>
      <c r="H29" s="450">
        <v>0.10103963612735542</v>
      </c>
      <c r="I29" s="450">
        <v>8.3820662768031184E-2</v>
      </c>
      <c r="Y29" s="21"/>
      <c r="Z29" s="21"/>
    </row>
    <row r="30" spans="1:29" s="9" customFormat="1" ht="20.149999999999999" customHeight="1">
      <c r="A30" s="104" t="s">
        <v>60</v>
      </c>
      <c r="B30" s="388">
        <v>211134</v>
      </c>
      <c r="C30" s="389">
        <v>26326</v>
      </c>
      <c r="D30" s="390">
        <v>10478</v>
      </c>
      <c r="E30" s="388">
        <v>11742</v>
      </c>
      <c r="F30" s="391">
        <v>259680</v>
      </c>
      <c r="G30" s="317">
        <v>0.81305452865064698</v>
      </c>
      <c r="H30" s="212">
        <v>0.10137861983980283</v>
      </c>
      <c r="I30" s="212">
        <v>8.5566851509550221E-2</v>
      </c>
      <c r="Y30" s="21"/>
      <c r="Z30" s="21"/>
    </row>
    <row r="31" spans="1:29" s="9" customFormat="1" ht="20.149999999999999" customHeight="1">
      <c r="A31" s="386" t="s">
        <v>31</v>
      </c>
      <c r="B31" s="449">
        <v>9658</v>
      </c>
      <c r="C31" s="387">
        <v>1235</v>
      </c>
      <c r="D31" s="449">
        <v>432</v>
      </c>
      <c r="E31" s="449">
        <v>558</v>
      </c>
      <c r="F31" s="449">
        <v>11883</v>
      </c>
      <c r="G31" s="450">
        <v>0.81275772111419675</v>
      </c>
      <c r="H31" s="450">
        <v>0.10392998401077169</v>
      </c>
      <c r="I31" s="450">
        <v>8.3312294875031556E-2</v>
      </c>
      <c r="Y31" s="21"/>
      <c r="Z31" s="21"/>
    </row>
    <row r="32" spans="1:29" s="9" customFormat="1" ht="20.149999999999999" customHeight="1">
      <c r="A32" s="295" t="s">
        <v>15</v>
      </c>
      <c r="B32" s="451">
        <v>1562</v>
      </c>
      <c r="C32" s="303">
        <v>250</v>
      </c>
      <c r="D32" s="451">
        <v>58</v>
      </c>
      <c r="E32" s="451">
        <v>75</v>
      </c>
      <c r="F32" s="451">
        <v>1945</v>
      </c>
      <c r="G32" s="290">
        <v>0.8030848329048843</v>
      </c>
      <c r="H32" s="290">
        <v>0.12853470437017994</v>
      </c>
      <c r="I32" s="290">
        <v>6.8380462724935739E-2</v>
      </c>
      <c r="Y32" s="21"/>
      <c r="Z32" s="21"/>
      <c r="AA32" s="21"/>
    </row>
    <row r="33" spans="1:27" s="9" customFormat="1" ht="20.149999999999999" customHeight="1">
      <c r="A33" s="386" t="s">
        <v>17</v>
      </c>
      <c r="B33" s="449">
        <v>4237</v>
      </c>
      <c r="C33" s="387">
        <v>624</v>
      </c>
      <c r="D33" s="449">
        <v>207</v>
      </c>
      <c r="E33" s="449">
        <v>293</v>
      </c>
      <c r="F33" s="449">
        <v>5361</v>
      </c>
      <c r="G33" s="450">
        <v>0.79033762357769077</v>
      </c>
      <c r="H33" s="450">
        <v>0.11639619473978735</v>
      </c>
      <c r="I33" s="450">
        <v>9.3266181682521918E-2</v>
      </c>
      <c r="Y33" s="21"/>
      <c r="Z33" s="21"/>
    </row>
    <row r="34" spans="1:27" s="9" customFormat="1" ht="20.149999999999999" customHeight="1">
      <c r="A34" s="295" t="s">
        <v>25</v>
      </c>
      <c r="B34" s="451">
        <v>8970</v>
      </c>
      <c r="C34" s="303">
        <v>1294</v>
      </c>
      <c r="D34" s="451">
        <v>514</v>
      </c>
      <c r="E34" s="451">
        <v>581</v>
      </c>
      <c r="F34" s="451">
        <v>11359</v>
      </c>
      <c r="G34" s="290">
        <v>0.78968219033365616</v>
      </c>
      <c r="H34" s="290">
        <v>0.11391847873932565</v>
      </c>
      <c r="I34" s="290">
        <v>9.6399330927018217E-2</v>
      </c>
      <c r="Y34" s="21"/>
      <c r="Z34" s="21"/>
    </row>
    <row r="35" spans="1:27" s="9" customFormat="1" ht="20.149999999999999" customHeight="1">
      <c r="A35" s="386" t="s">
        <v>13</v>
      </c>
      <c r="B35" s="449">
        <v>1901</v>
      </c>
      <c r="C35" s="387">
        <v>315</v>
      </c>
      <c r="D35" s="449">
        <v>108</v>
      </c>
      <c r="E35" s="449">
        <v>115</v>
      </c>
      <c r="F35" s="449">
        <v>2439</v>
      </c>
      <c r="G35" s="450">
        <v>0.77941779417794177</v>
      </c>
      <c r="H35" s="450">
        <v>0.12915129151291513</v>
      </c>
      <c r="I35" s="450">
        <v>9.1430914309143088E-2</v>
      </c>
      <c r="Y35" s="21"/>
      <c r="Z35" s="21"/>
    </row>
    <row r="36" spans="1:27" s="9" customFormat="1" ht="20.149999999999999" customHeight="1">
      <c r="A36" s="295" t="s">
        <v>22</v>
      </c>
      <c r="B36" s="451">
        <v>2401</v>
      </c>
      <c r="C36" s="303">
        <v>354</v>
      </c>
      <c r="D36" s="451">
        <v>167</v>
      </c>
      <c r="E36" s="451">
        <v>180</v>
      </c>
      <c r="F36" s="451">
        <v>3102</v>
      </c>
      <c r="G36" s="290">
        <v>0.77401676337846548</v>
      </c>
      <c r="H36" s="290">
        <v>0.11411992263056092</v>
      </c>
      <c r="I36" s="290">
        <v>0.11186331399097356</v>
      </c>
      <c r="Y36" s="21"/>
      <c r="Z36" s="21"/>
    </row>
    <row r="37" spans="1:27" s="9" customFormat="1" ht="20.149999999999999" customHeight="1">
      <c r="A37" s="386" t="s">
        <v>11</v>
      </c>
      <c r="B37" s="449">
        <v>4825</v>
      </c>
      <c r="C37" s="387">
        <v>781</v>
      </c>
      <c r="D37" s="449">
        <v>324</v>
      </c>
      <c r="E37" s="449">
        <v>355</v>
      </c>
      <c r="F37" s="449">
        <v>6285</v>
      </c>
      <c r="G37" s="450">
        <v>0.76770087509944307</v>
      </c>
      <c r="H37" s="450">
        <v>0.12426412092283214</v>
      </c>
      <c r="I37" s="450">
        <v>0.10803500397772474</v>
      </c>
      <c r="Y37" s="21"/>
      <c r="Z37" s="21"/>
    </row>
    <row r="38" spans="1:27" s="9" customFormat="1" ht="20.149999999999999" customHeight="1">
      <c r="A38" s="295" t="s">
        <v>34</v>
      </c>
      <c r="B38" s="451">
        <v>4970</v>
      </c>
      <c r="C38" s="303">
        <v>883</v>
      </c>
      <c r="D38" s="451">
        <v>392</v>
      </c>
      <c r="E38" s="451">
        <v>431</v>
      </c>
      <c r="F38" s="451">
        <v>6676</v>
      </c>
      <c r="G38" s="290">
        <v>0.74445775913720791</v>
      </c>
      <c r="H38" s="290">
        <v>0.1322648292390653</v>
      </c>
      <c r="I38" s="290">
        <v>0.12327741162372678</v>
      </c>
      <c r="Y38" s="21"/>
      <c r="Z38" s="21"/>
    </row>
    <row r="39" spans="1:27" s="9" customFormat="1" ht="20.149999999999999" customHeight="1">
      <c r="A39" s="386" t="s">
        <v>19</v>
      </c>
      <c r="B39" s="449">
        <v>20949</v>
      </c>
      <c r="C39" s="387">
        <v>4008</v>
      </c>
      <c r="D39" s="449">
        <v>1668</v>
      </c>
      <c r="E39" s="449">
        <v>1852</v>
      </c>
      <c r="F39" s="449">
        <v>28477</v>
      </c>
      <c r="G39" s="450">
        <v>0.7356463110580469</v>
      </c>
      <c r="H39" s="450">
        <v>0.14074516276293147</v>
      </c>
      <c r="I39" s="450">
        <v>0.12360852617902167</v>
      </c>
      <c r="Y39" s="21"/>
      <c r="Z39" s="21"/>
      <c r="AA39" s="21"/>
    </row>
    <row r="40" spans="1:27" s="9" customFormat="1" ht="20.149999999999999" customHeight="1">
      <c r="A40" s="295" t="s">
        <v>113</v>
      </c>
      <c r="B40" s="451">
        <v>16269</v>
      </c>
      <c r="C40" s="303">
        <v>3355</v>
      </c>
      <c r="D40" s="451">
        <v>1519</v>
      </c>
      <c r="E40" s="451">
        <v>1767</v>
      </c>
      <c r="F40" s="451">
        <v>22910</v>
      </c>
      <c r="G40" s="290">
        <v>0.71012658227848102</v>
      </c>
      <c r="H40" s="290">
        <v>0.1464426014840681</v>
      </c>
      <c r="I40" s="290">
        <v>0.14343081623745088</v>
      </c>
      <c r="Y40" s="21"/>
      <c r="Z40" s="21"/>
    </row>
    <row r="41" spans="1:27" s="9" customFormat="1" ht="20.149999999999999" customHeight="1">
      <c r="A41" s="386" t="s">
        <v>6</v>
      </c>
      <c r="B41" s="449">
        <v>6422</v>
      </c>
      <c r="C41" s="387">
        <v>1631</v>
      </c>
      <c r="D41" s="449">
        <v>841</v>
      </c>
      <c r="E41" s="449">
        <v>1009</v>
      </c>
      <c r="F41" s="449">
        <v>9903</v>
      </c>
      <c r="G41" s="450">
        <v>0.64849035645763908</v>
      </c>
      <c r="H41" s="450">
        <v>0.16469756639402203</v>
      </c>
      <c r="I41" s="450">
        <v>0.18681207714833889</v>
      </c>
      <c r="Y41" s="21"/>
      <c r="Z41" s="21"/>
    </row>
    <row r="42" spans="1:27" ht="14.15" customHeight="1">
      <c r="A42" s="10"/>
      <c r="B42" s="10"/>
      <c r="C42" s="10"/>
      <c r="D42" s="10"/>
      <c r="E42" s="10"/>
      <c r="F42" s="10"/>
      <c r="G42" s="10"/>
      <c r="H42" s="10"/>
      <c r="I42" s="10"/>
      <c r="U42" s="1" t="s">
        <v>674</v>
      </c>
      <c r="Y42" s="227"/>
      <c r="Z42" s="227"/>
    </row>
    <row r="43" spans="1:27" s="10" customFormat="1" ht="14.15" customHeight="1">
      <c r="B43" s="160"/>
      <c r="C43" s="160"/>
      <c r="D43" s="160"/>
      <c r="E43" s="160"/>
    </row>
    <row r="44" spans="1:27" s="10" customFormat="1" ht="14.15" customHeight="1">
      <c r="A44" s="226"/>
      <c r="B44" s="160"/>
      <c r="C44" s="160"/>
      <c r="D44" s="160"/>
      <c r="E44" s="160"/>
      <c r="G44" s="160"/>
      <c r="H44" s="160"/>
    </row>
    <row r="45" spans="1:27">
      <c r="F45" s="452"/>
    </row>
    <row r="46" spans="1:27">
      <c r="F46" s="452"/>
    </row>
    <row r="47" spans="1:27">
      <c r="F47" s="452"/>
    </row>
    <row r="48" spans="1:27">
      <c r="F48" s="452"/>
    </row>
    <row r="49" spans="6:6">
      <c r="F49" s="452"/>
    </row>
    <row r="50" spans="6:6">
      <c r="F50" s="452"/>
    </row>
    <row r="51" spans="6:6">
      <c r="F51" s="452"/>
    </row>
    <row r="52" spans="6:6">
      <c r="F52" s="452"/>
    </row>
    <row r="53" spans="6:6">
      <c r="F53" s="452"/>
    </row>
    <row r="54" spans="6:6">
      <c r="F54" s="452"/>
    </row>
    <row r="55" spans="6:6">
      <c r="F55" s="452"/>
    </row>
    <row r="56" spans="6:6">
      <c r="F56" s="452"/>
    </row>
    <row r="57" spans="6:6">
      <c r="F57" s="452"/>
    </row>
    <row r="58" spans="6:6">
      <c r="F58" s="452"/>
    </row>
    <row r="59" spans="6:6">
      <c r="F59" s="452"/>
    </row>
    <row r="60" spans="6:6">
      <c r="F60" s="452"/>
    </row>
    <row r="61" spans="6:6">
      <c r="F61" s="452"/>
    </row>
    <row r="62" spans="6:6">
      <c r="F62" s="452"/>
    </row>
    <row r="63" spans="6:6">
      <c r="F63" s="452"/>
    </row>
    <row r="64" spans="6:6">
      <c r="F64" s="452"/>
    </row>
    <row r="65" spans="6:6">
      <c r="F65" s="452"/>
    </row>
    <row r="66" spans="6:6">
      <c r="F66" s="452"/>
    </row>
    <row r="67" spans="6:6">
      <c r="F67" s="452"/>
    </row>
    <row r="68" spans="6:6">
      <c r="F68" s="452"/>
    </row>
    <row r="69" spans="6:6">
      <c r="F69" s="452"/>
    </row>
    <row r="70" spans="6:6">
      <c r="F70" s="452"/>
    </row>
    <row r="71" spans="6:6">
      <c r="F71" s="452"/>
    </row>
    <row r="72" spans="6:6">
      <c r="F72" s="452"/>
    </row>
    <row r="73" spans="6:6">
      <c r="F73" s="452"/>
    </row>
    <row r="74" spans="6:6">
      <c r="F74" s="452"/>
    </row>
    <row r="75" spans="6:6">
      <c r="F75" s="452"/>
    </row>
    <row r="76" spans="6:6">
      <c r="F76" s="452"/>
    </row>
    <row r="77" spans="6:6">
      <c r="F77" s="452"/>
    </row>
    <row r="78" spans="6:6">
      <c r="F78" s="452"/>
    </row>
  </sheetData>
  <autoFilter ref="A8:I41" xr:uid="{00000000-0001-0000-0800-000000000000}">
    <sortState xmlns:xlrd2="http://schemas.microsoft.com/office/spreadsheetml/2017/richdata2" ref="A9:I41">
      <sortCondition descending="1" ref="G8:G41"/>
    </sortState>
  </autoFilter>
  <hyperlinks>
    <hyperlink ref="A6" location="Contents!A1" display="Return to Contents" xr:uid="{8D3782B1-6BBC-4418-922A-60465B4916A6}"/>
  </hyperlinks>
  <pageMargins left="0.7" right="0.7" top="0.75" bottom="0.75" header="0.3" footer="0.3"/>
  <pageSetup paperSize="9"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325DB-CE19-4E11-9B6C-4B788FF0E777}">
  <sheetPr>
    <tabColor rgb="FFDDE5F1"/>
  </sheetPr>
  <dimension ref="A1:AL43"/>
  <sheetViews>
    <sheetView zoomScaleNormal="100" workbookViewId="0"/>
  </sheetViews>
  <sheetFormatPr defaultColWidth="9.1796875" defaultRowHeight="14"/>
  <cols>
    <col min="1" max="1" width="25.81640625" style="1" customWidth="1"/>
    <col min="2" max="6" width="18.81640625" style="1" customWidth="1"/>
    <col min="7" max="7" width="22.81640625" style="1" customWidth="1"/>
    <col min="8" max="9" width="18.81640625" style="1" customWidth="1"/>
    <col min="10" max="16384" width="9.1796875" style="1"/>
  </cols>
  <sheetData>
    <row r="1" spans="1:38" s="13" customFormat="1" ht="30" customHeight="1">
      <c r="A1" s="234" t="s">
        <v>872</v>
      </c>
      <c r="B1" s="38"/>
      <c r="C1" s="38"/>
      <c r="D1" s="38"/>
    </row>
    <row r="2" spans="1:38" s="9" customFormat="1" ht="20.149999999999999" customHeight="1">
      <c r="A2" s="7" t="s">
        <v>250</v>
      </c>
      <c r="B2" s="5"/>
      <c r="G2" s="5"/>
    </row>
    <row r="3" spans="1:38" s="57" customFormat="1" ht="20.149999999999999" customHeight="1">
      <c r="A3" s="54" t="s">
        <v>535</v>
      </c>
      <c r="B3" s="12"/>
    </row>
    <row r="4" spans="1:38" s="57" customFormat="1" ht="20.149999999999999" customHeight="1">
      <c r="A4" s="297"/>
      <c r="B4" s="12"/>
    </row>
    <row r="5" spans="1:38" s="9" customFormat="1" ht="20.149999999999999" customHeight="1">
      <c r="A5" s="159" t="s">
        <v>413</v>
      </c>
      <c r="B5" s="5"/>
      <c r="G5" s="5"/>
    </row>
    <row r="6" spans="1:38" s="61" customFormat="1" ht="20.149999999999999" customHeight="1">
      <c r="A6" s="15" t="s">
        <v>62</v>
      </c>
      <c r="D6" s="91"/>
      <c r="E6" s="91"/>
      <c r="F6" s="91"/>
      <c r="I6" s="91"/>
    </row>
    <row r="7" spans="1:38" s="61" customFormat="1" ht="10.4" customHeight="1">
      <c r="A7" s="11"/>
      <c r="D7" s="91"/>
      <c r="E7" s="91"/>
      <c r="F7" s="91"/>
      <c r="I7" s="91"/>
    </row>
    <row r="8" spans="1:38" s="9" customFormat="1" ht="87.75" customHeight="1">
      <c r="A8" s="98" t="s">
        <v>5</v>
      </c>
      <c r="B8" s="96" t="s">
        <v>668</v>
      </c>
      <c r="C8" s="96" t="s">
        <v>669</v>
      </c>
      <c r="D8" s="96" t="s">
        <v>670</v>
      </c>
      <c r="E8" s="96" t="s">
        <v>675</v>
      </c>
      <c r="F8" s="96" t="s">
        <v>550</v>
      </c>
      <c r="G8" s="96" t="s">
        <v>672</v>
      </c>
      <c r="H8" s="96" t="s">
        <v>673</v>
      </c>
      <c r="I8" s="96" t="s">
        <v>551</v>
      </c>
      <c r="X8" s="21"/>
      <c r="Y8" s="21"/>
      <c r="Z8" s="21"/>
      <c r="AA8" s="21"/>
      <c r="AH8" s="21"/>
      <c r="AI8" s="21"/>
      <c r="AJ8" s="21"/>
      <c r="AK8" s="21"/>
      <c r="AL8" s="21"/>
    </row>
    <row r="9" spans="1:38" s="9" customFormat="1" ht="20.149999999999999" customHeight="1">
      <c r="A9" s="386" t="s">
        <v>653</v>
      </c>
      <c r="B9" s="449">
        <v>8397</v>
      </c>
      <c r="C9" s="387">
        <v>520</v>
      </c>
      <c r="D9" s="449">
        <v>151</v>
      </c>
      <c r="E9" s="449">
        <v>162</v>
      </c>
      <c r="F9" s="449">
        <v>9230</v>
      </c>
      <c r="G9" s="450">
        <v>0.90975081256771395</v>
      </c>
      <c r="H9" s="450">
        <v>5.6338028169014086E-2</v>
      </c>
      <c r="I9" s="450">
        <v>3.3911159263271942E-2</v>
      </c>
      <c r="AH9" s="21"/>
      <c r="AI9" s="21"/>
      <c r="AJ9" s="21"/>
      <c r="AL9" s="21"/>
    </row>
    <row r="10" spans="1:38" s="9" customFormat="1" ht="20.149999999999999" customHeight="1">
      <c r="A10" s="295" t="s">
        <v>114</v>
      </c>
      <c r="B10" s="451">
        <v>2480</v>
      </c>
      <c r="C10" s="303">
        <v>156</v>
      </c>
      <c r="D10" s="451">
        <v>52</v>
      </c>
      <c r="E10" s="451">
        <v>46</v>
      </c>
      <c r="F10" s="451">
        <v>2734</v>
      </c>
      <c r="G10" s="290">
        <v>0.90709583028529628</v>
      </c>
      <c r="H10" s="290">
        <v>5.7059253840526701E-2</v>
      </c>
      <c r="I10" s="290">
        <v>3.5844915874177027E-2</v>
      </c>
      <c r="X10" s="21"/>
      <c r="Y10" s="21"/>
      <c r="Z10" s="21"/>
      <c r="AA10" s="21"/>
      <c r="AH10" s="21"/>
      <c r="AI10" s="21"/>
      <c r="AJ10" s="21"/>
    </row>
    <row r="11" spans="1:38" s="9" customFormat="1" ht="20.149999999999999" customHeight="1">
      <c r="A11" s="386" t="s">
        <v>26</v>
      </c>
      <c r="B11" s="449">
        <v>2402</v>
      </c>
      <c r="C11" s="387">
        <v>183</v>
      </c>
      <c r="D11" s="449">
        <v>36</v>
      </c>
      <c r="E11" s="449">
        <v>33</v>
      </c>
      <c r="F11" s="449">
        <v>2654</v>
      </c>
      <c r="G11" s="450">
        <v>0.90504898266767142</v>
      </c>
      <c r="H11" s="450">
        <v>6.8952524491333836E-2</v>
      </c>
      <c r="I11" s="450">
        <v>2.5998492840994723E-2</v>
      </c>
      <c r="X11" s="21"/>
      <c r="Y11" s="21"/>
      <c r="Z11" s="21"/>
      <c r="AH11" s="21"/>
      <c r="AI11" s="21"/>
    </row>
    <row r="12" spans="1:38" s="9" customFormat="1" ht="20.149999999999999" customHeight="1">
      <c r="A12" s="295" t="s">
        <v>28</v>
      </c>
      <c r="B12" s="451">
        <v>8095</v>
      </c>
      <c r="C12" s="303">
        <v>510</v>
      </c>
      <c r="D12" s="451">
        <v>181</v>
      </c>
      <c r="E12" s="451">
        <v>171</v>
      </c>
      <c r="F12" s="451">
        <v>8957</v>
      </c>
      <c r="G12" s="290">
        <v>0.90376242045327682</v>
      </c>
      <c r="H12" s="290">
        <v>5.6938707156413977E-2</v>
      </c>
      <c r="I12" s="290">
        <v>3.9298872390309256E-2</v>
      </c>
      <c r="X12" s="21"/>
      <c r="Y12" s="21"/>
      <c r="AH12" s="21"/>
      <c r="AI12" s="21"/>
    </row>
    <row r="13" spans="1:38" s="9" customFormat="1" ht="20.149999999999999" customHeight="1">
      <c r="A13" s="386" t="s">
        <v>654</v>
      </c>
      <c r="B13" s="449">
        <v>9400</v>
      </c>
      <c r="C13" s="387">
        <v>595</v>
      </c>
      <c r="D13" s="449">
        <v>214</v>
      </c>
      <c r="E13" s="449">
        <v>209</v>
      </c>
      <c r="F13" s="449">
        <v>10418</v>
      </c>
      <c r="G13" s="450">
        <v>0.90228450758302936</v>
      </c>
      <c r="H13" s="450">
        <v>5.7112689575734309E-2</v>
      </c>
      <c r="I13" s="450">
        <v>4.0602802841236324E-2</v>
      </c>
      <c r="X13" s="21"/>
      <c r="AH13" s="21"/>
      <c r="AI13" s="21"/>
      <c r="AJ13" s="21"/>
      <c r="AK13" s="21"/>
      <c r="AL13" s="21"/>
    </row>
    <row r="14" spans="1:38" s="9" customFormat="1" ht="20.149999999999999" customHeight="1">
      <c r="A14" s="295" t="s">
        <v>8</v>
      </c>
      <c r="B14" s="451">
        <v>5000</v>
      </c>
      <c r="C14" s="303">
        <v>390</v>
      </c>
      <c r="D14" s="451">
        <v>118</v>
      </c>
      <c r="E14" s="451">
        <v>146</v>
      </c>
      <c r="F14" s="451">
        <v>5654</v>
      </c>
      <c r="G14" s="290">
        <v>0.88432967810399721</v>
      </c>
      <c r="H14" s="290">
        <v>6.8977714892111783E-2</v>
      </c>
      <c r="I14" s="290">
        <v>4.6692607003891051E-2</v>
      </c>
      <c r="X14" s="21"/>
      <c r="Y14" s="21"/>
      <c r="Z14" s="21"/>
      <c r="AA14" s="21"/>
      <c r="AH14" s="21"/>
      <c r="AI14" s="21"/>
    </row>
    <row r="15" spans="1:38" s="9" customFormat="1" ht="20.149999999999999" customHeight="1">
      <c r="A15" s="386" t="s">
        <v>29</v>
      </c>
      <c r="B15" s="449">
        <v>2096</v>
      </c>
      <c r="C15" s="387">
        <v>166</v>
      </c>
      <c r="D15" s="449">
        <v>54</v>
      </c>
      <c r="E15" s="449">
        <v>61</v>
      </c>
      <c r="F15" s="449">
        <v>2377</v>
      </c>
      <c r="G15" s="450">
        <v>0.88178376104333189</v>
      </c>
      <c r="H15" s="450">
        <v>6.9835927639882209E-2</v>
      </c>
      <c r="I15" s="450">
        <v>4.8380311316785864E-2</v>
      </c>
      <c r="X15" s="21"/>
      <c r="Y15" s="21"/>
      <c r="AH15" s="21"/>
      <c r="AI15" s="21"/>
    </row>
    <row r="16" spans="1:38" s="9" customFormat="1" ht="20.149999999999999" customHeight="1">
      <c r="A16" s="295" t="s">
        <v>655</v>
      </c>
      <c r="B16" s="451">
        <v>8631</v>
      </c>
      <c r="C16" s="303">
        <v>660</v>
      </c>
      <c r="D16" s="451">
        <v>261</v>
      </c>
      <c r="E16" s="451">
        <v>281</v>
      </c>
      <c r="F16" s="451">
        <v>9833</v>
      </c>
      <c r="G16" s="290">
        <v>0.87775856808705377</v>
      </c>
      <c r="H16" s="290">
        <v>6.7120919353198416E-2</v>
      </c>
      <c r="I16" s="290">
        <v>5.5120512559747786E-2</v>
      </c>
      <c r="X16" s="21"/>
      <c r="Y16" s="21"/>
      <c r="AH16" s="21"/>
      <c r="AI16" s="21"/>
    </row>
    <row r="17" spans="1:38" s="9" customFormat="1" ht="20.149999999999999" customHeight="1">
      <c r="A17" s="386" t="s">
        <v>12</v>
      </c>
      <c r="B17" s="449">
        <v>4412</v>
      </c>
      <c r="C17" s="387">
        <v>366</v>
      </c>
      <c r="D17" s="449">
        <v>141</v>
      </c>
      <c r="E17" s="449">
        <v>149</v>
      </c>
      <c r="F17" s="449">
        <v>5068</v>
      </c>
      <c r="G17" s="450">
        <v>0.87056037884767168</v>
      </c>
      <c r="H17" s="450">
        <v>7.2217837411207575E-2</v>
      </c>
      <c r="I17" s="450">
        <v>5.722178374112076E-2</v>
      </c>
      <c r="X17" s="21"/>
      <c r="Y17" s="21"/>
      <c r="AH17" s="21"/>
      <c r="AI17" s="21"/>
    </row>
    <row r="18" spans="1:38" s="9" customFormat="1" ht="20.149999999999999" customHeight="1">
      <c r="A18" s="295" t="s">
        <v>20</v>
      </c>
      <c r="B18" s="451">
        <v>16977</v>
      </c>
      <c r="C18" s="303">
        <v>1481</v>
      </c>
      <c r="D18" s="451">
        <v>578</v>
      </c>
      <c r="E18" s="451">
        <v>626</v>
      </c>
      <c r="F18" s="451">
        <v>19662</v>
      </c>
      <c r="G18" s="290">
        <v>0.8634421727189503</v>
      </c>
      <c r="H18" s="290">
        <v>7.5322957990031539E-2</v>
      </c>
      <c r="I18" s="290">
        <v>6.1234869291018207E-2</v>
      </c>
      <c r="X18" s="21"/>
      <c r="Y18" s="21"/>
      <c r="AH18" s="21"/>
      <c r="AI18" s="21"/>
    </row>
    <row r="19" spans="1:38" s="9" customFormat="1" ht="20.149999999999999" customHeight="1">
      <c r="A19" s="386" t="s">
        <v>23</v>
      </c>
      <c r="B19" s="449">
        <v>4767</v>
      </c>
      <c r="C19" s="387">
        <v>399</v>
      </c>
      <c r="D19" s="449">
        <v>153</v>
      </c>
      <c r="E19" s="449">
        <v>207</v>
      </c>
      <c r="F19" s="449">
        <v>5526</v>
      </c>
      <c r="G19" s="450">
        <v>0.8626492942453855</v>
      </c>
      <c r="H19" s="450">
        <v>7.2204125950054293E-2</v>
      </c>
      <c r="I19" s="450">
        <v>6.5146579804560262E-2</v>
      </c>
      <c r="X19" s="21"/>
      <c r="Y19" s="21"/>
      <c r="AH19" s="21"/>
      <c r="AI19" s="21"/>
    </row>
    <row r="20" spans="1:38" s="9" customFormat="1" ht="20.149999999999999" customHeight="1">
      <c r="A20" s="295" t="s">
        <v>16</v>
      </c>
      <c r="B20" s="451">
        <v>8601</v>
      </c>
      <c r="C20" s="303">
        <v>756</v>
      </c>
      <c r="D20" s="451">
        <v>316</v>
      </c>
      <c r="E20" s="451">
        <v>376</v>
      </c>
      <c r="F20" s="451">
        <v>10049</v>
      </c>
      <c r="G20" s="290">
        <v>0.85590606030450789</v>
      </c>
      <c r="H20" s="290">
        <v>7.5231366305104991E-2</v>
      </c>
      <c r="I20" s="290">
        <v>6.8862573390387108E-2</v>
      </c>
      <c r="X20" s="21"/>
      <c r="Y20" s="21"/>
      <c r="AH20" s="21"/>
      <c r="AI20" s="21"/>
    </row>
    <row r="21" spans="1:38" s="9" customFormat="1" ht="20.149999999999999" customHeight="1">
      <c r="A21" s="386" t="s">
        <v>24</v>
      </c>
      <c r="B21" s="449">
        <v>4698</v>
      </c>
      <c r="C21" s="387">
        <v>482</v>
      </c>
      <c r="D21" s="449">
        <v>153</v>
      </c>
      <c r="E21" s="449">
        <v>170</v>
      </c>
      <c r="F21" s="449">
        <v>5503</v>
      </c>
      <c r="G21" s="450">
        <v>0.85371615482464114</v>
      </c>
      <c r="H21" s="450">
        <v>8.7588588042885704E-2</v>
      </c>
      <c r="I21" s="450">
        <v>5.86952571324732E-2</v>
      </c>
      <c r="X21" s="21"/>
      <c r="Y21" s="21"/>
      <c r="AH21" s="21"/>
      <c r="AI21" s="21"/>
    </row>
    <row r="22" spans="1:38" s="9" customFormat="1" ht="20.149999999999999" customHeight="1">
      <c r="A22" s="295" t="s">
        <v>9</v>
      </c>
      <c r="B22" s="451">
        <v>1476</v>
      </c>
      <c r="C22" s="303">
        <v>164</v>
      </c>
      <c r="D22" s="451">
        <v>53</v>
      </c>
      <c r="E22" s="451">
        <v>50</v>
      </c>
      <c r="F22" s="451">
        <v>1743</v>
      </c>
      <c r="G22" s="290">
        <v>0.846815834767642</v>
      </c>
      <c r="H22" s="290">
        <v>9.4090648307515776E-2</v>
      </c>
      <c r="I22" s="290">
        <v>5.9093516924842229E-2</v>
      </c>
      <c r="X22" s="21"/>
      <c r="Y22" s="21"/>
      <c r="AH22" s="21"/>
      <c r="AI22" s="21"/>
      <c r="AJ22" s="21"/>
    </row>
    <row r="23" spans="1:38" s="9" customFormat="1" ht="20.149999999999999" customHeight="1">
      <c r="A23" s="386" t="s">
        <v>30</v>
      </c>
      <c r="B23" s="449">
        <v>4612</v>
      </c>
      <c r="C23" s="387">
        <v>482</v>
      </c>
      <c r="D23" s="449">
        <v>166</v>
      </c>
      <c r="E23" s="449">
        <v>210</v>
      </c>
      <c r="F23" s="449">
        <v>5470</v>
      </c>
      <c r="G23" s="450">
        <v>0.84314442413162705</v>
      </c>
      <c r="H23" s="450">
        <v>8.811700182815356E-2</v>
      </c>
      <c r="I23" s="450">
        <v>6.873857404021938E-2</v>
      </c>
      <c r="X23" s="21"/>
      <c r="Y23" s="21"/>
      <c r="Z23" s="21"/>
      <c r="AH23" s="21"/>
      <c r="AI23" s="21"/>
      <c r="AJ23" s="21"/>
      <c r="AK23" s="21"/>
      <c r="AL23" s="21"/>
    </row>
    <row r="24" spans="1:38" s="9" customFormat="1" ht="20.149999999999999" customHeight="1">
      <c r="A24" s="295" t="s">
        <v>7</v>
      </c>
      <c r="B24" s="451">
        <v>11990</v>
      </c>
      <c r="C24" s="303">
        <v>1250</v>
      </c>
      <c r="D24" s="451">
        <v>472</v>
      </c>
      <c r="E24" s="451">
        <v>532</v>
      </c>
      <c r="F24" s="451">
        <v>14244</v>
      </c>
      <c r="G24" s="290">
        <v>0.84175793316484138</v>
      </c>
      <c r="H24" s="290">
        <v>8.7756248244875032E-2</v>
      </c>
      <c r="I24" s="290">
        <v>7.0485818590283633E-2</v>
      </c>
      <c r="X24" s="21"/>
      <c r="Y24" s="21"/>
      <c r="Z24" s="21"/>
      <c r="AA24" s="21"/>
      <c r="AH24" s="21"/>
      <c r="AI24" s="21"/>
      <c r="AJ24" s="21"/>
    </row>
    <row r="25" spans="1:38" s="9" customFormat="1" ht="20.149999999999999" customHeight="1">
      <c r="A25" s="386" t="s">
        <v>21</v>
      </c>
      <c r="B25" s="449">
        <v>2083</v>
      </c>
      <c r="C25" s="387">
        <v>209</v>
      </c>
      <c r="D25" s="449">
        <v>85</v>
      </c>
      <c r="E25" s="449">
        <v>103</v>
      </c>
      <c r="F25" s="449">
        <v>2480</v>
      </c>
      <c r="G25" s="450">
        <v>0.83991935483870972</v>
      </c>
      <c r="H25" s="450">
        <v>8.4274193548387097E-2</v>
      </c>
      <c r="I25" s="450">
        <v>7.5806451612903225E-2</v>
      </c>
      <c r="X25" s="21"/>
      <c r="Y25" s="21"/>
      <c r="Z25" s="21"/>
      <c r="AA25" s="21"/>
      <c r="AH25" s="21"/>
      <c r="AI25" s="21"/>
    </row>
    <row r="26" spans="1:38" s="9" customFormat="1" ht="20.149999999999999" customHeight="1">
      <c r="A26" s="295" t="s">
        <v>14</v>
      </c>
      <c r="B26" s="451">
        <v>3196</v>
      </c>
      <c r="C26" s="303">
        <v>347</v>
      </c>
      <c r="D26" s="451">
        <v>128</v>
      </c>
      <c r="E26" s="451">
        <v>144</v>
      </c>
      <c r="F26" s="451">
        <v>3815</v>
      </c>
      <c r="G26" s="290">
        <v>0.83774574049803407</v>
      </c>
      <c r="H26" s="290">
        <v>9.0956749672346002E-2</v>
      </c>
      <c r="I26" s="290">
        <v>7.1297509829619923E-2</v>
      </c>
      <c r="X26" s="21"/>
      <c r="Y26" s="21"/>
      <c r="AH26" s="21"/>
      <c r="AI26" s="21"/>
    </row>
    <row r="27" spans="1:38" s="9" customFormat="1" ht="20.149999999999999" customHeight="1">
      <c r="A27" s="386" t="s">
        <v>18</v>
      </c>
      <c r="B27" s="449">
        <v>12224</v>
      </c>
      <c r="C27" s="387">
        <v>1457</v>
      </c>
      <c r="D27" s="449">
        <v>551</v>
      </c>
      <c r="E27" s="449">
        <v>510</v>
      </c>
      <c r="F27" s="449">
        <v>14742</v>
      </c>
      <c r="G27" s="450">
        <v>0.82919549586216257</v>
      </c>
      <c r="H27" s="450">
        <v>9.8833265499932169E-2</v>
      </c>
      <c r="I27" s="450">
        <v>7.1971238637905305E-2</v>
      </c>
      <c r="W27" s="21"/>
      <c r="Y27" s="21"/>
      <c r="AH27" s="21"/>
      <c r="AI27" s="21"/>
    </row>
    <row r="28" spans="1:38" s="9" customFormat="1" ht="20.149999999999999" customHeight="1">
      <c r="A28" s="295" t="s">
        <v>32</v>
      </c>
      <c r="B28" s="451">
        <v>4953</v>
      </c>
      <c r="C28" s="303">
        <v>635</v>
      </c>
      <c r="D28" s="451">
        <v>202</v>
      </c>
      <c r="E28" s="451">
        <v>202</v>
      </c>
      <c r="F28" s="451">
        <v>5992</v>
      </c>
      <c r="G28" s="290">
        <v>0.82660213618157541</v>
      </c>
      <c r="H28" s="290">
        <v>0.10597463284379172</v>
      </c>
      <c r="I28" s="290">
        <v>6.7423230974632847E-2</v>
      </c>
      <c r="X28" s="21"/>
      <c r="Y28" s="21"/>
      <c r="AH28" s="21"/>
      <c r="AI28" s="21"/>
    </row>
    <row r="29" spans="1:38" s="9" customFormat="1" ht="20.149999999999999" customHeight="1">
      <c r="A29" s="386" t="s">
        <v>33</v>
      </c>
      <c r="B29" s="449">
        <v>2504</v>
      </c>
      <c r="C29" s="387">
        <v>302</v>
      </c>
      <c r="D29" s="449">
        <v>125</v>
      </c>
      <c r="E29" s="449">
        <v>130</v>
      </c>
      <c r="F29" s="449">
        <v>3061</v>
      </c>
      <c r="G29" s="450">
        <v>0.8180333224436459</v>
      </c>
      <c r="H29" s="450">
        <v>9.866056844168572E-2</v>
      </c>
      <c r="I29" s="450">
        <v>8.3306109114668403E-2</v>
      </c>
      <c r="X29" s="21"/>
      <c r="Y29" s="21"/>
      <c r="AH29" s="21"/>
      <c r="AI29" s="21"/>
    </row>
    <row r="30" spans="1:38" s="9" customFormat="1" ht="20.149999999999999" customHeight="1">
      <c r="A30" s="295" t="s">
        <v>31</v>
      </c>
      <c r="B30" s="451">
        <v>9824</v>
      </c>
      <c r="C30" s="303">
        <v>1225</v>
      </c>
      <c r="D30" s="451">
        <v>432</v>
      </c>
      <c r="E30" s="451">
        <v>550</v>
      </c>
      <c r="F30" s="451">
        <v>12031</v>
      </c>
      <c r="G30" s="290">
        <v>0.81655722716316181</v>
      </c>
      <c r="H30" s="290">
        <v>0.10182029756462473</v>
      </c>
      <c r="I30" s="290">
        <v>8.1622475272213446E-2</v>
      </c>
      <c r="X30" s="21"/>
      <c r="Y30" s="21"/>
      <c r="AH30" s="21"/>
      <c r="AI30" s="21"/>
      <c r="AJ30" s="21"/>
    </row>
    <row r="31" spans="1:38" s="9" customFormat="1" ht="20.149999999999999" customHeight="1">
      <c r="A31" s="104" t="s">
        <v>60</v>
      </c>
      <c r="B31" s="388">
        <v>211797</v>
      </c>
      <c r="C31" s="389">
        <v>26049</v>
      </c>
      <c r="D31" s="390">
        <v>10363</v>
      </c>
      <c r="E31" s="388">
        <v>11581</v>
      </c>
      <c r="F31" s="391">
        <v>259790</v>
      </c>
      <c r="G31" s="317">
        <v>0.8152623272643289</v>
      </c>
      <c r="H31" s="212">
        <v>0.10026944840063128</v>
      </c>
      <c r="I31" s="212">
        <v>8.4468224335039838E-2</v>
      </c>
      <c r="X31" s="21"/>
      <c r="Y31" s="21"/>
      <c r="Z31" s="21"/>
      <c r="AA31" s="21"/>
      <c r="AH31" s="21"/>
      <c r="AI31" s="21"/>
    </row>
    <row r="32" spans="1:38" s="9" customFormat="1" ht="20.149999999999999" customHeight="1">
      <c r="A32" s="295" t="s">
        <v>15</v>
      </c>
      <c r="B32" s="451">
        <v>1636</v>
      </c>
      <c r="C32" s="303">
        <v>248</v>
      </c>
      <c r="D32" s="451">
        <v>53</v>
      </c>
      <c r="E32" s="451">
        <v>79</v>
      </c>
      <c r="F32" s="451">
        <v>2016</v>
      </c>
      <c r="G32" s="290">
        <v>0.81150793650793651</v>
      </c>
      <c r="H32" s="290">
        <v>0.12301587301587301</v>
      </c>
      <c r="I32" s="290">
        <v>6.5476190476190479E-2</v>
      </c>
      <c r="X32" s="21"/>
      <c r="Y32" s="21"/>
      <c r="AH32" s="21"/>
      <c r="AI32" s="21"/>
    </row>
    <row r="33" spans="1:36" s="9" customFormat="1" ht="20.149999999999999" customHeight="1">
      <c r="A33" s="386" t="s">
        <v>25</v>
      </c>
      <c r="B33" s="449">
        <v>9167</v>
      </c>
      <c r="C33" s="387">
        <v>1257</v>
      </c>
      <c r="D33" s="449">
        <v>508</v>
      </c>
      <c r="E33" s="449">
        <v>572</v>
      </c>
      <c r="F33" s="449">
        <v>11504</v>
      </c>
      <c r="G33" s="450">
        <v>0.79685326842837279</v>
      </c>
      <c r="H33" s="450">
        <v>0.1092663421418637</v>
      </c>
      <c r="I33" s="450">
        <v>9.3880389429763567E-2</v>
      </c>
      <c r="X33" s="21"/>
      <c r="Y33" s="21"/>
      <c r="AH33" s="21"/>
      <c r="AI33" s="21"/>
    </row>
    <row r="34" spans="1:36" s="9" customFormat="1" ht="20.149999999999999" customHeight="1">
      <c r="A34" s="295" t="s">
        <v>17</v>
      </c>
      <c r="B34" s="451">
        <v>4340</v>
      </c>
      <c r="C34" s="303">
        <v>617</v>
      </c>
      <c r="D34" s="451">
        <v>203</v>
      </c>
      <c r="E34" s="451">
        <v>290</v>
      </c>
      <c r="F34" s="451">
        <v>5450</v>
      </c>
      <c r="G34" s="290">
        <v>0.79633027522935784</v>
      </c>
      <c r="H34" s="290">
        <v>0.11321100917431193</v>
      </c>
      <c r="I34" s="290">
        <v>9.0458715596330272E-2</v>
      </c>
      <c r="X34" s="21"/>
      <c r="Y34" s="21"/>
      <c r="AH34" s="21"/>
      <c r="AI34" s="21"/>
    </row>
    <row r="35" spans="1:36" s="9" customFormat="1" ht="20.149999999999999" customHeight="1">
      <c r="A35" s="386" t="s">
        <v>13</v>
      </c>
      <c r="B35" s="449">
        <v>1922</v>
      </c>
      <c r="C35" s="387">
        <v>314</v>
      </c>
      <c r="D35" s="449">
        <v>103</v>
      </c>
      <c r="E35" s="449">
        <v>115</v>
      </c>
      <c r="F35" s="449">
        <v>2454</v>
      </c>
      <c r="G35" s="450">
        <v>0.78321108394458028</v>
      </c>
      <c r="H35" s="450">
        <v>0.12795436022819887</v>
      </c>
      <c r="I35" s="450">
        <v>8.8834555827220871E-2</v>
      </c>
      <c r="X35" s="21"/>
      <c r="Y35" s="21"/>
      <c r="AH35" s="21"/>
      <c r="AI35" s="21"/>
    </row>
    <row r="36" spans="1:36" s="9" customFormat="1" ht="20.149999999999999" customHeight="1">
      <c r="A36" s="295" t="s">
        <v>22</v>
      </c>
      <c r="B36" s="451">
        <v>2396</v>
      </c>
      <c r="C36" s="303">
        <v>349</v>
      </c>
      <c r="D36" s="451">
        <v>173</v>
      </c>
      <c r="E36" s="451">
        <v>174</v>
      </c>
      <c r="F36" s="451">
        <v>3092</v>
      </c>
      <c r="G36" s="290">
        <v>0.77490297542043984</v>
      </c>
      <c r="H36" s="290">
        <v>0.1128719275549806</v>
      </c>
      <c r="I36" s="290">
        <v>0.11222509702457956</v>
      </c>
      <c r="X36" s="21"/>
      <c r="Y36" s="21"/>
      <c r="AH36" s="21"/>
      <c r="AI36" s="21"/>
    </row>
    <row r="37" spans="1:36" s="9" customFormat="1" ht="20.149999999999999" customHeight="1">
      <c r="A37" s="386" t="s">
        <v>11</v>
      </c>
      <c r="B37" s="449">
        <v>4857</v>
      </c>
      <c r="C37" s="387">
        <v>764</v>
      </c>
      <c r="D37" s="449">
        <v>323</v>
      </c>
      <c r="E37" s="449">
        <v>339</v>
      </c>
      <c r="F37" s="449">
        <v>6283</v>
      </c>
      <c r="G37" s="450">
        <v>0.77303835747254501</v>
      </c>
      <c r="H37" s="450">
        <v>0.12159796275664492</v>
      </c>
      <c r="I37" s="450">
        <v>0.10536367977081013</v>
      </c>
      <c r="X37" s="21"/>
      <c r="Y37" s="21"/>
      <c r="AH37" s="21"/>
      <c r="AI37" s="21"/>
      <c r="AJ37" s="21"/>
    </row>
    <row r="38" spans="1:36" s="9" customFormat="1" ht="20.149999999999999" customHeight="1">
      <c r="A38" s="295" t="s">
        <v>34</v>
      </c>
      <c r="B38" s="451">
        <v>5001</v>
      </c>
      <c r="C38" s="303">
        <v>874</v>
      </c>
      <c r="D38" s="451">
        <v>403</v>
      </c>
      <c r="E38" s="451">
        <v>416</v>
      </c>
      <c r="F38" s="451">
        <v>6694</v>
      </c>
      <c r="G38" s="290">
        <v>0.74708694353152072</v>
      </c>
      <c r="H38" s="290">
        <v>0.13056468479235137</v>
      </c>
      <c r="I38" s="290">
        <v>0.12234837167612787</v>
      </c>
      <c r="X38" s="21"/>
      <c r="Y38" s="21"/>
      <c r="Z38" s="21"/>
      <c r="AA38" s="21"/>
      <c r="AH38" s="21"/>
      <c r="AI38" s="21"/>
    </row>
    <row r="39" spans="1:36" s="9" customFormat="1" ht="20.149999999999999" customHeight="1">
      <c r="A39" s="386" t="s">
        <v>19</v>
      </c>
      <c r="B39" s="449">
        <v>21126</v>
      </c>
      <c r="C39" s="387">
        <v>3970</v>
      </c>
      <c r="D39" s="449">
        <v>1652</v>
      </c>
      <c r="E39" s="449">
        <v>1791</v>
      </c>
      <c r="F39" s="449">
        <v>28539</v>
      </c>
      <c r="G39" s="450">
        <v>0.74025018395879327</v>
      </c>
      <c r="H39" s="450">
        <v>0.1391078874522583</v>
      </c>
      <c r="I39" s="450">
        <v>0.12064192858894845</v>
      </c>
      <c r="X39" s="21"/>
      <c r="Y39" s="21"/>
      <c r="AH39" s="21"/>
      <c r="AI39" s="21"/>
    </row>
    <row r="40" spans="1:36" s="9" customFormat="1" ht="20.149999999999999" customHeight="1">
      <c r="A40" s="295" t="s">
        <v>113</v>
      </c>
      <c r="B40" s="451">
        <v>16034</v>
      </c>
      <c r="C40" s="303">
        <v>3318</v>
      </c>
      <c r="D40" s="451">
        <v>1501</v>
      </c>
      <c r="E40" s="451">
        <v>1749</v>
      </c>
      <c r="F40" s="451">
        <v>22602</v>
      </c>
      <c r="G40" s="290">
        <v>0.70940624723475798</v>
      </c>
      <c r="H40" s="290">
        <v>0.14680116803822671</v>
      </c>
      <c r="I40" s="290">
        <v>0.14379258472701531</v>
      </c>
      <c r="X40" s="21"/>
      <c r="Y40" s="21"/>
      <c r="AH40" s="21"/>
      <c r="AI40" s="21"/>
    </row>
    <row r="41" spans="1:36" s="9" customFormat="1" ht="20.149999999999999" customHeight="1">
      <c r="A41" s="386" t="s">
        <v>6</v>
      </c>
      <c r="B41" s="449">
        <v>6500</v>
      </c>
      <c r="C41" s="387">
        <v>1603</v>
      </c>
      <c r="D41" s="449">
        <v>822</v>
      </c>
      <c r="E41" s="449">
        <v>988</v>
      </c>
      <c r="F41" s="449">
        <v>9913</v>
      </c>
      <c r="G41" s="450">
        <v>0.65570463028346615</v>
      </c>
      <c r="H41" s="450">
        <v>0.16170684959144557</v>
      </c>
      <c r="I41" s="450">
        <v>0.18258852012508828</v>
      </c>
      <c r="X41" s="21"/>
      <c r="Y41" s="21"/>
    </row>
    <row r="42" spans="1:36" s="9" customFormat="1" ht="25.4" customHeight="1">
      <c r="A42" s="226"/>
      <c r="B42" s="160"/>
      <c r="C42" s="160"/>
      <c r="D42" s="160"/>
      <c r="E42" s="160"/>
      <c r="F42" s="160"/>
      <c r="G42" s="10"/>
      <c r="H42" s="10"/>
      <c r="I42" s="10"/>
    </row>
    <row r="43" spans="1:36" s="10" customFormat="1" ht="14.15" customHeight="1">
      <c r="B43" s="160"/>
      <c r="C43" s="160"/>
      <c r="D43" s="160"/>
      <c r="E43" s="160"/>
      <c r="F43" s="160"/>
    </row>
  </sheetData>
  <autoFilter ref="A8:I8" xr:uid="{00000000-0001-0000-0900-000000000000}">
    <sortState xmlns:xlrd2="http://schemas.microsoft.com/office/spreadsheetml/2017/richdata2" ref="A9:I41">
      <sortCondition descending="1" ref="G8"/>
    </sortState>
  </autoFilter>
  <hyperlinks>
    <hyperlink ref="A6" location="Contents!A1" display="Return to Contents" xr:uid="{002420E5-2DB0-4A8E-BF68-CC17FC799CA9}"/>
  </hyperlinks>
  <pageMargins left="0.7" right="0.7" top="0.75" bottom="0.75" header="0.3" footer="0.3"/>
  <pageSetup paperSize="9"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92606-03B7-4384-A66B-003FDE79DDFC}">
  <sheetPr>
    <tabColor rgb="FFDDE5F1"/>
  </sheetPr>
  <dimension ref="A1:Q41"/>
  <sheetViews>
    <sheetView zoomScaleNormal="100" workbookViewId="0"/>
  </sheetViews>
  <sheetFormatPr defaultColWidth="9.1796875" defaultRowHeight="15.5"/>
  <cols>
    <col min="1" max="1" width="53.1796875" style="57" customWidth="1"/>
    <col min="2" max="15" width="14.81640625" style="57" customWidth="1"/>
    <col min="16" max="16" width="12.1796875" style="57" bestFit="1" customWidth="1"/>
    <col min="17" max="17" width="10.54296875" style="57" customWidth="1"/>
    <col min="18" max="16384" width="9.1796875" style="57"/>
  </cols>
  <sheetData>
    <row r="1" spans="1:17" ht="30" customHeight="1">
      <c r="A1" s="234" t="s">
        <v>873</v>
      </c>
      <c r="B1" s="234"/>
      <c r="C1" s="447"/>
      <c r="D1" s="447"/>
      <c r="E1" s="60"/>
      <c r="F1" s="60"/>
    </row>
    <row r="2" spans="1:17" ht="20.149999999999999" customHeight="1">
      <c r="A2" s="7" t="s">
        <v>255</v>
      </c>
      <c r="B2" s="199"/>
      <c r="C2" s="159"/>
      <c r="D2" s="159"/>
      <c r="E2" s="159"/>
      <c r="F2" s="159"/>
      <c r="G2" s="159"/>
      <c r="H2" s="159"/>
      <c r="I2" s="159"/>
    </row>
    <row r="3" spans="1:17" s="137" customFormat="1" ht="20.149999999999999" customHeight="1">
      <c r="A3" s="54" t="s">
        <v>676</v>
      </c>
      <c r="B3" s="453"/>
      <c r="C3" s="454"/>
      <c r="D3" s="454"/>
      <c r="E3" s="454"/>
      <c r="F3" s="454"/>
      <c r="G3" s="454"/>
      <c r="H3" s="454"/>
      <c r="I3" s="454"/>
    </row>
    <row r="4" spans="1:17" s="137" customFormat="1" ht="20.149999999999999" customHeight="1">
      <c r="A4" s="7" t="s">
        <v>874</v>
      </c>
      <c r="B4" s="7"/>
      <c r="C4" s="454"/>
      <c r="D4" s="454"/>
      <c r="E4" s="454"/>
      <c r="F4" s="454"/>
      <c r="G4" s="454"/>
      <c r="H4" s="454"/>
      <c r="I4" s="454"/>
    </row>
    <row r="5" spans="1:17" s="137" customFormat="1" ht="20.149999999999999" customHeight="1">
      <c r="A5" s="7" t="s">
        <v>604</v>
      </c>
      <c r="B5" s="7"/>
      <c r="C5" s="454"/>
      <c r="D5" s="454"/>
      <c r="E5" s="454"/>
      <c r="F5" s="454"/>
      <c r="G5" s="454"/>
      <c r="H5" s="454"/>
      <c r="I5" s="454"/>
    </row>
    <row r="6" spans="1:17" s="137" customFormat="1" ht="20.149999999999999" customHeight="1">
      <c r="A6" s="54" t="s">
        <v>605</v>
      </c>
      <c r="B6" s="54"/>
      <c r="C6" s="454"/>
      <c r="D6" s="454"/>
      <c r="E6" s="454"/>
      <c r="F6" s="454"/>
      <c r="G6" s="454"/>
      <c r="H6" s="454"/>
      <c r="I6" s="454"/>
    </row>
    <row r="7" spans="1:17" s="137" customFormat="1" ht="20.149999999999999" customHeight="1">
      <c r="A7" s="245" t="s">
        <v>677</v>
      </c>
      <c r="B7" s="245"/>
    </row>
    <row r="8" spans="1:17" ht="20.149999999999999" customHeight="1">
      <c r="A8" s="159" t="s">
        <v>606</v>
      </c>
      <c r="B8" s="159"/>
      <c r="C8" s="137"/>
    </row>
    <row r="9" spans="1:17" s="9" customFormat="1" ht="20.149999999999999" customHeight="1">
      <c r="A9" s="15" t="s">
        <v>62</v>
      </c>
      <c r="B9" s="5"/>
      <c r="C9" s="5"/>
      <c r="D9" s="5"/>
      <c r="E9" s="5"/>
      <c r="F9" s="5"/>
    </row>
    <row r="10" spans="1:17" ht="10.4" customHeight="1"/>
    <row r="11" spans="1:17" ht="25.4" customHeight="1">
      <c r="A11" s="122" t="s">
        <v>249</v>
      </c>
      <c r="B11" s="99" t="s">
        <v>123</v>
      </c>
      <c r="C11" s="99" t="s">
        <v>128</v>
      </c>
      <c r="D11" s="99" t="s">
        <v>124</v>
      </c>
      <c r="E11" s="99" t="s">
        <v>125</v>
      </c>
      <c r="F11" s="99" t="s">
        <v>126</v>
      </c>
      <c r="G11" s="99" t="s">
        <v>0</v>
      </c>
      <c r="H11" s="99" t="s">
        <v>1</v>
      </c>
      <c r="I11" s="99" t="s">
        <v>2</v>
      </c>
      <c r="J11" s="99" t="s">
        <v>3</v>
      </c>
      <c r="K11" s="99" t="s">
        <v>4</v>
      </c>
      <c r="L11" s="99" t="s">
        <v>153</v>
      </c>
      <c r="M11" s="99" t="s">
        <v>188</v>
      </c>
      <c r="N11" s="99" t="s">
        <v>424</v>
      </c>
      <c r="O11" s="99" t="s">
        <v>600</v>
      </c>
      <c r="P11" s="99" t="s">
        <v>636</v>
      </c>
      <c r="Q11" s="99" t="s">
        <v>838</v>
      </c>
    </row>
    <row r="12" spans="1:17" ht="20.149999999999999" customHeight="1">
      <c r="A12" s="235" t="s">
        <v>552</v>
      </c>
      <c r="B12" s="158">
        <v>2009.82620395</v>
      </c>
      <c r="C12" s="158">
        <v>2138.1625371181817</v>
      </c>
      <c r="D12" s="158">
        <v>2251.05174244</v>
      </c>
      <c r="E12" s="158">
        <v>2346.915211</v>
      </c>
      <c r="F12" s="158">
        <v>2366.8845059999999</v>
      </c>
      <c r="G12" s="238">
        <v>2511.2895960000001</v>
      </c>
      <c r="H12" s="238">
        <v>2578.770344</v>
      </c>
      <c r="I12" s="158">
        <v>2731.4814409999999</v>
      </c>
      <c r="J12" s="158">
        <v>2762.2488539999999</v>
      </c>
      <c r="K12" s="158">
        <v>2846.5466270000002</v>
      </c>
      <c r="L12" s="158">
        <v>2761.4959570000001</v>
      </c>
      <c r="M12" s="158">
        <v>1816.1203089999999</v>
      </c>
      <c r="N12" s="158">
        <v>2108.180163</v>
      </c>
      <c r="O12" s="158">
        <v>2791.9627499999997</v>
      </c>
      <c r="P12" s="158">
        <v>3033</v>
      </c>
      <c r="Q12" s="158">
        <v>3146.3172327100001</v>
      </c>
    </row>
    <row r="13" spans="1:17" ht="20.149999999999999" customHeight="1">
      <c r="A13" s="169" t="s">
        <v>553</v>
      </c>
      <c r="B13" s="222">
        <v>5299</v>
      </c>
      <c r="C13" s="222">
        <v>6612</v>
      </c>
      <c r="D13" s="222">
        <v>6677.7612580000005</v>
      </c>
      <c r="E13" s="222">
        <v>6717.6069029999999</v>
      </c>
      <c r="F13" s="222">
        <v>6716.299293</v>
      </c>
      <c r="G13" s="222">
        <v>6680.7150199999996</v>
      </c>
      <c r="H13" s="222">
        <v>6718.7050849999996</v>
      </c>
      <c r="I13" s="222">
        <v>6795.958275</v>
      </c>
      <c r="J13" s="222">
        <v>7357.6751729999996</v>
      </c>
      <c r="K13" s="222">
        <v>7438.5619310000002</v>
      </c>
      <c r="L13" s="222">
        <v>7462.1370139999999</v>
      </c>
      <c r="M13" s="222">
        <v>7386.4370200000003</v>
      </c>
      <c r="N13" s="222">
        <v>7325.1308859999999</v>
      </c>
      <c r="O13" s="222">
        <v>7296.1475089999994</v>
      </c>
      <c r="P13" s="222">
        <v>7696.884</v>
      </c>
      <c r="Q13" s="222">
        <v>7693.2404040000001</v>
      </c>
    </row>
    <row r="14" spans="1:17" ht="20.149999999999999" customHeight="1">
      <c r="A14" s="159" t="s">
        <v>678</v>
      </c>
      <c r="B14" s="239">
        <v>48.1</v>
      </c>
      <c r="C14" s="239">
        <v>40.700000000000003</v>
      </c>
      <c r="D14" s="239">
        <v>42.6</v>
      </c>
      <c r="E14" s="239">
        <v>45</v>
      </c>
      <c r="F14" s="239">
        <v>46.2</v>
      </c>
      <c r="G14" s="240">
        <v>47.1</v>
      </c>
      <c r="H14" s="240">
        <v>48</v>
      </c>
      <c r="I14" s="239">
        <v>48.4</v>
      </c>
      <c r="J14" s="239">
        <v>46.6</v>
      </c>
      <c r="K14" s="239">
        <v>48</v>
      </c>
      <c r="L14" s="239">
        <v>49</v>
      </c>
      <c r="M14" s="239">
        <v>49.8</v>
      </c>
      <c r="N14" s="239">
        <v>49</v>
      </c>
      <c r="O14" s="239">
        <v>49.8</v>
      </c>
      <c r="P14" s="239">
        <v>49.8</v>
      </c>
      <c r="Q14" s="239">
        <v>49.8</v>
      </c>
    </row>
    <row r="15" spans="1:17" ht="20.149999999999999" customHeight="1">
      <c r="A15" s="169" t="s">
        <v>679</v>
      </c>
      <c r="B15" s="241" t="s">
        <v>61</v>
      </c>
      <c r="C15" s="241" t="s">
        <v>61</v>
      </c>
      <c r="D15" s="241" t="s">
        <v>61</v>
      </c>
      <c r="E15" s="241" t="s">
        <v>61</v>
      </c>
      <c r="F15" s="241" t="s">
        <v>61</v>
      </c>
      <c r="G15" s="241" t="s">
        <v>61</v>
      </c>
      <c r="H15" s="241" t="s">
        <v>61</v>
      </c>
      <c r="I15" s="241" t="s">
        <v>61</v>
      </c>
      <c r="J15" s="241" t="s">
        <v>61</v>
      </c>
      <c r="K15" s="241" t="s">
        <v>61</v>
      </c>
      <c r="L15" s="241" t="s">
        <v>61</v>
      </c>
      <c r="M15" s="241">
        <v>51.1</v>
      </c>
      <c r="N15" s="241">
        <v>50.3</v>
      </c>
      <c r="O15" s="241">
        <v>51.1</v>
      </c>
      <c r="P15" s="241">
        <v>51.1</v>
      </c>
      <c r="Q15" s="241">
        <v>54.5</v>
      </c>
    </row>
    <row r="16" spans="1:17" ht="20.149999999999999" customHeight="1">
      <c r="A16" s="159" t="s">
        <v>554</v>
      </c>
      <c r="B16" s="239" t="s">
        <v>61</v>
      </c>
      <c r="C16" s="239" t="s">
        <v>61</v>
      </c>
      <c r="D16" s="239" t="s">
        <v>61</v>
      </c>
      <c r="E16" s="239" t="s">
        <v>61</v>
      </c>
      <c r="F16" s="239" t="s">
        <v>61</v>
      </c>
      <c r="G16" s="240" t="s">
        <v>61</v>
      </c>
      <c r="H16" s="240" t="s">
        <v>61</v>
      </c>
      <c r="I16" s="239" t="s">
        <v>61</v>
      </c>
      <c r="J16" s="239" t="s">
        <v>61</v>
      </c>
      <c r="K16" s="239" t="s">
        <v>61</v>
      </c>
      <c r="L16" s="239" t="s">
        <v>61</v>
      </c>
      <c r="M16" s="392">
        <v>51000</v>
      </c>
      <c r="N16" s="392">
        <v>51000</v>
      </c>
      <c r="O16" s="392">
        <v>51000</v>
      </c>
      <c r="P16" s="392">
        <v>51000</v>
      </c>
      <c r="Q16" s="392">
        <v>51000</v>
      </c>
    </row>
    <row r="17" spans="1:17" ht="20.149999999999999" customHeight="1">
      <c r="A17" s="169" t="s">
        <v>680</v>
      </c>
      <c r="B17" s="242">
        <v>48.5</v>
      </c>
      <c r="C17" s="242">
        <v>41.4</v>
      </c>
      <c r="D17" s="242">
        <v>43.3</v>
      </c>
      <c r="E17" s="242">
        <v>45.8</v>
      </c>
      <c r="F17" s="242">
        <v>47.1</v>
      </c>
      <c r="G17" s="242">
        <v>48.2</v>
      </c>
      <c r="H17" s="242">
        <v>49.3</v>
      </c>
      <c r="I17" s="242">
        <v>51</v>
      </c>
      <c r="J17" s="242">
        <v>49.2</v>
      </c>
      <c r="K17" s="242">
        <v>50.6</v>
      </c>
      <c r="L17" s="242">
        <v>51.6</v>
      </c>
      <c r="M17" s="242">
        <v>52.4</v>
      </c>
      <c r="N17" s="242">
        <v>51.6</v>
      </c>
      <c r="O17" s="242">
        <v>52.4</v>
      </c>
      <c r="P17" s="242">
        <v>52.4</v>
      </c>
      <c r="Q17" s="242">
        <v>55.9</v>
      </c>
    </row>
    <row r="18" spans="1:17" ht="20.149999999999999" customHeight="1" thickBot="1">
      <c r="A18" s="243" t="s">
        <v>555</v>
      </c>
      <c r="B18" s="244">
        <v>29000</v>
      </c>
      <c r="C18" s="244">
        <v>35000</v>
      </c>
      <c r="D18" s="244">
        <v>35000</v>
      </c>
      <c r="E18" s="244">
        <v>35000</v>
      </c>
      <c r="F18" s="244">
        <v>35000</v>
      </c>
      <c r="G18" s="244">
        <v>35000</v>
      </c>
      <c r="H18" s="244">
        <v>35000</v>
      </c>
      <c r="I18" s="244">
        <v>35000</v>
      </c>
      <c r="J18" s="244">
        <v>51000</v>
      </c>
      <c r="K18" s="244">
        <v>51000</v>
      </c>
      <c r="L18" s="244">
        <v>51000</v>
      </c>
      <c r="M18" s="244">
        <v>95000</v>
      </c>
      <c r="N18" s="244">
        <v>95000</v>
      </c>
      <c r="O18" s="244">
        <v>95000</v>
      </c>
      <c r="P18" s="244">
        <v>100000</v>
      </c>
      <c r="Q18" s="244">
        <v>100000</v>
      </c>
    </row>
    <row r="19" spans="1:17">
      <c r="B19" s="229"/>
      <c r="C19" s="229"/>
      <c r="D19" s="229"/>
      <c r="E19" s="229"/>
      <c r="F19" s="229"/>
      <c r="G19" s="63"/>
      <c r="H19" s="63"/>
      <c r="I19" s="63"/>
    </row>
    <row r="20" spans="1:17">
      <c r="B20" s="229"/>
      <c r="C20" s="229"/>
      <c r="D20" s="229"/>
      <c r="E20" s="229"/>
      <c r="F20" s="229"/>
      <c r="G20" s="63"/>
      <c r="H20" s="63"/>
      <c r="I20" s="63"/>
      <c r="M20" s="407"/>
      <c r="N20" s="407"/>
      <c r="O20" s="407"/>
      <c r="P20" s="407"/>
    </row>
    <row r="21" spans="1:17">
      <c r="B21" s="229"/>
      <c r="C21" s="229"/>
      <c r="D21" s="229"/>
      <c r="E21" s="229"/>
      <c r="F21" s="229"/>
      <c r="G21" s="63"/>
      <c r="H21" s="63"/>
      <c r="I21" s="63"/>
    </row>
    <row r="22" spans="1:17">
      <c r="B22" s="229"/>
      <c r="C22" s="229"/>
      <c r="D22" s="229"/>
      <c r="E22" s="229"/>
      <c r="F22" s="229"/>
      <c r="G22" s="63"/>
      <c r="H22" s="63"/>
      <c r="I22" s="63"/>
    </row>
    <row r="23" spans="1:17">
      <c r="B23" s="229"/>
      <c r="C23" s="229"/>
      <c r="D23" s="229"/>
      <c r="E23" s="229"/>
      <c r="F23" s="229"/>
      <c r="G23" s="63"/>
      <c r="H23" s="63"/>
      <c r="I23" s="63"/>
    </row>
    <row r="24" spans="1:17">
      <c r="B24" s="229"/>
      <c r="C24" s="229"/>
      <c r="D24" s="229"/>
      <c r="E24" s="229"/>
      <c r="F24" s="229"/>
      <c r="G24" s="63"/>
      <c r="H24" s="63"/>
      <c r="I24" s="63"/>
    </row>
    <row r="25" spans="1:17">
      <c r="B25" s="229"/>
      <c r="C25" s="229"/>
      <c r="D25" s="229"/>
      <c r="E25" s="229"/>
      <c r="F25" s="229"/>
      <c r="G25" s="63"/>
      <c r="H25" s="63"/>
      <c r="I25" s="63"/>
    </row>
    <row r="26" spans="1:17">
      <c r="B26" s="229"/>
      <c r="C26" s="229"/>
      <c r="D26" s="229"/>
      <c r="E26" s="229"/>
      <c r="F26" s="229"/>
      <c r="G26" s="63"/>
      <c r="H26" s="63"/>
      <c r="I26" s="63"/>
    </row>
    <row r="27" spans="1:17">
      <c r="B27" s="229"/>
      <c r="C27" s="229"/>
      <c r="D27" s="229"/>
      <c r="E27" s="229"/>
      <c r="F27" s="229"/>
      <c r="G27" s="63"/>
      <c r="H27" s="63"/>
      <c r="I27" s="63"/>
    </row>
    <row r="28" spans="1:17">
      <c r="B28" s="229"/>
      <c r="C28" s="229"/>
      <c r="D28" s="229"/>
      <c r="E28" s="229"/>
      <c r="F28" s="229"/>
      <c r="G28" s="63"/>
      <c r="H28" s="63"/>
      <c r="I28" s="63"/>
    </row>
    <row r="29" spans="1:17">
      <c r="B29" s="229"/>
      <c r="C29" s="229"/>
      <c r="D29" s="229"/>
      <c r="E29" s="229"/>
      <c r="F29" s="229"/>
      <c r="G29" s="63"/>
      <c r="H29" s="63"/>
      <c r="I29" s="63"/>
    </row>
    <row r="30" spans="1:17">
      <c r="B30" s="229"/>
      <c r="C30" s="229"/>
      <c r="D30" s="229"/>
      <c r="E30" s="229"/>
      <c r="F30" s="229"/>
      <c r="G30" s="63"/>
      <c r="H30" s="63"/>
      <c r="I30" s="63"/>
    </row>
    <row r="31" spans="1:17">
      <c r="B31" s="229"/>
      <c r="C31" s="229"/>
      <c r="D31" s="229"/>
      <c r="E31" s="229"/>
      <c r="F31" s="229"/>
      <c r="G31" s="63"/>
      <c r="H31" s="63"/>
      <c r="I31" s="63"/>
    </row>
    <row r="32" spans="1:17">
      <c r="B32" s="229"/>
      <c r="C32" s="229"/>
      <c r="D32" s="229"/>
      <c r="E32" s="229"/>
      <c r="F32" s="229"/>
      <c r="G32" s="63"/>
      <c r="H32" s="63"/>
      <c r="I32" s="63"/>
    </row>
    <row r="33" spans="2:9">
      <c r="B33" s="229"/>
      <c r="C33" s="229"/>
      <c r="D33" s="229"/>
      <c r="E33" s="229"/>
      <c r="F33" s="229"/>
      <c r="G33" s="63"/>
      <c r="H33" s="63"/>
      <c r="I33" s="63"/>
    </row>
    <row r="34" spans="2:9">
      <c r="B34" s="229"/>
      <c r="C34" s="229"/>
      <c r="D34" s="229"/>
      <c r="E34" s="229"/>
      <c r="F34" s="229"/>
      <c r="G34" s="63"/>
      <c r="H34" s="63"/>
      <c r="I34" s="63"/>
    </row>
    <row r="35" spans="2:9">
      <c r="B35" s="229"/>
      <c r="C35" s="229"/>
      <c r="D35" s="229"/>
      <c r="E35" s="229"/>
      <c r="F35" s="229"/>
      <c r="G35" s="63"/>
      <c r="H35" s="63"/>
      <c r="I35" s="63"/>
    </row>
    <row r="36" spans="2:9">
      <c r="B36" s="229"/>
      <c r="C36" s="229"/>
      <c r="D36" s="229"/>
      <c r="E36" s="229"/>
      <c r="F36" s="229"/>
      <c r="G36" s="63"/>
      <c r="H36" s="63"/>
      <c r="I36" s="63"/>
    </row>
    <row r="37" spans="2:9">
      <c r="B37" s="229"/>
      <c r="C37" s="229"/>
      <c r="D37" s="229"/>
      <c r="E37" s="229"/>
      <c r="F37" s="229"/>
      <c r="G37" s="63"/>
      <c r="H37" s="63"/>
      <c r="I37" s="63"/>
    </row>
    <row r="38" spans="2:9">
      <c r="B38" s="229"/>
      <c r="C38" s="229"/>
      <c r="D38" s="229"/>
      <c r="E38" s="229"/>
      <c r="F38" s="229"/>
      <c r="G38" s="63"/>
      <c r="H38" s="63"/>
      <c r="I38" s="63"/>
    </row>
    <row r="39" spans="2:9">
      <c r="B39" s="229"/>
      <c r="C39" s="229"/>
      <c r="D39" s="229"/>
      <c r="E39" s="229"/>
      <c r="F39" s="229"/>
      <c r="G39" s="63"/>
      <c r="H39" s="63"/>
      <c r="I39" s="63"/>
    </row>
    <row r="40" spans="2:9">
      <c r="B40" s="229"/>
      <c r="C40" s="229"/>
      <c r="D40" s="229"/>
      <c r="E40" s="229"/>
      <c r="F40" s="229"/>
      <c r="G40" s="63"/>
      <c r="H40" s="63"/>
      <c r="I40" s="63"/>
    </row>
    <row r="41" spans="2:9">
      <c r="B41" s="229"/>
      <c r="C41" s="229"/>
      <c r="D41" s="229"/>
      <c r="E41" s="229"/>
      <c r="F41" s="229"/>
      <c r="G41" s="63"/>
      <c r="H41" s="63"/>
      <c r="I41" s="63"/>
    </row>
  </sheetData>
  <hyperlinks>
    <hyperlink ref="A9" location="Contents!A1" display="Return to Contents" xr:uid="{CA2F829C-A2F1-4F4B-A996-4EE63CF03000}"/>
  </hyperlinks>
  <pageMargins left="0.7" right="0.7" top="0.75" bottom="0.75"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4D9169-1D49-4C40-88BD-BD58FC95D1AD}">
  <sheetPr>
    <tabColor rgb="FFDDE5F1"/>
  </sheetPr>
  <dimension ref="A1:R35"/>
  <sheetViews>
    <sheetView zoomScaleNormal="100" workbookViewId="0">
      <selection activeCell="A9" sqref="A9:XFD9"/>
    </sheetView>
  </sheetViews>
  <sheetFormatPr defaultColWidth="9.1796875" defaultRowHeight="15.5"/>
  <cols>
    <col min="1" max="1" width="56.1796875" style="57" customWidth="1"/>
    <col min="2" max="14" width="14.81640625" style="57" customWidth="1"/>
    <col min="15" max="15" width="14" style="57" bestFit="1" customWidth="1"/>
    <col min="16" max="16" width="14" style="57" customWidth="1"/>
    <col min="17" max="17" width="13.54296875" style="57" bestFit="1" customWidth="1"/>
    <col min="18" max="18" width="9.54296875" style="57" bestFit="1" customWidth="1"/>
    <col min="19" max="20" width="9.1796875" style="57"/>
    <col min="21" max="21" width="47.1796875" style="57" bestFit="1" customWidth="1"/>
    <col min="22" max="16384" width="9.1796875" style="57"/>
  </cols>
  <sheetData>
    <row r="1" spans="1:18" ht="30" customHeight="1">
      <c r="A1" s="58" t="s">
        <v>875</v>
      </c>
      <c r="B1" s="60"/>
      <c r="C1" s="60"/>
      <c r="D1" s="60"/>
      <c r="E1" s="60"/>
      <c r="F1" s="60"/>
      <c r="G1" s="60"/>
    </row>
    <row r="2" spans="1:18" ht="20.149999999999999" customHeight="1">
      <c r="A2" s="9" t="s">
        <v>255</v>
      </c>
      <c r="B2" s="60"/>
      <c r="C2" s="60"/>
      <c r="D2" s="60"/>
      <c r="E2" s="60"/>
      <c r="F2" s="60"/>
      <c r="G2" s="60"/>
    </row>
    <row r="3" spans="1:18" ht="20.149999999999999" customHeight="1">
      <c r="A3" s="19" t="s">
        <v>556</v>
      </c>
      <c r="B3" s="60"/>
      <c r="C3" s="60"/>
      <c r="D3" s="60"/>
      <c r="E3" s="60"/>
      <c r="F3" s="60"/>
      <c r="G3" s="60"/>
    </row>
    <row r="4" spans="1:18" ht="20.149999999999999" customHeight="1">
      <c r="A4" s="29" t="s">
        <v>681</v>
      </c>
      <c r="B4" s="60"/>
      <c r="C4" s="60"/>
      <c r="D4" s="60"/>
      <c r="E4" s="60"/>
      <c r="F4" s="29"/>
      <c r="G4" s="60"/>
    </row>
    <row r="5" spans="1:18" ht="20.149999999999999" customHeight="1">
      <c r="A5" s="29" t="s">
        <v>876</v>
      </c>
      <c r="B5" s="60"/>
      <c r="C5" s="60"/>
      <c r="D5" s="60"/>
      <c r="E5" s="60"/>
      <c r="F5" s="29"/>
      <c r="G5" s="60"/>
    </row>
    <row r="6" spans="1:18" ht="20.149999999999999" customHeight="1">
      <c r="A6" s="29" t="s">
        <v>682</v>
      </c>
      <c r="B6" s="60"/>
      <c r="C6" s="60"/>
      <c r="D6" s="60"/>
      <c r="E6" s="60"/>
      <c r="F6" s="29"/>
      <c r="G6" s="60"/>
    </row>
    <row r="7" spans="1:18" ht="20.149999999999999" customHeight="1">
      <c r="A7" s="29" t="s">
        <v>877</v>
      </c>
      <c r="B7" s="60"/>
      <c r="C7" s="60"/>
      <c r="D7" s="60"/>
      <c r="E7" s="60"/>
      <c r="F7" s="29"/>
      <c r="G7" s="60"/>
    </row>
    <row r="8" spans="1:18" ht="20.149999999999999" customHeight="1">
      <c r="A8" s="29" t="s">
        <v>557</v>
      </c>
      <c r="B8" s="60"/>
      <c r="C8" s="60"/>
      <c r="D8" s="60"/>
      <c r="E8" s="60"/>
      <c r="F8" s="29"/>
      <c r="G8" s="60"/>
    </row>
    <row r="9" spans="1:18" s="166" customFormat="1" ht="17.5">
      <c r="A9" s="57" t="s">
        <v>878</v>
      </c>
      <c r="B9" s="60"/>
      <c r="C9" s="60"/>
      <c r="D9" s="60"/>
      <c r="E9" s="60"/>
      <c r="F9" s="60"/>
      <c r="G9" s="60"/>
      <c r="H9" s="57"/>
      <c r="I9" s="57"/>
      <c r="J9" s="57"/>
      <c r="K9" s="57"/>
      <c r="L9" s="57"/>
      <c r="M9" s="57"/>
      <c r="N9" s="57"/>
      <c r="O9" s="57"/>
    </row>
    <row r="10" spans="1:18" s="9" customFormat="1" ht="20.149999999999999" customHeight="1">
      <c r="A10" s="15" t="s">
        <v>62</v>
      </c>
      <c r="B10" s="5"/>
      <c r="C10" s="5"/>
      <c r="D10" s="5"/>
      <c r="E10" s="5"/>
      <c r="F10" s="5"/>
      <c r="K10" s="228"/>
      <c r="M10" s="393"/>
    </row>
    <row r="11" spans="1:18" ht="18" customHeight="1"/>
    <row r="12" spans="1:18" ht="25.4" customHeight="1">
      <c r="A12" s="122" t="s">
        <v>558</v>
      </c>
      <c r="B12" s="99" t="s">
        <v>123</v>
      </c>
      <c r="C12" s="99" t="s">
        <v>128</v>
      </c>
      <c r="D12" s="99" t="s">
        <v>124</v>
      </c>
      <c r="E12" s="99" t="s">
        <v>125</v>
      </c>
      <c r="F12" s="99" t="s">
        <v>126</v>
      </c>
      <c r="G12" s="99" t="s">
        <v>0</v>
      </c>
      <c r="H12" s="99" t="s">
        <v>1</v>
      </c>
      <c r="I12" s="99" t="s">
        <v>2</v>
      </c>
      <c r="J12" s="99" t="s">
        <v>3</v>
      </c>
      <c r="K12" s="99" t="s">
        <v>4</v>
      </c>
      <c r="L12" s="99" t="s">
        <v>153</v>
      </c>
      <c r="M12" s="99" t="s">
        <v>188</v>
      </c>
      <c r="N12" s="99" t="s">
        <v>424</v>
      </c>
      <c r="O12" s="99" t="s">
        <v>600</v>
      </c>
      <c r="P12" s="99" t="s">
        <v>636</v>
      </c>
      <c r="Q12" s="99" t="s">
        <v>838</v>
      </c>
      <c r="R12" s="384"/>
    </row>
    <row r="13" spans="1:18" ht="20.149999999999999" customHeight="1">
      <c r="A13" s="235" t="s">
        <v>607</v>
      </c>
      <c r="B13" s="236">
        <v>153361.49773</v>
      </c>
      <c r="C13" s="236">
        <v>145936.26065000001</v>
      </c>
      <c r="D13" s="236">
        <v>157862.005</v>
      </c>
      <c r="E13" s="236">
        <v>169133.51777999999</v>
      </c>
      <c r="F13" s="236">
        <v>146496.06299999999</v>
      </c>
      <c r="G13" s="236">
        <v>140961.74400000001</v>
      </c>
      <c r="H13" s="236">
        <v>141603.59599999999</v>
      </c>
      <c r="I13" s="236">
        <v>93681.578999999998</v>
      </c>
      <c r="J13" s="236">
        <v>93987.517999999996</v>
      </c>
      <c r="K13" s="236">
        <v>92903.732999999993</v>
      </c>
      <c r="L13" s="236">
        <v>87500.256999999998</v>
      </c>
      <c r="M13" s="236">
        <v>78670.233000000007</v>
      </c>
      <c r="N13" s="236">
        <v>88070.212820000001</v>
      </c>
      <c r="O13" s="236">
        <v>95471.486000000004</v>
      </c>
      <c r="P13" s="236" t="s">
        <v>61</v>
      </c>
      <c r="Q13" s="236" t="s">
        <v>61</v>
      </c>
    </row>
    <row r="14" spans="1:18" ht="20.149999999999999" customHeight="1">
      <c r="A14" s="237" t="s">
        <v>559</v>
      </c>
      <c r="B14" s="189">
        <v>122131.67633250001</v>
      </c>
      <c r="C14" s="189">
        <v>136731.02085</v>
      </c>
      <c r="D14" s="189">
        <v>151275.845</v>
      </c>
      <c r="E14" s="189">
        <v>164978.75717749997</v>
      </c>
      <c r="F14" s="189">
        <v>173623.408</v>
      </c>
      <c r="G14" s="189">
        <v>181242.06200000001</v>
      </c>
      <c r="H14" s="189">
        <v>189311.546</v>
      </c>
      <c r="I14" s="189">
        <v>201214.57199999999</v>
      </c>
      <c r="J14" s="189">
        <v>214418.307</v>
      </c>
      <c r="K14" s="189">
        <v>218977.14300000001</v>
      </c>
      <c r="L14" s="189">
        <v>224813.49600000001</v>
      </c>
      <c r="M14" s="189">
        <v>223189.28599999999</v>
      </c>
      <c r="N14" s="189">
        <v>214027.804985</v>
      </c>
      <c r="O14" s="189">
        <v>215899.85500000001</v>
      </c>
      <c r="P14" s="189">
        <v>231026.23</v>
      </c>
      <c r="Q14" s="189">
        <v>247224.64963</v>
      </c>
      <c r="R14" s="299"/>
    </row>
    <row r="15" spans="1:18" ht="20.149999999999999" customHeight="1">
      <c r="A15" s="235" t="s">
        <v>560</v>
      </c>
      <c r="B15" s="236">
        <v>11604.106809999999</v>
      </c>
      <c r="C15" s="236">
        <v>11475.897219999999</v>
      </c>
      <c r="D15" s="236">
        <v>12059.188</v>
      </c>
      <c r="E15" s="236">
        <v>12431.066929999999</v>
      </c>
      <c r="F15" s="236">
        <v>12910.553</v>
      </c>
      <c r="G15" s="236">
        <v>13487.11</v>
      </c>
      <c r="H15" s="236">
        <v>13851.85</v>
      </c>
      <c r="I15" s="236">
        <v>13851.227999999999</v>
      </c>
      <c r="J15" s="236">
        <v>13619.52</v>
      </c>
      <c r="K15" s="236">
        <v>15738.587</v>
      </c>
      <c r="L15" s="236">
        <v>15747.405000000001</v>
      </c>
      <c r="M15" s="236">
        <v>14783.4</v>
      </c>
      <c r="N15" s="236">
        <v>13140.409739999999</v>
      </c>
      <c r="O15" s="236">
        <v>14717.43</v>
      </c>
      <c r="P15" s="236">
        <v>16082.066999999999</v>
      </c>
      <c r="Q15" s="236">
        <v>16763.417730000001</v>
      </c>
      <c r="R15" s="298"/>
    </row>
    <row r="16" spans="1:18" ht="20.149999999999999" customHeight="1">
      <c r="A16" s="237" t="s">
        <v>561</v>
      </c>
      <c r="B16" s="189">
        <v>45483.682760000003</v>
      </c>
      <c r="C16" s="189">
        <v>51900.540959999998</v>
      </c>
      <c r="D16" s="189">
        <v>54371.618000000002</v>
      </c>
      <c r="E16" s="189">
        <v>57579.618499999997</v>
      </c>
      <c r="F16" s="189">
        <v>58299.065999999999</v>
      </c>
      <c r="G16" s="189">
        <v>59647.898000000001</v>
      </c>
      <c r="H16" s="189">
        <v>60599.014999999999</v>
      </c>
      <c r="I16" s="189">
        <v>61497.940999999999</v>
      </c>
      <c r="J16" s="189">
        <v>61511.114000000001</v>
      </c>
      <c r="K16" s="189">
        <v>64354.254000000001</v>
      </c>
      <c r="L16" s="189">
        <v>64777.519</v>
      </c>
      <c r="M16" s="189">
        <v>64265.624000000003</v>
      </c>
      <c r="N16" s="189">
        <v>63810.320079999998</v>
      </c>
      <c r="O16" s="189">
        <v>63459.067000000003</v>
      </c>
      <c r="P16" s="189">
        <v>68300.428</v>
      </c>
      <c r="Q16" s="189">
        <v>72363.000029999996</v>
      </c>
      <c r="R16" s="127"/>
    </row>
    <row r="17" spans="1:18" ht="20.149999999999999" customHeight="1">
      <c r="A17" s="235" t="s">
        <v>608</v>
      </c>
      <c r="B17" s="236">
        <v>108419.96081</v>
      </c>
      <c r="C17" s="236">
        <v>123259.069</v>
      </c>
      <c r="D17" s="236">
        <v>134718.62299999999</v>
      </c>
      <c r="E17" s="236">
        <v>150195.80791999999</v>
      </c>
      <c r="F17" s="236">
        <v>161001.62599999999</v>
      </c>
      <c r="G17" s="236">
        <v>170634.89300000001</v>
      </c>
      <c r="H17" s="236">
        <v>179543.766</v>
      </c>
      <c r="I17" s="236">
        <v>187029.226</v>
      </c>
      <c r="J17" s="236">
        <v>240663.34099999999</v>
      </c>
      <c r="K17" s="236">
        <v>261684.37100000001</v>
      </c>
      <c r="L17" s="236">
        <v>278054.57799999998</v>
      </c>
      <c r="M17" s="236">
        <v>279441.04700000002</v>
      </c>
      <c r="N17" s="236">
        <v>271176.40506999998</v>
      </c>
      <c r="O17" s="236">
        <v>281542.04399999999</v>
      </c>
      <c r="P17" s="236">
        <v>231149.53099999999</v>
      </c>
      <c r="Q17" s="236">
        <v>250548.07267000002</v>
      </c>
    </row>
    <row r="18" spans="1:18" ht="20.149999999999999" customHeight="1">
      <c r="A18" s="237" t="s">
        <v>562</v>
      </c>
      <c r="B18" s="189">
        <v>20218.46776</v>
      </c>
      <c r="C18" s="189">
        <v>24016.399870000001</v>
      </c>
      <c r="D18" s="189">
        <v>22960.420999999998</v>
      </c>
      <c r="E18" s="189">
        <v>24573.0445</v>
      </c>
      <c r="F18" s="189">
        <v>25205.491000000002</v>
      </c>
      <c r="G18" s="189">
        <v>26113.328000000001</v>
      </c>
      <c r="H18" s="189">
        <v>26624.951000000001</v>
      </c>
      <c r="I18" s="189">
        <v>27014.167000000001</v>
      </c>
      <c r="J18" s="189">
        <v>26303.133999999998</v>
      </c>
      <c r="K18" s="189">
        <v>27128.618999999999</v>
      </c>
      <c r="L18" s="189">
        <v>27580.986000000001</v>
      </c>
      <c r="M18" s="189">
        <v>27402.409</v>
      </c>
      <c r="N18" s="189">
        <v>27480.72565</v>
      </c>
      <c r="O18" s="189">
        <v>27811.618000000002</v>
      </c>
      <c r="P18" s="189">
        <v>29631.993999999999</v>
      </c>
      <c r="Q18" s="189">
        <v>30445.830560000002</v>
      </c>
    </row>
    <row r="19" spans="1:18" ht="20.149999999999999" customHeight="1">
      <c r="A19" s="235" t="s">
        <v>563</v>
      </c>
      <c r="B19" s="236">
        <v>3918.0162</v>
      </c>
      <c r="C19" s="236">
        <v>4128.7974199999999</v>
      </c>
      <c r="D19" s="236">
        <v>4218.3220000000001</v>
      </c>
      <c r="E19" s="236">
        <v>4305.1852500000005</v>
      </c>
      <c r="F19" s="236">
        <v>4323.2349999999997</v>
      </c>
      <c r="G19" s="236">
        <v>4243.9049999999997</v>
      </c>
      <c r="H19" s="236">
        <v>4234.7070000000003</v>
      </c>
      <c r="I19" s="236">
        <v>4114.0429999999997</v>
      </c>
      <c r="J19" s="236">
        <v>3987.6309999999999</v>
      </c>
      <c r="K19" s="236">
        <v>3946.0239999999999</v>
      </c>
      <c r="L19" s="236">
        <v>3914.3719999999998</v>
      </c>
      <c r="M19" s="236">
        <v>3821.7429999999999</v>
      </c>
      <c r="N19" s="236">
        <v>3774.9546</v>
      </c>
      <c r="O19" s="236">
        <v>3888.4390000000003</v>
      </c>
      <c r="P19" s="236">
        <v>3530.7469999999998</v>
      </c>
      <c r="Q19" s="236">
        <v>3533.1936199999996</v>
      </c>
    </row>
    <row r="20" spans="1:18" ht="20.149999999999999" customHeight="1">
      <c r="A20" s="237" t="s">
        <v>564</v>
      </c>
      <c r="B20" s="189" t="s">
        <v>61</v>
      </c>
      <c r="C20" s="189">
        <v>3560.34</v>
      </c>
      <c r="D20" s="189">
        <v>4126.076</v>
      </c>
      <c r="E20" s="189">
        <v>4811.317</v>
      </c>
      <c r="F20" s="189">
        <v>7332.54</v>
      </c>
      <c r="G20" s="189">
        <v>9280.1419999999998</v>
      </c>
      <c r="H20" s="189">
        <v>9544.7340000000004</v>
      </c>
      <c r="I20" s="189">
        <v>647.45399999999995</v>
      </c>
      <c r="J20" s="189">
        <v>1278.952</v>
      </c>
      <c r="K20" s="189">
        <v>7399.4430000000002</v>
      </c>
      <c r="L20" s="189">
        <v>7265.8649999999998</v>
      </c>
      <c r="M20" s="189">
        <v>6438.5119999999997</v>
      </c>
      <c r="N20" s="189">
        <v>8009.8886499999999</v>
      </c>
      <c r="O20" s="189">
        <v>8062.1580000000004</v>
      </c>
      <c r="P20" s="189">
        <v>8499.6849999999995</v>
      </c>
      <c r="Q20" s="189">
        <v>10155.429</v>
      </c>
      <c r="R20" s="229"/>
    </row>
    <row r="21" spans="1:18" ht="20.149999999999999" customHeight="1">
      <c r="A21" s="235" t="s">
        <v>565</v>
      </c>
      <c r="B21" s="236" t="s">
        <v>61</v>
      </c>
      <c r="C21" s="236" t="s">
        <v>61</v>
      </c>
      <c r="D21" s="236" t="s">
        <v>61</v>
      </c>
      <c r="E21" s="236" t="s">
        <v>61</v>
      </c>
      <c r="F21" s="236">
        <v>130.06100000000001</v>
      </c>
      <c r="G21" s="236">
        <v>483.57100000000003</v>
      </c>
      <c r="H21" s="236">
        <v>187.74299999999999</v>
      </c>
      <c r="I21" s="236">
        <v>397.851</v>
      </c>
      <c r="J21" s="236">
        <v>497.149</v>
      </c>
      <c r="K21" s="236">
        <v>447.49</v>
      </c>
      <c r="L21" s="236">
        <v>172.04599999999999</v>
      </c>
      <c r="M21" s="236" t="s">
        <v>61</v>
      </c>
      <c r="N21" s="236" t="s">
        <v>61</v>
      </c>
      <c r="O21" s="236" t="s">
        <v>61</v>
      </c>
      <c r="P21" s="236" t="s">
        <v>61</v>
      </c>
      <c r="Q21" s="236" t="s">
        <v>61</v>
      </c>
    </row>
    <row r="22" spans="1:18" ht="20.149999999999999" customHeight="1">
      <c r="A22" s="237" t="s">
        <v>566</v>
      </c>
      <c r="B22" s="189" t="s">
        <v>61</v>
      </c>
      <c r="C22" s="189" t="s">
        <v>61</v>
      </c>
      <c r="D22" s="189" t="s">
        <v>61</v>
      </c>
      <c r="E22" s="189" t="s">
        <v>61</v>
      </c>
      <c r="F22" s="189">
        <v>188.52500000000001</v>
      </c>
      <c r="G22" s="189">
        <v>536.07399999999996</v>
      </c>
      <c r="H22" s="189">
        <v>573.27300000000002</v>
      </c>
      <c r="I22" s="189">
        <v>606.65099999999995</v>
      </c>
      <c r="J22" s="189">
        <v>436.28199999999998</v>
      </c>
      <c r="K22" s="189">
        <v>1690.0039999999999</v>
      </c>
      <c r="L22" s="189">
        <v>3811.7930000000001</v>
      </c>
      <c r="M22" s="189">
        <v>2321.3830000000003</v>
      </c>
      <c r="N22" s="189">
        <v>4085.69895</v>
      </c>
      <c r="O22" s="189">
        <v>5969.71</v>
      </c>
      <c r="P22" s="189">
        <v>4653.0389999999998</v>
      </c>
      <c r="Q22" s="189">
        <v>8577.8729999999996</v>
      </c>
    </row>
    <row r="23" spans="1:18" ht="20.149999999999999" customHeight="1">
      <c r="A23" s="225" t="s">
        <v>879</v>
      </c>
      <c r="B23" s="236" t="s">
        <v>61</v>
      </c>
      <c r="C23" s="236" t="s">
        <v>61</v>
      </c>
      <c r="D23" s="236" t="s">
        <v>61</v>
      </c>
      <c r="E23" s="236" t="s">
        <v>61</v>
      </c>
      <c r="F23" s="236" t="s">
        <v>61</v>
      </c>
      <c r="G23" s="236" t="s">
        <v>61</v>
      </c>
      <c r="H23" s="236" t="s">
        <v>61</v>
      </c>
      <c r="I23" s="236" t="s">
        <v>61</v>
      </c>
      <c r="J23" s="236">
        <v>26330.379000000001</v>
      </c>
      <c r="K23" s="236">
        <v>11899.24</v>
      </c>
      <c r="L23" s="236">
        <v>5243.24</v>
      </c>
      <c r="M23" s="236">
        <v>36.426000000000002</v>
      </c>
      <c r="N23" s="236">
        <v>12.683999999999999</v>
      </c>
      <c r="O23" s="236">
        <v>168.82400000000001</v>
      </c>
      <c r="P23" s="236">
        <v>68277.805999999997</v>
      </c>
      <c r="Q23" s="236">
        <v>12923.001870000002</v>
      </c>
    </row>
    <row r="24" spans="1:18" ht="20.149999999999999" customHeight="1">
      <c r="A24" s="237" t="s">
        <v>567</v>
      </c>
      <c r="B24" s="189" t="s">
        <v>61</v>
      </c>
      <c r="C24" s="189" t="s">
        <v>61</v>
      </c>
      <c r="D24" s="189" t="s">
        <v>61</v>
      </c>
      <c r="E24" s="189" t="s">
        <v>61</v>
      </c>
      <c r="F24" s="189" t="s">
        <v>61</v>
      </c>
      <c r="G24" s="189" t="s">
        <v>61</v>
      </c>
      <c r="H24" s="189" t="s">
        <v>61</v>
      </c>
      <c r="I24" s="189" t="s">
        <v>61</v>
      </c>
      <c r="J24" s="189" t="s">
        <v>61</v>
      </c>
      <c r="K24" s="189">
        <v>9604.384</v>
      </c>
      <c r="L24" s="189">
        <v>9788.08</v>
      </c>
      <c r="M24" s="189">
        <v>9600.7919999999995</v>
      </c>
      <c r="N24" s="189">
        <v>9761.5472600000012</v>
      </c>
      <c r="O24" s="189">
        <v>10095.389000000001</v>
      </c>
      <c r="P24" s="189">
        <v>9836.2000000000007</v>
      </c>
      <c r="Q24" s="189">
        <v>11430.682000000001</v>
      </c>
    </row>
    <row r="25" spans="1:18" ht="20.149999999999999" customHeight="1">
      <c r="A25" s="235" t="s">
        <v>568</v>
      </c>
      <c r="B25" s="236" t="s">
        <v>61</v>
      </c>
      <c r="C25" s="236" t="s">
        <v>61</v>
      </c>
      <c r="D25" s="236" t="s">
        <v>61</v>
      </c>
      <c r="E25" s="236" t="s">
        <v>61</v>
      </c>
      <c r="F25" s="236" t="s">
        <v>61</v>
      </c>
      <c r="G25" s="236" t="s">
        <v>61</v>
      </c>
      <c r="H25" s="236" t="s">
        <v>61</v>
      </c>
      <c r="I25" s="236" t="s">
        <v>61</v>
      </c>
      <c r="J25" s="236" t="s">
        <v>61</v>
      </c>
      <c r="K25" s="236">
        <v>5660.1390000000001</v>
      </c>
      <c r="L25" s="236">
        <v>3468.2429999999999</v>
      </c>
      <c r="M25" s="236">
        <v>2972.683</v>
      </c>
      <c r="N25" s="236">
        <v>2303.665</v>
      </c>
      <c r="O25" s="236">
        <v>1904.807</v>
      </c>
      <c r="P25" s="236">
        <v>3775.4520000000002</v>
      </c>
      <c r="Q25" s="236">
        <v>989.572</v>
      </c>
    </row>
    <row r="26" spans="1:18" ht="20.149999999999999" customHeight="1">
      <c r="A26" s="237" t="s">
        <v>569</v>
      </c>
      <c r="B26" s="189" t="s">
        <v>61</v>
      </c>
      <c r="C26" s="189" t="s">
        <v>61</v>
      </c>
      <c r="D26" s="189" t="s">
        <v>61</v>
      </c>
      <c r="E26" s="189" t="s">
        <v>61</v>
      </c>
      <c r="F26" s="189" t="s">
        <v>61</v>
      </c>
      <c r="G26" s="189" t="s">
        <v>61</v>
      </c>
      <c r="H26" s="189" t="s">
        <v>61</v>
      </c>
      <c r="I26" s="167" t="s">
        <v>61</v>
      </c>
      <c r="J26" s="189" t="s">
        <v>61</v>
      </c>
      <c r="K26" s="189">
        <v>11206.546</v>
      </c>
      <c r="L26" s="189">
        <v>31712.985000000001</v>
      </c>
      <c r="M26" s="189">
        <v>10519.47</v>
      </c>
      <c r="N26" s="189">
        <v>12978.065909999999</v>
      </c>
      <c r="O26" s="189">
        <v>22415.814999999999</v>
      </c>
      <c r="P26" s="189">
        <v>21161.373</v>
      </c>
      <c r="Q26" s="189">
        <v>27237.286</v>
      </c>
    </row>
    <row r="27" spans="1:18" ht="20.149999999999999" customHeight="1">
      <c r="A27" s="235" t="s">
        <v>609</v>
      </c>
      <c r="B27" s="236" t="s">
        <v>61</v>
      </c>
      <c r="C27" s="236" t="s">
        <v>61</v>
      </c>
      <c r="D27" s="236" t="s">
        <v>61</v>
      </c>
      <c r="E27" s="236" t="s">
        <v>61</v>
      </c>
      <c r="F27" s="236" t="s">
        <v>61</v>
      </c>
      <c r="G27" s="236" t="s">
        <v>61</v>
      </c>
      <c r="H27" s="236" t="s">
        <v>61</v>
      </c>
      <c r="I27" s="236" t="s">
        <v>61</v>
      </c>
      <c r="J27" s="236" t="s">
        <v>61</v>
      </c>
      <c r="K27" s="236" t="s">
        <v>61</v>
      </c>
      <c r="L27" s="236" t="s">
        <v>61</v>
      </c>
      <c r="M27" s="236">
        <v>941228.55900000001</v>
      </c>
      <c r="N27" s="236">
        <v>640500.74529999995</v>
      </c>
      <c r="O27" s="236">
        <v>27714.761000000002</v>
      </c>
      <c r="P27" s="236" t="s">
        <v>61</v>
      </c>
      <c r="Q27" s="236" t="s">
        <v>61</v>
      </c>
    </row>
    <row r="28" spans="1:18" ht="20.149999999999999" customHeight="1">
      <c r="A28" s="394" t="s">
        <v>692</v>
      </c>
      <c r="B28" s="189" t="s">
        <v>61</v>
      </c>
      <c r="C28" s="189" t="s">
        <v>61</v>
      </c>
      <c r="D28" s="189" t="s">
        <v>61</v>
      </c>
      <c r="E28" s="189" t="s">
        <v>61</v>
      </c>
      <c r="F28" s="189" t="s">
        <v>61</v>
      </c>
      <c r="G28" s="189" t="s">
        <v>61</v>
      </c>
      <c r="H28" s="189" t="s">
        <v>61</v>
      </c>
      <c r="I28" s="189" t="s">
        <v>61</v>
      </c>
      <c r="J28" s="189" t="s">
        <v>61</v>
      </c>
      <c r="K28" s="189" t="s">
        <v>61</v>
      </c>
      <c r="L28" s="189" t="s">
        <v>61</v>
      </c>
      <c r="M28" s="189" t="s">
        <v>61</v>
      </c>
      <c r="N28" s="189" t="s">
        <v>61</v>
      </c>
      <c r="O28" s="189" t="s">
        <v>61</v>
      </c>
      <c r="P28" s="189">
        <v>21740.251</v>
      </c>
      <c r="Q28" s="189">
        <v>19413.7137</v>
      </c>
    </row>
    <row r="29" spans="1:18" ht="20.149999999999999" customHeight="1">
      <c r="A29" s="235" t="s">
        <v>683</v>
      </c>
      <c r="B29" s="236" t="s">
        <v>61</v>
      </c>
      <c r="C29" s="236" t="s">
        <v>61</v>
      </c>
      <c r="D29" s="236" t="s">
        <v>61</v>
      </c>
      <c r="E29" s="236" t="s">
        <v>61</v>
      </c>
      <c r="F29" s="236" t="s">
        <v>61</v>
      </c>
      <c r="G29" s="236" t="s">
        <v>61</v>
      </c>
      <c r="H29" s="236" t="s">
        <v>61</v>
      </c>
      <c r="I29" s="236" t="s">
        <v>61</v>
      </c>
      <c r="J29" s="236" t="s">
        <v>61</v>
      </c>
      <c r="K29" s="236" t="s">
        <v>61</v>
      </c>
      <c r="L29" s="236" t="s">
        <v>61</v>
      </c>
      <c r="M29" s="236" t="s">
        <v>61</v>
      </c>
      <c r="N29" s="236" t="s">
        <v>61</v>
      </c>
      <c r="O29" s="236" t="s">
        <v>61</v>
      </c>
      <c r="P29" s="236">
        <v>1502.279</v>
      </c>
      <c r="Q29" s="236">
        <v>876.63</v>
      </c>
    </row>
    <row r="30" spans="1:18" ht="20.149999999999999" customHeight="1">
      <c r="A30" s="237" t="s">
        <v>880</v>
      </c>
      <c r="B30" s="189" t="s">
        <v>61</v>
      </c>
      <c r="C30" s="189" t="s">
        <v>61</v>
      </c>
      <c r="D30" s="189" t="s">
        <v>61</v>
      </c>
      <c r="E30" s="189" t="s">
        <v>61</v>
      </c>
      <c r="F30" s="189" t="s">
        <v>61</v>
      </c>
      <c r="G30" s="189" t="s">
        <v>61</v>
      </c>
      <c r="H30" s="189" t="s">
        <v>61</v>
      </c>
      <c r="I30" s="189" t="s">
        <v>61</v>
      </c>
      <c r="J30" s="189" t="s">
        <v>61</v>
      </c>
      <c r="K30" s="189" t="s">
        <v>61</v>
      </c>
      <c r="L30" s="189" t="s">
        <v>61</v>
      </c>
      <c r="M30" s="189" t="s">
        <v>61</v>
      </c>
      <c r="N30" s="189" t="s">
        <v>61</v>
      </c>
      <c r="O30" s="189" t="s">
        <v>61</v>
      </c>
      <c r="P30" s="189" t="s">
        <v>61</v>
      </c>
      <c r="Q30" s="189">
        <v>4816.9832500000002</v>
      </c>
    </row>
    <row r="31" spans="1:18" ht="20.149999999999999" customHeight="1">
      <c r="A31" s="235" t="s">
        <v>570</v>
      </c>
      <c r="B31" s="236" t="s">
        <v>61</v>
      </c>
      <c r="C31" s="236" t="s">
        <v>61</v>
      </c>
      <c r="D31" s="236" t="s">
        <v>61</v>
      </c>
      <c r="E31" s="236" t="s">
        <v>61</v>
      </c>
      <c r="F31" s="236" t="s">
        <v>61</v>
      </c>
      <c r="G31" s="236" t="s">
        <v>61</v>
      </c>
      <c r="H31" s="236" t="s">
        <v>61</v>
      </c>
      <c r="I31" s="236" t="s">
        <v>61</v>
      </c>
      <c r="J31" s="236" t="s">
        <v>61</v>
      </c>
      <c r="K31" s="236" t="s">
        <v>61</v>
      </c>
      <c r="L31" s="236" t="s">
        <v>61</v>
      </c>
      <c r="M31" s="236">
        <v>60062.482000000004</v>
      </c>
      <c r="N31" s="236" t="s">
        <v>61</v>
      </c>
      <c r="O31" s="236" t="s">
        <v>61</v>
      </c>
      <c r="P31" s="236" t="s">
        <v>61</v>
      </c>
      <c r="Q31" s="236" t="s">
        <v>61</v>
      </c>
    </row>
    <row r="32" spans="1:18" ht="20.149999999999999" customHeight="1">
      <c r="A32" s="237" t="s">
        <v>43</v>
      </c>
      <c r="B32" s="189">
        <v>19.388000000000002</v>
      </c>
      <c r="C32" s="189">
        <v>4.3650000000000002</v>
      </c>
      <c r="D32" s="189">
        <v>42.697000000000003</v>
      </c>
      <c r="E32" s="189">
        <v>9.7149999999999999</v>
      </c>
      <c r="F32" s="189">
        <v>63.32</v>
      </c>
      <c r="G32" s="189">
        <v>221.33099999999999</v>
      </c>
      <c r="H32" s="189">
        <v>422.06899999978486</v>
      </c>
      <c r="I32" s="189">
        <v>729.69799999999998</v>
      </c>
      <c r="J32" s="189">
        <v>1103.7329999999999</v>
      </c>
      <c r="K32" s="189">
        <v>1161.288</v>
      </c>
      <c r="L32" s="189">
        <v>1210.894</v>
      </c>
      <c r="M32" s="189">
        <v>1608.818</v>
      </c>
      <c r="N32" s="189">
        <v>1568.4135000000001</v>
      </c>
      <c r="O32" s="189">
        <v>2276.4470000000001</v>
      </c>
      <c r="P32" s="189">
        <v>2490.4059999999999</v>
      </c>
      <c r="Q32" s="189">
        <v>7188.8876</v>
      </c>
    </row>
    <row r="33" spans="1:17" ht="25.4" customHeight="1">
      <c r="A33" s="122" t="s">
        <v>571</v>
      </c>
      <c r="B33" s="230">
        <v>465156.79640250001</v>
      </c>
      <c r="C33" s="230">
        <v>501012.69097000011</v>
      </c>
      <c r="D33" s="230">
        <v>541634.79500000004</v>
      </c>
      <c r="E33" s="230">
        <v>588018.03005749977</v>
      </c>
      <c r="F33" s="230">
        <v>589573.88800000004</v>
      </c>
      <c r="G33" s="230">
        <v>606852.05799999996</v>
      </c>
      <c r="H33" s="230">
        <v>626497.25</v>
      </c>
      <c r="I33" s="230">
        <v>590784.40999999992</v>
      </c>
      <c r="J33" s="230">
        <v>684137.06</v>
      </c>
      <c r="K33" s="230">
        <v>733801.26499999966</v>
      </c>
      <c r="L33" s="230">
        <v>765061.75899999985</v>
      </c>
      <c r="M33" s="230">
        <v>1726362.8670000001</v>
      </c>
      <c r="N33" s="230">
        <v>1360701.5415149999</v>
      </c>
      <c r="O33" s="230">
        <v>781397.85000000009</v>
      </c>
      <c r="P33" s="230">
        <v>721657.48800000013</v>
      </c>
      <c r="Q33" s="230">
        <v>724488.2226600002</v>
      </c>
    </row>
    <row r="34" spans="1:17" s="64" customFormat="1"/>
    <row r="35" spans="1:17">
      <c r="Q35" s="455"/>
    </row>
  </sheetData>
  <hyperlinks>
    <hyperlink ref="A10" location="Contents!A1" display="Return to Contents" xr:uid="{DAF33D9A-A4E6-4FC7-9877-BE509D21E6A5}"/>
  </hyperlinks>
  <pageMargins left="0.7" right="0.7" top="0.75" bottom="0.75" header="0.3" footer="0.3"/>
  <pageSetup paperSize="9"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F8D1A-5C4B-421D-8169-F4062EC8EF2A}">
  <sheetPr>
    <tabColor rgb="FFDDE5F1"/>
  </sheetPr>
  <dimension ref="A1:Z45"/>
  <sheetViews>
    <sheetView zoomScaleNormal="100" workbookViewId="0">
      <selection activeCell="C2" sqref="C2"/>
    </sheetView>
  </sheetViews>
  <sheetFormatPr defaultColWidth="9.1796875" defaultRowHeight="15.5"/>
  <cols>
    <col min="1" max="1" width="25.81640625" style="9" customWidth="1"/>
    <col min="2" max="3" width="12.81640625" style="9" customWidth="1"/>
    <col min="4" max="4" width="13.81640625" style="9" customWidth="1"/>
    <col min="5" max="5" width="12.81640625" style="9" customWidth="1"/>
    <col min="6" max="6" width="14.81640625" style="9" customWidth="1"/>
    <col min="7" max="7" width="12.81640625" style="9" customWidth="1"/>
    <col min="8" max="8" width="14.81640625" style="9" customWidth="1"/>
    <col min="9" max="9" width="12.81640625" style="9" customWidth="1"/>
    <col min="10" max="10" width="22.453125" style="9" customWidth="1"/>
    <col min="11" max="11" width="12.81640625" style="9" customWidth="1"/>
    <col min="12" max="13" width="14.81640625" style="9" customWidth="1"/>
    <col min="14" max="14" width="19.1796875" style="9" customWidth="1"/>
    <col min="15" max="16" width="14.81640625" style="9" customWidth="1"/>
    <col min="17" max="17" width="13.81640625" style="9" customWidth="1"/>
    <col min="18" max="18" width="12.81640625" style="9" customWidth="1"/>
    <col min="19" max="19" width="14.81640625" style="9" customWidth="1"/>
    <col min="20" max="20" width="14.1796875" style="9" customWidth="1"/>
    <col min="21" max="21" width="12.81640625" style="9" bestFit="1" customWidth="1"/>
    <col min="22" max="22" width="11.54296875" style="9" bestFit="1" customWidth="1"/>
    <col min="23" max="23" width="9.1796875" style="9"/>
    <col min="24" max="24" width="10.1796875" style="9" bestFit="1" customWidth="1"/>
    <col min="25" max="16384" width="9.1796875" style="9"/>
  </cols>
  <sheetData>
    <row r="1" spans="1:26" ht="30" customHeight="1">
      <c r="A1" s="23" t="s">
        <v>792</v>
      </c>
      <c r="B1" s="23"/>
      <c r="C1" s="23"/>
      <c r="D1" s="23"/>
      <c r="E1" s="23"/>
      <c r="F1" s="23"/>
      <c r="G1" s="23"/>
      <c r="H1" s="23"/>
      <c r="J1" s="57"/>
      <c r="K1" s="57"/>
    </row>
    <row r="2" spans="1:26" s="57" customFormat="1" ht="20.149999999999999" customHeight="1">
      <c r="A2" s="7" t="s">
        <v>255</v>
      </c>
      <c r="B2" s="60"/>
      <c r="C2" s="60"/>
      <c r="D2" s="60"/>
      <c r="E2" s="60"/>
      <c r="F2" s="60"/>
    </row>
    <row r="3" spans="1:26" s="57" customFormat="1" ht="20.149999999999999" customHeight="1">
      <c r="A3" s="54" t="s">
        <v>556</v>
      </c>
      <c r="B3" s="60"/>
      <c r="C3" s="60"/>
      <c r="D3" s="60"/>
      <c r="E3" s="60"/>
      <c r="F3" s="60"/>
    </row>
    <row r="4" spans="1:26" s="57" customFormat="1" ht="20.149999999999999" customHeight="1">
      <c r="A4" s="54" t="s">
        <v>572</v>
      </c>
      <c r="B4" s="60"/>
      <c r="C4" s="60"/>
      <c r="D4" s="60"/>
      <c r="E4" s="60"/>
      <c r="F4" s="60"/>
    </row>
    <row r="5" spans="1:26" s="57" customFormat="1" ht="20.149999999999999" customHeight="1">
      <c r="A5" s="127" t="s">
        <v>684</v>
      </c>
      <c r="B5" s="60"/>
      <c r="C5" s="60"/>
      <c r="D5" s="60"/>
      <c r="E5" s="165"/>
      <c r="F5" s="60"/>
    </row>
    <row r="6" spans="1:26" s="57" customFormat="1" ht="20.149999999999999" customHeight="1">
      <c r="A6" s="127" t="s">
        <v>885</v>
      </c>
      <c r="B6" s="60"/>
      <c r="C6" s="60"/>
      <c r="D6" s="60"/>
      <c r="E6" s="165"/>
      <c r="F6" s="60"/>
    </row>
    <row r="7" spans="1:26" ht="20.149999999999999" customHeight="1">
      <c r="A7" s="159" t="s">
        <v>573</v>
      </c>
      <c r="B7" s="60"/>
      <c r="C7" s="23"/>
      <c r="D7" s="23"/>
      <c r="E7" s="23"/>
      <c r="F7" s="23"/>
      <c r="G7" s="23"/>
      <c r="H7" s="23"/>
    </row>
    <row r="8" spans="1:26" ht="21.65" customHeight="1">
      <c r="A8" s="15" t="s">
        <v>62</v>
      </c>
      <c r="B8" s="395"/>
      <c r="C8" s="5"/>
      <c r="D8" s="5"/>
      <c r="E8" s="5"/>
      <c r="R8" s="396"/>
    </row>
    <row r="9" spans="1:26" s="57" customFormat="1" ht="10.4" customHeight="1"/>
    <row r="10" spans="1:26" ht="55.4" customHeight="1">
      <c r="A10" s="98" t="s">
        <v>5</v>
      </c>
      <c r="B10" s="96" t="s">
        <v>574</v>
      </c>
      <c r="C10" s="96" t="s">
        <v>575</v>
      </c>
      <c r="D10" s="96" t="s">
        <v>576</v>
      </c>
      <c r="E10" s="99" t="s">
        <v>577</v>
      </c>
      <c r="F10" s="96" t="s">
        <v>578</v>
      </c>
      <c r="G10" s="96" t="s">
        <v>579</v>
      </c>
      <c r="H10" s="96" t="s">
        <v>580</v>
      </c>
      <c r="I10" s="96" t="s">
        <v>581</v>
      </c>
      <c r="J10" s="96" t="s">
        <v>881</v>
      </c>
      <c r="K10" s="96" t="s">
        <v>582</v>
      </c>
      <c r="L10" s="96" t="s">
        <v>583</v>
      </c>
      <c r="M10" s="96" t="s">
        <v>584</v>
      </c>
      <c r="N10" s="96" t="s">
        <v>692</v>
      </c>
      <c r="O10" s="96" t="s">
        <v>683</v>
      </c>
      <c r="P10" s="96" t="s">
        <v>880</v>
      </c>
      <c r="Q10" s="96" t="s">
        <v>43</v>
      </c>
      <c r="R10" s="96" t="s">
        <v>585</v>
      </c>
      <c r="T10" s="57"/>
      <c r="U10" s="57"/>
      <c r="V10" s="57"/>
      <c r="W10" s="57"/>
      <c r="X10" s="57"/>
      <c r="Y10" s="57"/>
      <c r="Z10" s="57"/>
    </row>
    <row r="11" spans="1:26" ht="20.149999999999999" customHeight="1">
      <c r="A11" s="9" t="s">
        <v>685</v>
      </c>
      <c r="B11" s="20">
        <v>11961.108</v>
      </c>
      <c r="C11" s="20">
        <v>2244.8319999999999</v>
      </c>
      <c r="D11" s="20">
        <v>2640.0230000000001</v>
      </c>
      <c r="E11" s="20">
        <v>6295.3990000000003</v>
      </c>
      <c r="F11" s="20">
        <v>1669.079</v>
      </c>
      <c r="G11" s="20">
        <v>0</v>
      </c>
      <c r="H11" s="20">
        <v>20.667000000000002</v>
      </c>
      <c r="I11" s="20">
        <v>355.68200000000002</v>
      </c>
      <c r="J11" s="20">
        <v>385.14400000000001</v>
      </c>
      <c r="K11" s="20">
        <v>520.69799999999998</v>
      </c>
      <c r="L11" s="20">
        <v>309.93</v>
      </c>
      <c r="M11" s="20">
        <v>1068.7829999999999</v>
      </c>
      <c r="N11" s="20">
        <v>122.63800000000001</v>
      </c>
      <c r="O11" s="20">
        <v>0</v>
      </c>
      <c r="P11" s="20">
        <v>0</v>
      </c>
      <c r="Q11" s="20">
        <v>152.63800000000001</v>
      </c>
      <c r="R11" s="20">
        <v>27746.621000000003</v>
      </c>
      <c r="T11" s="57"/>
      <c r="U11" s="57"/>
      <c r="V11" s="57"/>
      <c r="W11" s="57"/>
      <c r="X11" s="57"/>
      <c r="Y11" s="57"/>
      <c r="Z11" s="57"/>
    </row>
    <row r="12" spans="1:26">
      <c r="A12" s="95" t="s">
        <v>7</v>
      </c>
      <c r="B12" s="222">
        <v>3434.4250000000002</v>
      </c>
      <c r="C12" s="222">
        <v>1235.557</v>
      </c>
      <c r="D12" s="222">
        <v>2389.1759999999999</v>
      </c>
      <c r="E12" s="222">
        <v>12522.098</v>
      </c>
      <c r="F12" s="222">
        <v>1528.921</v>
      </c>
      <c r="G12" s="222">
        <v>1224.242</v>
      </c>
      <c r="H12" s="222">
        <v>294.37700000000001</v>
      </c>
      <c r="I12" s="222">
        <v>526.32500000000005</v>
      </c>
      <c r="J12" s="222">
        <v>408.36599999999999</v>
      </c>
      <c r="K12" s="222">
        <v>520.26700000000005</v>
      </c>
      <c r="L12" s="222">
        <v>215.29900000000001</v>
      </c>
      <c r="M12" s="222">
        <v>1051.1289999999999</v>
      </c>
      <c r="N12" s="222">
        <v>1006.526</v>
      </c>
      <c r="O12" s="222">
        <v>30.920999999999999</v>
      </c>
      <c r="P12" s="222">
        <v>0</v>
      </c>
      <c r="Q12" s="222">
        <v>21.032</v>
      </c>
      <c r="R12" s="222">
        <v>26408.661</v>
      </c>
      <c r="T12" s="57"/>
      <c r="U12" s="57"/>
      <c r="V12" s="57"/>
      <c r="W12" s="57"/>
      <c r="X12" s="57"/>
      <c r="Y12" s="57"/>
      <c r="Z12" s="57"/>
    </row>
    <row r="13" spans="1:26" ht="20.149999999999999" customHeight="1">
      <c r="A13" s="9" t="s">
        <v>8</v>
      </c>
      <c r="B13" s="20">
        <v>3754.2339999999999</v>
      </c>
      <c r="C13" s="20">
        <v>377.47</v>
      </c>
      <c r="D13" s="20">
        <v>1305.48</v>
      </c>
      <c r="E13" s="20">
        <v>6117.5050000000001</v>
      </c>
      <c r="F13" s="20">
        <v>532.053</v>
      </c>
      <c r="G13" s="20">
        <v>40.89</v>
      </c>
      <c r="H13" s="20">
        <v>64.152000000000001</v>
      </c>
      <c r="I13" s="20">
        <v>37.158999999999999</v>
      </c>
      <c r="J13" s="20">
        <v>265.47000000000003</v>
      </c>
      <c r="K13" s="20">
        <v>157.71899999999999</v>
      </c>
      <c r="L13" s="20">
        <v>0</v>
      </c>
      <c r="M13" s="20">
        <v>1723.9090000000001</v>
      </c>
      <c r="N13" s="20">
        <v>149.62100000000001</v>
      </c>
      <c r="O13" s="20">
        <v>0</v>
      </c>
      <c r="P13" s="20">
        <v>0</v>
      </c>
      <c r="Q13" s="20">
        <v>9.407</v>
      </c>
      <c r="R13" s="20">
        <v>14535.068999999994</v>
      </c>
      <c r="T13" s="57"/>
      <c r="U13" s="57"/>
      <c r="V13" s="57"/>
      <c r="W13" s="57"/>
      <c r="X13" s="57"/>
      <c r="Y13" s="57"/>
      <c r="Z13" s="57"/>
    </row>
    <row r="14" spans="1:26" ht="20.149999999999999" customHeight="1">
      <c r="A14" s="95" t="s">
        <v>127</v>
      </c>
      <c r="B14" s="222">
        <v>3464.471</v>
      </c>
      <c r="C14" s="222">
        <v>177.66300000000001</v>
      </c>
      <c r="D14" s="222">
        <v>489.31</v>
      </c>
      <c r="E14" s="222">
        <v>8146.3329999999996</v>
      </c>
      <c r="F14" s="222">
        <v>536.88099999999997</v>
      </c>
      <c r="G14" s="222">
        <v>164.024</v>
      </c>
      <c r="H14" s="222">
        <v>1657.826</v>
      </c>
      <c r="I14" s="222">
        <v>24.667000000000002</v>
      </c>
      <c r="J14" s="222">
        <v>1576.8969999999999</v>
      </c>
      <c r="K14" s="222">
        <v>82.406999999999996</v>
      </c>
      <c r="L14" s="222">
        <v>0</v>
      </c>
      <c r="M14" s="222">
        <v>46.052</v>
      </c>
      <c r="N14" s="222">
        <v>831.38</v>
      </c>
      <c r="O14" s="222">
        <v>12.505000000000001</v>
      </c>
      <c r="P14" s="222">
        <v>1365.2360000000001</v>
      </c>
      <c r="Q14" s="222">
        <v>128.1</v>
      </c>
      <c r="R14" s="222">
        <v>18703.751999999997</v>
      </c>
    </row>
    <row r="15" spans="1:26" ht="20.149999999999999" customHeight="1">
      <c r="A15" s="9" t="s">
        <v>9</v>
      </c>
      <c r="B15" s="20">
        <v>937.77099999999996</v>
      </c>
      <c r="C15" s="20">
        <v>115.74</v>
      </c>
      <c r="D15" s="20">
        <v>466.40199999999999</v>
      </c>
      <c r="E15" s="20">
        <v>1749.941</v>
      </c>
      <c r="F15" s="20">
        <v>210.99199999999999</v>
      </c>
      <c r="G15" s="20">
        <v>5.83</v>
      </c>
      <c r="H15" s="20">
        <v>6.798</v>
      </c>
      <c r="I15" s="20">
        <v>11.622999999999999</v>
      </c>
      <c r="J15" s="20">
        <v>49.073999999999998</v>
      </c>
      <c r="K15" s="20">
        <v>120.217</v>
      </c>
      <c r="L15" s="20">
        <v>0</v>
      </c>
      <c r="M15" s="20">
        <v>490.995</v>
      </c>
      <c r="N15" s="20">
        <v>61.762999999999998</v>
      </c>
      <c r="O15" s="20">
        <v>0</v>
      </c>
      <c r="P15" s="20">
        <v>0</v>
      </c>
      <c r="Q15" s="20">
        <v>0</v>
      </c>
      <c r="R15" s="20">
        <v>4227.1460000000006</v>
      </c>
      <c r="T15" s="57"/>
      <c r="U15" s="57"/>
      <c r="V15" s="57"/>
      <c r="W15" s="57"/>
      <c r="X15" s="57"/>
      <c r="Y15" s="57"/>
      <c r="Z15" s="57"/>
    </row>
    <row r="16" spans="1:26" ht="20.149999999999999" customHeight="1">
      <c r="A16" s="95" t="s">
        <v>10</v>
      </c>
      <c r="B16" s="222">
        <v>2567.2539999999999</v>
      </c>
      <c r="C16" s="222">
        <v>399.97500000000002</v>
      </c>
      <c r="D16" s="222">
        <v>1629.402</v>
      </c>
      <c r="E16" s="222">
        <v>9742.6489999999994</v>
      </c>
      <c r="F16" s="222">
        <v>641.17600000000004</v>
      </c>
      <c r="G16" s="222">
        <v>158.43</v>
      </c>
      <c r="H16" s="222">
        <v>326.82600000000002</v>
      </c>
      <c r="I16" s="222">
        <v>104.19199999999999</v>
      </c>
      <c r="J16" s="222">
        <v>218.06800000000001</v>
      </c>
      <c r="K16" s="222">
        <v>134.14400000000001</v>
      </c>
      <c r="L16" s="222">
        <v>0</v>
      </c>
      <c r="M16" s="222">
        <v>122.251</v>
      </c>
      <c r="N16" s="222">
        <v>370.613</v>
      </c>
      <c r="O16" s="222">
        <v>0</v>
      </c>
      <c r="P16" s="222">
        <v>0</v>
      </c>
      <c r="Q16" s="222">
        <v>41.656999999999996</v>
      </c>
      <c r="R16" s="222">
        <v>16456.636999999999</v>
      </c>
      <c r="T16" s="57"/>
      <c r="U16" s="57"/>
      <c r="V16" s="57"/>
      <c r="W16" s="57"/>
      <c r="X16" s="57"/>
      <c r="Y16" s="57"/>
      <c r="Z16" s="57"/>
    </row>
    <row r="17" spans="1:26" ht="20.149999999999999" customHeight="1">
      <c r="A17" s="9" t="s">
        <v>11</v>
      </c>
      <c r="B17" s="20">
        <v>14619.682000000001</v>
      </c>
      <c r="C17" s="20">
        <v>168.60499999999999</v>
      </c>
      <c r="D17" s="20">
        <v>2561.4989999999998</v>
      </c>
      <c r="E17" s="20">
        <v>6704.71</v>
      </c>
      <c r="F17" s="20">
        <v>702.91</v>
      </c>
      <c r="G17" s="20">
        <v>0</v>
      </c>
      <c r="H17" s="20">
        <v>0</v>
      </c>
      <c r="I17" s="20">
        <v>346.93900000000002</v>
      </c>
      <c r="J17" s="20">
        <v>612.44399999999996</v>
      </c>
      <c r="K17" s="20">
        <v>401.13799999999998</v>
      </c>
      <c r="L17" s="20">
        <v>9.3160000000000007</v>
      </c>
      <c r="M17" s="20">
        <v>740.53700000000003</v>
      </c>
      <c r="N17" s="20">
        <v>477.55900000000003</v>
      </c>
      <c r="O17" s="20">
        <v>22.204000000000001</v>
      </c>
      <c r="P17" s="20">
        <v>0</v>
      </c>
      <c r="Q17" s="20">
        <v>0</v>
      </c>
      <c r="R17" s="20">
        <v>27367.542999999998</v>
      </c>
      <c r="T17" s="57"/>
      <c r="U17" s="57"/>
      <c r="V17" s="57"/>
      <c r="W17" s="57"/>
      <c r="X17" s="57"/>
      <c r="Y17" s="57"/>
      <c r="Z17" s="57"/>
    </row>
    <row r="18" spans="1:26" ht="20.149999999999999" customHeight="1">
      <c r="A18" s="95" t="s">
        <v>12</v>
      </c>
      <c r="B18" s="222">
        <v>3787.4090000000001</v>
      </c>
      <c r="C18" s="222">
        <v>149.15799999999999</v>
      </c>
      <c r="D18" s="222">
        <v>1378.376</v>
      </c>
      <c r="E18" s="222">
        <v>4932.46</v>
      </c>
      <c r="F18" s="222">
        <v>495.13400000000001</v>
      </c>
      <c r="G18" s="222">
        <v>2.3159999999999998</v>
      </c>
      <c r="H18" s="222">
        <v>78.489000000000004</v>
      </c>
      <c r="I18" s="222">
        <v>43</v>
      </c>
      <c r="J18" s="222">
        <v>278.70999999999998</v>
      </c>
      <c r="K18" s="222">
        <v>326.92399999999998</v>
      </c>
      <c r="L18" s="222">
        <v>0</v>
      </c>
      <c r="M18" s="222">
        <v>560.84900000000005</v>
      </c>
      <c r="N18" s="222">
        <v>0</v>
      </c>
      <c r="O18" s="222">
        <v>0</v>
      </c>
      <c r="P18" s="222">
        <v>0</v>
      </c>
      <c r="Q18" s="222">
        <v>0.49</v>
      </c>
      <c r="R18" s="222">
        <v>12033.314999999999</v>
      </c>
      <c r="T18" s="57"/>
      <c r="U18" s="57"/>
      <c r="V18" s="57"/>
      <c r="W18" s="57"/>
      <c r="X18" s="57"/>
      <c r="Y18" s="57"/>
      <c r="Z18" s="57"/>
    </row>
    <row r="19" spans="1:26" ht="20.149999999999999" customHeight="1">
      <c r="A19" s="9" t="s">
        <v>13</v>
      </c>
      <c r="B19" s="20">
        <v>3947.712</v>
      </c>
      <c r="C19" s="20">
        <v>451.24200000000002</v>
      </c>
      <c r="D19" s="20">
        <v>1352.9059999999999</v>
      </c>
      <c r="E19" s="20">
        <v>3301.002</v>
      </c>
      <c r="F19" s="20">
        <v>565.78700000000003</v>
      </c>
      <c r="G19" s="20">
        <v>0</v>
      </c>
      <c r="H19" s="20">
        <v>0</v>
      </c>
      <c r="I19" s="20">
        <v>55.707999999999998</v>
      </c>
      <c r="J19" s="20">
        <v>57.371000000000002</v>
      </c>
      <c r="K19" s="20">
        <v>249.053</v>
      </c>
      <c r="L19" s="20">
        <v>0</v>
      </c>
      <c r="M19" s="20">
        <v>97.619</v>
      </c>
      <c r="N19" s="20">
        <v>301.42899999999997</v>
      </c>
      <c r="O19" s="20">
        <v>16.718</v>
      </c>
      <c r="P19" s="20">
        <v>0</v>
      </c>
      <c r="Q19" s="20">
        <v>0</v>
      </c>
      <c r="R19" s="20">
        <v>10396.547</v>
      </c>
    </row>
    <row r="20" spans="1:26" ht="20.149999999999999" customHeight="1">
      <c r="A20" s="95" t="s">
        <v>14</v>
      </c>
      <c r="B20" s="222">
        <v>3336.8130000000001</v>
      </c>
      <c r="C20" s="222">
        <v>1156.9000000000001</v>
      </c>
      <c r="D20" s="222">
        <v>1803.1579999999999</v>
      </c>
      <c r="E20" s="222">
        <v>4857.7830000000004</v>
      </c>
      <c r="F20" s="222">
        <v>527.99900000000002</v>
      </c>
      <c r="G20" s="222">
        <v>41.088999999999999</v>
      </c>
      <c r="H20" s="222">
        <v>54.523000000000003</v>
      </c>
      <c r="I20" s="222">
        <v>59.152000000000001</v>
      </c>
      <c r="J20" s="222">
        <v>307.44</v>
      </c>
      <c r="K20" s="222">
        <v>208.96700000000001</v>
      </c>
      <c r="L20" s="222">
        <v>0</v>
      </c>
      <c r="M20" s="222">
        <v>356.30099999999999</v>
      </c>
      <c r="N20" s="222">
        <v>317.54899999999998</v>
      </c>
      <c r="O20" s="222">
        <v>0</v>
      </c>
      <c r="P20" s="222">
        <v>0</v>
      </c>
      <c r="Q20" s="222">
        <v>5.8120000000000003</v>
      </c>
      <c r="R20" s="222">
        <v>13033.485999999999</v>
      </c>
      <c r="T20" s="57"/>
      <c r="U20" s="57"/>
      <c r="V20" s="57"/>
      <c r="W20" s="57"/>
      <c r="X20" s="57"/>
      <c r="Y20" s="57"/>
      <c r="Z20" s="57"/>
    </row>
    <row r="21" spans="1:26" ht="20.149999999999999" customHeight="1">
      <c r="A21" s="9" t="s">
        <v>15</v>
      </c>
      <c r="B21" s="20">
        <v>1769.162</v>
      </c>
      <c r="C21" s="20">
        <v>233.37700000000001</v>
      </c>
      <c r="D21" s="20">
        <v>1181.2139999999999</v>
      </c>
      <c r="E21" s="20">
        <v>2469.5459999999998</v>
      </c>
      <c r="F21" s="20">
        <v>372.577</v>
      </c>
      <c r="G21" s="20">
        <v>0</v>
      </c>
      <c r="H21" s="20">
        <v>82.731999999999999</v>
      </c>
      <c r="I21" s="20">
        <v>27.151</v>
      </c>
      <c r="J21" s="20">
        <v>59.07</v>
      </c>
      <c r="K21" s="20">
        <v>363.46199999999999</v>
      </c>
      <c r="L21" s="20">
        <v>13.061</v>
      </c>
      <c r="M21" s="20">
        <v>393.99099999999999</v>
      </c>
      <c r="N21" s="20">
        <v>153.30699999999999</v>
      </c>
      <c r="O21" s="20">
        <v>20.646000000000001</v>
      </c>
      <c r="P21" s="20">
        <v>0</v>
      </c>
      <c r="Q21" s="20">
        <v>0</v>
      </c>
      <c r="R21" s="20">
        <v>7139.2959999999985</v>
      </c>
      <c r="T21" s="57"/>
      <c r="U21" s="57"/>
      <c r="V21" s="57"/>
      <c r="W21" s="57"/>
      <c r="X21" s="57"/>
      <c r="Y21" s="57"/>
      <c r="Z21" s="57"/>
    </row>
    <row r="22" spans="1:26" ht="20.149999999999999" customHeight="1">
      <c r="A22" s="95" t="s">
        <v>686</v>
      </c>
      <c r="B22" s="222">
        <v>46374.498</v>
      </c>
      <c r="C22" s="222">
        <v>1893.617</v>
      </c>
      <c r="D22" s="222">
        <v>9574.7579999999998</v>
      </c>
      <c r="E22" s="222">
        <v>21571.796999999999</v>
      </c>
      <c r="F22" s="222">
        <v>4519.7820000000002</v>
      </c>
      <c r="G22" s="222">
        <v>0</v>
      </c>
      <c r="H22" s="222">
        <v>9.0389999999999997</v>
      </c>
      <c r="I22" s="222">
        <v>722.66</v>
      </c>
      <c r="J22" s="222">
        <v>1168.548</v>
      </c>
      <c r="K22" s="222">
        <v>1796.7860000000001</v>
      </c>
      <c r="L22" s="222">
        <v>5.3719999999999999</v>
      </c>
      <c r="M22" s="222">
        <v>3073.8980000000001</v>
      </c>
      <c r="N22" s="222">
        <v>2121.4119999999998</v>
      </c>
      <c r="O22" s="222">
        <v>113.19199999999999</v>
      </c>
      <c r="P22" s="222">
        <v>0</v>
      </c>
      <c r="Q22" s="222">
        <v>292.18099999999998</v>
      </c>
      <c r="R22" s="222">
        <v>93237.540000000008</v>
      </c>
      <c r="T22" s="57"/>
      <c r="U22" s="57"/>
      <c r="V22" s="57"/>
      <c r="W22" s="57"/>
      <c r="X22" s="57"/>
    </row>
    <row r="23" spans="1:26" ht="20.149999999999999" customHeight="1">
      <c r="A23" s="9" t="s">
        <v>687</v>
      </c>
      <c r="B23" s="20">
        <v>1264.2666299999999</v>
      </c>
      <c r="C23" s="20">
        <v>62.292730000000006</v>
      </c>
      <c r="D23" s="20">
        <v>465.76103000000001</v>
      </c>
      <c r="E23" s="20">
        <v>2182.2366699999998</v>
      </c>
      <c r="F23" s="20">
        <v>349.95456000000001</v>
      </c>
      <c r="G23" s="20">
        <v>94.69462</v>
      </c>
      <c r="H23" s="20">
        <v>235.22399999999999</v>
      </c>
      <c r="I23" s="20">
        <v>0</v>
      </c>
      <c r="J23" s="20">
        <v>144.50586999999999</v>
      </c>
      <c r="K23" s="20">
        <v>0</v>
      </c>
      <c r="L23" s="20">
        <v>0</v>
      </c>
      <c r="M23" s="20">
        <v>45.398000000000003</v>
      </c>
      <c r="N23" s="20">
        <v>124.0617</v>
      </c>
      <c r="O23" s="20">
        <v>0</v>
      </c>
      <c r="P23" s="20">
        <v>660.93025</v>
      </c>
      <c r="Q23" s="20">
        <v>61.715600000000002</v>
      </c>
      <c r="R23" s="20">
        <v>5691.0416600000008</v>
      </c>
      <c r="T23" s="57"/>
      <c r="U23" s="57"/>
      <c r="V23" s="57"/>
      <c r="W23" s="57"/>
      <c r="X23" s="57"/>
      <c r="Y23" s="57"/>
      <c r="Z23" s="57"/>
    </row>
    <row r="24" spans="1:26" ht="20.149999999999999" customHeight="1">
      <c r="A24" s="95" t="s">
        <v>17</v>
      </c>
      <c r="B24" s="222">
        <v>2608.2939999999999</v>
      </c>
      <c r="C24" s="222">
        <v>217.51300000000001</v>
      </c>
      <c r="D24" s="222">
        <v>2288.567</v>
      </c>
      <c r="E24" s="222">
        <v>6057.0680000000002</v>
      </c>
      <c r="F24" s="222">
        <v>771.34799999999996</v>
      </c>
      <c r="G24" s="222">
        <v>4.165</v>
      </c>
      <c r="H24" s="222">
        <v>11.827999999999999</v>
      </c>
      <c r="I24" s="222">
        <v>81.02</v>
      </c>
      <c r="J24" s="222">
        <v>358.209</v>
      </c>
      <c r="K24" s="222">
        <v>244.292</v>
      </c>
      <c r="L24" s="222">
        <v>22.036999999999999</v>
      </c>
      <c r="M24" s="222">
        <v>715.495</v>
      </c>
      <c r="N24" s="222">
        <v>704.21699999999998</v>
      </c>
      <c r="O24" s="222">
        <v>15.634</v>
      </c>
      <c r="P24" s="222">
        <v>0</v>
      </c>
      <c r="Q24" s="222">
        <v>16.565000000000001</v>
      </c>
      <c r="R24" s="222">
        <v>14116.252000000002</v>
      </c>
      <c r="Y24" s="57"/>
      <c r="Z24" s="57"/>
    </row>
    <row r="25" spans="1:26" ht="20.149999999999999" customHeight="1">
      <c r="A25" s="9" t="s">
        <v>18</v>
      </c>
      <c r="B25" s="20">
        <v>11807.089</v>
      </c>
      <c r="C25" s="20">
        <v>423.62299999999999</v>
      </c>
      <c r="D25" s="20">
        <v>4791.2330000000002</v>
      </c>
      <c r="E25" s="20">
        <v>15508.382</v>
      </c>
      <c r="F25" s="20">
        <v>2003.0809999999999</v>
      </c>
      <c r="G25" s="20">
        <v>28.062999999999999</v>
      </c>
      <c r="H25" s="20">
        <v>40.984999999999999</v>
      </c>
      <c r="I25" s="20">
        <v>250.52099999999999</v>
      </c>
      <c r="J25" s="20">
        <v>222.232</v>
      </c>
      <c r="K25" s="20">
        <v>742.92399999999998</v>
      </c>
      <c r="L25" s="20">
        <v>0</v>
      </c>
      <c r="M25" s="20">
        <v>950.37699999999995</v>
      </c>
      <c r="N25" s="20">
        <v>1660.4449999999999</v>
      </c>
      <c r="O25" s="20">
        <v>22.411999999999999</v>
      </c>
      <c r="P25" s="20">
        <v>0</v>
      </c>
      <c r="Q25" s="20">
        <v>155.37700000000001</v>
      </c>
      <c r="R25" s="20">
        <v>38606.743999999999</v>
      </c>
      <c r="T25" s="57"/>
      <c r="U25" s="57"/>
      <c r="V25" s="57"/>
      <c r="W25" s="57"/>
      <c r="X25" s="57"/>
      <c r="Y25" s="57"/>
      <c r="Z25" s="57"/>
    </row>
    <row r="26" spans="1:26" ht="20.149999999999999" customHeight="1">
      <c r="A26" s="95" t="s">
        <v>19</v>
      </c>
      <c r="B26" s="222">
        <v>60768.879000000001</v>
      </c>
      <c r="C26" s="222">
        <v>851.49099999999999</v>
      </c>
      <c r="D26" s="222">
        <v>8692.7420000000002</v>
      </c>
      <c r="E26" s="222">
        <v>28759.888999999999</v>
      </c>
      <c r="F26" s="222">
        <v>2808.6129999999998</v>
      </c>
      <c r="G26" s="222">
        <v>0</v>
      </c>
      <c r="H26" s="222">
        <v>0</v>
      </c>
      <c r="I26" s="222">
        <v>1192.19</v>
      </c>
      <c r="J26" s="222">
        <v>1333.075</v>
      </c>
      <c r="K26" s="222">
        <v>1314.93</v>
      </c>
      <c r="L26" s="222">
        <v>0</v>
      </c>
      <c r="M26" s="222">
        <v>5093.5950000000003</v>
      </c>
      <c r="N26" s="222">
        <v>3074.5419999999999</v>
      </c>
      <c r="O26" s="222">
        <v>20.393000000000001</v>
      </c>
      <c r="P26" s="222">
        <v>0</v>
      </c>
      <c r="Q26" s="222">
        <v>176.251</v>
      </c>
      <c r="R26" s="222">
        <v>114086.59</v>
      </c>
      <c r="T26" s="57"/>
      <c r="U26" s="57"/>
      <c r="V26" s="57"/>
      <c r="W26" s="57"/>
      <c r="X26" s="57"/>
      <c r="Y26" s="57"/>
      <c r="Z26" s="57"/>
    </row>
    <row r="27" spans="1:26" ht="20.149999999999999" customHeight="1">
      <c r="A27" s="9" t="s">
        <v>20</v>
      </c>
      <c r="B27" s="20">
        <v>11588.088</v>
      </c>
      <c r="C27" s="20">
        <v>467.13799999999998</v>
      </c>
      <c r="D27" s="20">
        <v>4516.7839999999997</v>
      </c>
      <c r="E27" s="20">
        <v>18345.245999999999</v>
      </c>
      <c r="F27" s="20">
        <v>1609.0450000000001</v>
      </c>
      <c r="G27" s="20">
        <v>833.73699999999997</v>
      </c>
      <c r="H27" s="20">
        <v>4412.2520000000004</v>
      </c>
      <c r="I27" s="20">
        <v>343.226</v>
      </c>
      <c r="J27" s="20">
        <v>1125.944</v>
      </c>
      <c r="K27" s="20">
        <v>254.69800000000001</v>
      </c>
      <c r="L27" s="20">
        <v>61.801000000000002</v>
      </c>
      <c r="M27" s="20">
        <v>318.11200000000002</v>
      </c>
      <c r="N27" s="20">
        <v>2026.2</v>
      </c>
      <c r="O27" s="20">
        <v>24.167999999999999</v>
      </c>
      <c r="P27" s="20">
        <v>1036.712</v>
      </c>
      <c r="Q27" s="20">
        <v>102.541</v>
      </c>
      <c r="R27" s="20">
        <v>47065.691999999995</v>
      </c>
      <c r="T27" s="57"/>
      <c r="U27" s="57"/>
      <c r="V27" s="57"/>
      <c r="W27" s="57"/>
      <c r="X27" s="57"/>
    </row>
    <row r="28" spans="1:26" ht="20.149999999999999" customHeight="1">
      <c r="A28" s="95" t="s">
        <v>21</v>
      </c>
      <c r="B28" s="222">
        <v>2384.0619999999999</v>
      </c>
      <c r="C28" s="222">
        <v>118.255</v>
      </c>
      <c r="D28" s="222">
        <v>718.88800000000003</v>
      </c>
      <c r="E28" s="222">
        <v>2886.4949999999999</v>
      </c>
      <c r="F28" s="222">
        <v>331.84199999999998</v>
      </c>
      <c r="G28" s="222">
        <v>0</v>
      </c>
      <c r="H28" s="222">
        <v>0</v>
      </c>
      <c r="I28" s="222">
        <v>9.3140000000000001</v>
      </c>
      <c r="J28" s="222">
        <v>168.244</v>
      </c>
      <c r="K28" s="222">
        <v>242.67599999999999</v>
      </c>
      <c r="L28" s="222">
        <v>0</v>
      </c>
      <c r="M28" s="222">
        <v>191.16</v>
      </c>
      <c r="N28" s="222">
        <v>114.616</v>
      </c>
      <c r="O28" s="222">
        <v>49.237000000000002</v>
      </c>
      <c r="P28" s="222">
        <v>0</v>
      </c>
      <c r="Q28" s="222">
        <v>28.76</v>
      </c>
      <c r="R28" s="222">
        <v>7243.549</v>
      </c>
      <c r="T28" s="57"/>
      <c r="U28" s="57"/>
      <c r="V28" s="57"/>
      <c r="W28" s="57"/>
      <c r="X28" s="57"/>
      <c r="Y28" s="57"/>
      <c r="Z28" s="57"/>
    </row>
    <row r="29" spans="1:26" ht="20.149999999999999" customHeight="1">
      <c r="A29" s="9" t="s">
        <v>22</v>
      </c>
      <c r="B29" s="20">
        <v>4563.415</v>
      </c>
      <c r="C29" s="20">
        <v>379.26799999999997</v>
      </c>
      <c r="D29" s="20">
        <v>893.37900000000002</v>
      </c>
      <c r="E29" s="20">
        <v>3142.0149999999999</v>
      </c>
      <c r="F29" s="20">
        <v>346.33499999999998</v>
      </c>
      <c r="G29" s="20">
        <v>5.1760000000000002</v>
      </c>
      <c r="H29" s="20">
        <v>0</v>
      </c>
      <c r="I29" s="20">
        <v>5.8239999999999998</v>
      </c>
      <c r="J29" s="20">
        <v>130.637</v>
      </c>
      <c r="K29" s="20">
        <v>218.05</v>
      </c>
      <c r="L29" s="20">
        <v>0</v>
      </c>
      <c r="M29" s="20">
        <v>248.33500000000001</v>
      </c>
      <c r="N29" s="20">
        <v>280.08100000000002</v>
      </c>
      <c r="O29" s="20">
        <v>0</v>
      </c>
      <c r="P29" s="20">
        <v>0</v>
      </c>
      <c r="Q29" s="20">
        <v>20.247</v>
      </c>
      <c r="R29" s="20">
        <v>10232.761999999997</v>
      </c>
      <c r="Y29" s="57"/>
      <c r="Z29" s="57"/>
    </row>
    <row r="30" spans="1:26" ht="20.149999999999999" customHeight="1">
      <c r="A30" s="95" t="s">
        <v>23</v>
      </c>
      <c r="B30" s="222">
        <v>1810.4829999999999</v>
      </c>
      <c r="C30" s="222">
        <v>283.48700000000002</v>
      </c>
      <c r="D30" s="222">
        <v>1019.34</v>
      </c>
      <c r="E30" s="222">
        <v>4545.6540000000005</v>
      </c>
      <c r="F30" s="222">
        <v>555</v>
      </c>
      <c r="G30" s="222">
        <v>93.912000000000006</v>
      </c>
      <c r="H30" s="222">
        <v>82.56</v>
      </c>
      <c r="I30" s="222">
        <v>31.428999999999998</v>
      </c>
      <c r="J30" s="222">
        <v>148.98599999999999</v>
      </c>
      <c r="K30" s="222">
        <v>141.83799999999999</v>
      </c>
      <c r="L30" s="222">
        <v>0</v>
      </c>
      <c r="M30" s="222">
        <v>406.62599999999998</v>
      </c>
      <c r="N30" s="222">
        <v>357.86399999999998</v>
      </c>
      <c r="O30" s="222">
        <v>1.841</v>
      </c>
      <c r="P30" s="222">
        <v>0</v>
      </c>
      <c r="Q30" s="222">
        <v>0</v>
      </c>
      <c r="R30" s="222">
        <v>9479.02</v>
      </c>
      <c r="T30" s="57"/>
      <c r="U30" s="57"/>
      <c r="V30" s="57"/>
      <c r="W30" s="57"/>
      <c r="X30" s="57"/>
      <c r="Y30" s="57"/>
      <c r="Z30" s="57"/>
    </row>
    <row r="31" spans="1:26" ht="20.149999999999999" customHeight="1">
      <c r="A31" s="9" t="s">
        <v>24</v>
      </c>
      <c r="B31" s="20">
        <v>3543.9070000000002</v>
      </c>
      <c r="C31" s="20">
        <v>370.697</v>
      </c>
      <c r="D31" s="20">
        <v>2432.2469999999998</v>
      </c>
      <c r="E31" s="20">
        <v>6175.3559999999998</v>
      </c>
      <c r="F31" s="20">
        <v>583.59100000000001</v>
      </c>
      <c r="G31" s="20">
        <v>49.664999999999999</v>
      </c>
      <c r="H31" s="20">
        <v>142.98599999999999</v>
      </c>
      <c r="I31" s="20">
        <v>192.255</v>
      </c>
      <c r="J31" s="20">
        <v>154.518</v>
      </c>
      <c r="K31" s="20">
        <v>145.155</v>
      </c>
      <c r="L31" s="20">
        <v>71.563000000000002</v>
      </c>
      <c r="M31" s="20">
        <v>621.73699999999997</v>
      </c>
      <c r="N31" s="20">
        <v>304.89600000000002</v>
      </c>
      <c r="O31" s="20">
        <v>68.683000000000007</v>
      </c>
      <c r="P31" s="20">
        <v>621.74099999999999</v>
      </c>
      <c r="Q31" s="20">
        <v>136.52199999999999</v>
      </c>
      <c r="R31" s="20">
        <v>15615.519000000004</v>
      </c>
      <c r="T31" s="57"/>
      <c r="U31" s="57"/>
      <c r="V31" s="57"/>
      <c r="W31" s="57"/>
      <c r="X31" s="57"/>
      <c r="Y31" s="57"/>
      <c r="Z31" s="57"/>
    </row>
    <row r="32" spans="1:26" ht="20.149999999999999" customHeight="1">
      <c r="A32" s="95" t="s">
        <v>25</v>
      </c>
      <c r="B32" s="222">
        <v>5323.8680000000004</v>
      </c>
      <c r="C32" s="222">
        <v>377.15499999999997</v>
      </c>
      <c r="D32" s="222">
        <v>1881.288</v>
      </c>
      <c r="E32" s="222">
        <v>11024.422</v>
      </c>
      <c r="F32" s="222">
        <v>2567.5219999999999</v>
      </c>
      <c r="G32" s="222">
        <v>3.536</v>
      </c>
      <c r="H32" s="222">
        <v>10.832000000000001</v>
      </c>
      <c r="I32" s="222">
        <v>176.83099999999999</v>
      </c>
      <c r="J32" s="222">
        <v>176.863</v>
      </c>
      <c r="K32" s="222">
        <v>732.73299999999995</v>
      </c>
      <c r="L32" s="222">
        <v>2.9460000000000002</v>
      </c>
      <c r="M32" s="222">
        <v>2091.3229999999999</v>
      </c>
      <c r="N32" s="222">
        <v>615.26099999999997</v>
      </c>
      <c r="O32" s="222">
        <v>81.77</v>
      </c>
      <c r="P32" s="222">
        <v>0</v>
      </c>
      <c r="Q32" s="222">
        <v>108.614</v>
      </c>
      <c r="R32" s="222">
        <v>25174.964</v>
      </c>
      <c r="Y32" s="57"/>
      <c r="Z32" s="57"/>
    </row>
    <row r="33" spans="1:26" ht="20.149999999999999" customHeight="1">
      <c r="A33" s="9" t="s">
        <v>26</v>
      </c>
      <c r="B33" s="20">
        <v>1153.777</v>
      </c>
      <c r="C33" s="20">
        <v>79.632000000000005</v>
      </c>
      <c r="D33" s="20">
        <v>307.58600000000001</v>
      </c>
      <c r="E33" s="20">
        <v>1768.5719999999999</v>
      </c>
      <c r="F33" s="20">
        <v>188.779</v>
      </c>
      <c r="G33" s="20">
        <v>430.35899999999998</v>
      </c>
      <c r="H33" s="20">
        <v>123.505</v>
      </c>
      <c r="I33" s="20">
        <v>4.8620000000000001</v>
      </c>
      <c r="J33" s="20">
        <v>412.786</v>
      </c>
      <c r="K33" s="20">
        <v>5.3289999999999997</v>
      </c>
      <c r="L33" s="20">
        <v>0</v>
      </c>
      <c r="M33" s="20">
        <v>62.488999999999997</v>
      </c>
      <c r="N33" s="20">
        <v>83.04</v>
      </c>
      <c r="O33" s="20">
        <v>1.972</v>
      </c>
      <c r="P33" s="20">
        <v>457.47500000000002</v>
      </c>
      <c r="Q33" s="20">
        <v>96.228999999999999</v>
      </c>
      <c r="R33" s="20">
        <v>5176.3919999999998</v>
      </c>
      <c r="T33" s="57"/>
      <c r="U33" s="57"/>
      <c r="V33" s="57"/>
      <c r="W33" s="57"/>
      <c r="X33" s="57"/>
    </row>
    <row r="34" spans="1:26" ht="20.149999999999999" customHeight="1">
      <c r="A34" s="95" t="s">
        <v>27</v>
      </c>
      <c r="B34" s="222">
        <v>5587.7640000000001</v>
      </c>
      <c r="C34" s="222">
        <v>277.26299999999998</v>
      </c>
      <c r="D34" s="222">
        <v>3138.317</v>
      </c>
      <c r="E34" s="222">
        <v>9726.3709999999992</v>
      </c>
      <c r="F34" s="222">
        <v>900.91200000000003</v>
      </c>
      <c r="G34" s="222">
        <v>103.297</v>
      </c>
      <c r="H34" s="222">
        <v>1517.0150000000001</v>
      </c>
      <c r="I34" s="222">
        <v>115.48</v>
      </c>
      <c r="J34" s="222">
        <v>555.69500000000005</v>
      </c>
      <c r="K34" s="222">
        <v>231.173</v>
      </c>
      <c r="L34" s="222">
        <v>0</v>
      </c>
      <c r="M34" s="222">
        <v>146.06200000000001</v>
      </c>
      <c r="N34" s="222">
        <v>662.00699999999995</v>
      </c>
      <c r="O34" s="222">
        <v>8.8350000000000009</v>
      </c>
      <c r="P34" s="222">
        <v>0</v>
      </c>
      <c r="Q34" s="222">
        <v>0</v>
      </c>
      <c r="R34" s="222">
        <v>22970.190999999999</v>
      </c>
      <c r="T34" s="57"/>
      <c r="U34" s="57"/>
      <c r="V34" s="57"/>
      <c r="W34" s="57"/>
      <c r="X34" s="57"/>
      <c r="Y34" s="57"/>
      <c r="Z34" s="57"/>
    </row>
    <row r="35" spans="1:26" ht="20.149999999999999" customHeight="1">
      <c r="A35" s="9" t="s">
        <v>16</v>
      </c>
      <c r="B35" s="20">
        <v>7345.3590000000004</v>
      </c>
      <c r="C35" s="20">
        <v>460.99299999999999</v>
      </c>
      <c r="D35" s="20">
        <v>3112.047</v>
      </c>
      <c r="E35" s="20">
        <v>7416.2240000000002</v>
      </c>
      <c r="F35" s="20">
        <v>645.45500000000004</v>
      </c>
      <c r="G35" s="20">
        <v>0</v>
      </c>
      <c r="H35" s="20">
        <v>0</v>
      </c>
      <c r="I35" s="20">
        <v>260.31599999999997</v>
      </c>
      <c r="J35" s="20">
        <v>630.88499999999999</v>
      </c>
      <c r="K35" s="20">
        <v>574.16300000000001</v>
      </c>
      <c r="L35" s="20">
        <v>0</v>
      </c>
      <c r="M35" s="20">
        <v>826.48900000000003</v>
      </c>
      <c r="N35" s="20">
        <v>494.71499999999997</v>
      </c>
      <c r="O35" s="20">
        <v>54.816000000000003</v>
      </c>
      <c r="P35" s="20">
        <v>0</v>
      </c>
      <c r="Q35" s="20">
        <v>5038.2669999999998</v>
      </c>
      <c r="R35" s="20">
        <v>26859.728999999999</v>
      </c>
      <c r="T35" s="57"/>
      <c r="U35" s="57"/>
      <c r="V35" s="57"/>
      <c r="W35" s="57"/>
      <c r="X35" s="57"/>
      <c r="Y35" s="57"/>
      <c r="Z35" s="57"/>
    </row>
    <row r="36" spans="1:26" ht="20.149999999999999" customHeight="1">
      <c r="A36" s="95" t="s">
        <v>28</v>
      </c>
      <c r="B36" s="222">
        <v>3386.97</v>
      </c>
      <c r="C36" s="222">
        <v>531.48299999999995</v>
      </c>
      <c r="D36" s="222">
        <v>1489.5129999999999</v>
      </c>
      <c r="E36" s="222">
        <v>8971.3160000000007</v>
      </c>
      <c r="F36" s="222">
        <v>708.99300000000005</v>
      </c>
      <c r="G36" s="222">
        <v>54.695</v>
      </c>
      <c r="H36" s="222">
        <v>175.518</v>
      </c>
      <c r="I36" s="222">
        <v>13.896000000000001</v>
      </c>
      <c r="J36" s="222">
        <v>369.10500000000002</v>
      </c>
      <c r="K36" s="222">
        <v>100.59699999999999</v>
      </c>
      <c r="L36" s="222">
        <v>0</v>
      </c>
      <c r="M36" s="222">
        <v>228.63300000000001</v>
      </c>
      <c r="N36" s="222">
        <v>626.17499999999995</v>
      </c>
      <c r="O36" s="222">
        <v>9.2439999999999998</v>
      </c>
      <c r="P36" s="222">
        <v>0</v>
      </c>
      <c r="Q36" s="222">
        <v>39.545999999999999</v>
      </c>
      <c r="R36" s="222">
        <v>16705.683999999997</v>
      </c>
      <c r="T36" s="57"/>
      <c r="U36" s="57"/>
      <c r="V36" s="57"/>
      <c r="W36" s="57"/>
      <c r="X36" s="57"/>
      <c r="Y36" s="57"/>
      <c r="Z36" s="57"/>
    </row>
    <row r="37" spans="1:26" ht="20.149999999999999" customHeight="1">
      <c r="A37" s="9" t="s">
        <v>29</v>
      </c>
      <c r="B37" s="20">
        <v>1432.751</v>
      </c>
      <c r="C37" s="20">
        <v>1015.888</v>
      </c>
      <c r="D37" s="20">
        <v>461.87700000000001</v>
      </c>
      <c r="E37" s="20">
        <v>1295.5920000000001</v>
      </c>
      <c r="F37" s="20">
        <v>94.935000000000002</v>
      </c>
      <c r="G37" s="20">
        <v>62.552999999999997</v>
      </c>
      <c r="H37" s="20">
        <v>62.048999999999999</v>
      </c>
      <c r="I37" s="20">
        <v>2955.538</v>
      </c>
      <c r="J37" s="20">
        <v>306.05399999999997</v>
      </c>
      <c r="K37" s="20">
        <v>13.273999999999999</v>
      </c>
      <c r="L37" s="20">
        <v>0</v>
      </c>
      <c r="M37" s="20">
        <v>0</v>
      </c>
      <c r="N37" s="20">
        <v>134.53200000000001</v>
      </c>
      <c r="O37" s="20">
        <v>3.6150000000000002</v>
      </c>
      <c r="P37" s="20">
        <v>674.88900000000001</v>
      </c>
      <c r="Q37" s="20">
        <v>330.75299999999999</v>
      </c>
      <c r="R37" s="20">
        <v>8844.3000000000011</v>
      </c>
    </row>
    <row r="38" spans="1:26" ht="20.149999999999999" customHeight="1">
      <c r="A38" s="95" t="s">
        <v>30</v>
      </c>
      <c r="B38" s="222">
        <v>2260.346</v>
      </c>
      <c r="C38" s="222">
        <v>424.73899999999998</v>
      </c>
      <c r="D38" s="222">
        <v>1764.6880000000001</v>
      </c>
      <c r="E38" s="222">
        <v>5438.0249999999996</v>
      </c>
      <c r="F38" s="222">
        <v>589.73500000000001</v>
      </c>
      <c r="G38" s="222">
        <v>35.744</v>
      </c>
      <c r="H38" s="222">
        <v>11.026</v>
      </c>
      <c r="I38" s="222">
        <v>80.820999999999998</v>
      </c>
      <c r="J38" s="222">
        <v>155.75299999999999</v>
      </c>
      <c r="K38" s="222">
        <v>144.55099999999999</v>
      </c>
      <c r="L38" s="222">
        <v>1.145</v>
      </c>
      <c r="M38" s="222">
        <v>257.97399999999999</v>
      </c>
      <c r="N38" s="222">
        <v>247.27199999999999</v>
      </c>
      <c r="O38" s="222">
        <v>94.808000000000007</v>
      </c>
      <c r="P38" s="222">
        <v>0</v>
      </c>
      <c r="Q38" s="222">
        <v>129.47200000000001</v>
      </c>
      <c r="R38" s="222">
        <v>11636.099000000002</v>
      </c>
      <c r="T38" s="57"/>
      <c r="U38" s="57"/>
      <c r="V38" s="57"/>
      <c r="W38" s="57"/>
      <c r="X38" s="57"/>
      <c r="Y38" s="57"/>
      <c r="Z38" s="57"/>
    </row>
    <row r="39" spans="1:26" ht="20.149999999999999" customHeight="1">
      <c r="A39" s="9" t="s">
        <v>31</v>
      </c>
      <c r="B39" s="20">
        <v>8243.9</v>
      </c>
      <c r="C39" s="20">
        <v>585.63900000000001</v>
      </c>
      <c r="D39" s="20">
        <v>3680.5569999999998</v>
      </c>
      <c r="E39" s="20">
        <v>12573.339</v>
      </c>
      <c r="F39" s="20">
        <v>1429.3889999999999</v>
      </c>
      <c r="G39" s="20">
        <v>17.032</v>
      </c>
      <c r="H39" s="20">
        <v>265.42899999999997</v>
      </c>
      <c r="I39" s="20">
        <v>87.290999999999997</v>
      </c>
      <c r="J39" s="20">
        <v>326.40800000000002</v>
      </c>
      <c r="K39" s="20">
        <v>673.44799999999998</v>
      </c>
      <c r="L39" s="20">
        <v>3.7999999999999999E-2</v>
      </c>
      <c r="M39" s="20">
        <v>3172.0279999999998</v>
      </c>
      <c r="N39" s="20">
        <v>415.53100000000001</v>
      </c>
      <c r="O39" s="20">
        <v>123.408</v>
      </c>
      <c r="P39" s="20">
        <v>0</v>
      </c>
      <c r="Q39" s="20">
        <v>12.101000000000001</v>
      </c>
      <c r="R39" s="20">
        <v>31605.537999999993</v>
      </c>
      <c r="T39" s="57"/>
      <c r="U39" s="57"/>
      <c r="V39" s="57"/>
      <c r="W39" s="57"/>
      <c r="X39" s="57"/>
      <c r="Y39" s="57"/>
      <c r="Z39" s="57"/>
    </row>
    <row r="40" spans="1:26" ht="20.149999999999999" customHeight="1">
      <c r="A40" s="95" t="s">
        <v>32</v>
      </c>
      <c r="B40" s="222">
        <v>5276.2470000000003</v>
      </c>
      <c r="C40" s="222">
        <v>622.85799999999995</v>
      </c>
      <c r="D40" s="222">
        <v>1198.039</v>
      </c>
      <c r="E40" s="222">
        <v>5988.7280000000001</v>
      </c>
      <c r="F40" s="222">
        <v>596.255</v>
      </c>
      <c r="G40" s="222">
        <v>66.941000000000003</v>
      </c>
      <c r="H40" s="222">
        <v>340.64</v>
      </c>
      <c r="I40" s="222">
        <v>131.43199999999999</v>
      </c>
      <c r="J40" s="222">
        <v>327.97800000000001</v>
      </c>
      <c r="K40" s="222">
        <v>158.083</v>
      </c>
      <c r="L40" s="222">
        <v>158.11500000000001</v>
      </c>
      <c r="M40" s="222">
        <v>29.49</v>
      </c>
      <c r="N40" s="222">
        <v>474.51900000000001</v>
      </c>
      <c r="O40" s="222">
        <v>0</v>
      </c>
      <c r="P40" s="222">
        <v>0</v>
      </c>
      <c r="Q40" s="222">
        <v>16.309999999999999</v>
      </c>
      <c r="R40" s="222">
        <v>15385.634999999998</v>
      </c>
      <c r="T40" s="57"/>
      <c r="U40" s="57"/>
      <c r="V40" s="57"/>
      <c r="W40" s="57"/>
      <c r="X40" s="57"/>
      <c r="Y40" s="57"/>
      <c r="Z40" s="57"/>
    </row>
    <row r="41" spans="1:26" ht="20.149999999999999" customHeight="1">
      <c r="A41" s="9" t="s">
        <v>33</v>
      </c>
      <c r="B41" s="20">
        <v>2600.7020000000002</v>
      </c>
      <c r="C41" s="20">
        <v>119.155</v>
      </c>
      <c r="D41" s="20">
        <v>1012.857</v>
      </c>
      <c r="E41" s="20">
        <v>3975.0839999999998</v>
      </c>
      <c r="F41" s="20">
        <v>364.97699999999998</v>
      </c>
      <c r="G41" s="20">
        <v>5.827</v>
      </c>
      <c r="H41" s="20">
        <v>0</v>
      </c>
      <c r="I41" s="20">
        <v>115.854</v>
      </c>
      <c r="J41" s="20">
        <v>236.477</v>
      </c>
      <c r="K41" s="20">
        <v>204.75299999999999</v>
      </c>
      <c r="L41" s="20">
        <v>0</v>
      </c>
      <c r="M41" s="20">
        <v>210.29400000000001</v>
      </c>
      <c r="N41" s="20">
        <v>273.553</v>
      </c>
      <c r="O41" s="20">
        <v>22.277000000000001</v>
      </c>
      <c r="P41" s="20">
        <v>0</v>
      </c>
      <c r="Q41" s="20">
        <v>68.3</v>
      </c>
      <c r="R41" s="20">
        <v>9210.11</v>
      </c>
      <c r="T41" s="57"/>
      <c r="U41" s="57"/>
      <c r="V41" s="57"/>
      <c r="W41" s="57"/>
      <c r="X41" s="57"/>
      <c r="Y41" s="57"/>
      <c r="Z41" s="57"/>
    </row>
    <row r="42" spans="1:26" ht="20.149999999999999" customHeight="1">
      <c r="A42" s="95" t="s">
        <v>34</v>
      </c>
      <c r="B42" s="222">
        <v>4319.9430000000002</v>
      </c>
      <c r="C42" s="222">
        <v>490.71199999999999</v>
      </c>
      <c r="D42" s="222">
        <v>1725.586</v>
      </c>
      <c r="E42" s="222">
        <v>6356.835</v>
      </c>
      <c r="F42" s="222">
        <v>696.77800000000002</v>
      </c>
      <c r="G42" s="222">
        <v>6.976</v>
      </c>
      <c r="H42" s="222">
        <v>128.15100000000001</v>
      </c>
      <c r="I42" s="222">
        <v>215.51499999999999</v>
      </c>
      <c r="J42" s="222">
        <v>252.04499999999999</v>
      </c>
      <c r="K42" s="222">
        <v>406.233</v>
      </c>
      <c r="L42" s="222">
        <v>118.949</v>
      </c>
      <c r="M42" s="222">
        <v>1895.355</v>
      </c>
      <c r="N42" s="222">
        <v>826.38900000000001</v>
      </c>
      <c r="O42" s="222">
        <v>57.331000000000003</v>
      </c>
      <c r="P42" s="222">
        <v>0</v>
      </c>
      <c r="Q42" s="222">
        <v>0</v>
      </c>
      <c r="R42" s="222">
        <v>17496.797999999999</v>
      </c>
    </row>
    <row r="43" spans="1:26" ht="25.4" customHeight="1">
      <c r="A43" s="98" t="s">
        <v>60</v>
      </c>
      <c r="B43" s="132">
        <v>247224.64963</v>
      </c>
      <c r="C43" s="132">
        <v>16763.417730000001</v>
      </c>
      <c r="D43" s="132">
        <v>72363.000029999996</v>
      </c>
      <c r="E43" s="132">
        <v>250548.07267000002</v>
      </c>
      <c r="F43" s="132">
        <v>30445.830560000002</v>
      </c>
      <c r="G43" s="132">
        <v>3533.1936199999996</v>
      </c>
      <c r="H43" s="132">
        <v>10155.429</v>
      </c>
      <c r="I43" s="132">
        <v>8577.8729999999996</v>
      </c>
      <c r="J43" s="132">
        <v>12923.001870000002</v>
      </c>
      <c r="K43" s="132">
        <v>11430.682000000001</v>
      </c>
      <c r="L43" s="132">
        <v>989.572</v>
      </c>
      <c r="M43" s="132">
        <v>27237.286</v>
      </c>
      <c r="N43" s="132">
        <v>19413.7137</v>
      </c>
      <c r="O43" s="132">
        <v>876.63</v>
      </c>
      <c r="P43" s="132">
        <v>4816.9832500000002</v>
      </c>
      <c r="Q43" s="132">
        <v>7188.8876</v>
      </c>
      <c r="R43" s="132">
        <v>724488.2226600002</v>
      </c>
      <c r="S43" s="51"/>
      <c r="T43" s="57"/>
      <c r="U43" s="57"/>
      <c r="V43" s="57"/>
      <c r="W43" s="57"/>
      <c r="X43" s="57"/>
      <c r="Y43" s="57"/>
      <c r="Z43" s="57"/>
    </row>
    <row r="44" spans="1:26">
      <c r="T44" s="57"/>
      <c r="U44" s="57"/>
      <c r="V44" s="57"/>
      <c r="W44" s="57"/>
      <c r="X44" s="57"/>
      <c r="Y44" s="57"/>
      <c r="Z44" s="57"/>
    </row>
    <row r="45" spans="1:26">
      <c r="B45" s="51"/>
      <c r="T45" s="57"/>
      <c r="U45" s="57"/>
      <c r="V45" s="57"/>
      <c r="W45" s="57"/>
      <c r="X45" s="57"/>
      <c r="Y45" s="57"/>
      <c r="Z45" s="57"/>
    </row>
  </sheetData>
  <hyperlinks>
    <hyperlink ref="A8" location="Contents!A1" display="Return to Contents" xr:uid="{C9D2F67C-A7DB-4CCE-8059-879F8E73C54C}"/>
  </hyperlinks>
  <pageMargins left="0.7" right="0.7" top="0.75" bottom="0.75" header="0.3" footer="0.3"/>
  <pageSetup paperSize="9"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7896A-385A-4F37-8FB8-6F3010509516}">
  <sheetPr>
    <tabColor rgb="FFDDE5F1"/>
  </sheetPr>
  <dimension ref="A1:J34"/>
  <sheetViews>
    <sheetView topLeftCell="A7" zoomScaleNormal="100" workbookViewId="0"/>
  </sheetViews>
  <sheetFormatPr defaultColWidth="9.1796875" defaultRowHeight="15.5"/>
  <cols>
    <col min="1" max="1" width="42.453125" style="57" customWidth="1"/>
    <col min="2" max="2" width="15.81640625" style="57" customWidth="1"/>
    <col min="3" max="3" width="14.1796875" style="57" bestFit="1" customWidth="1"/>
    <col min="4" max="7" width="9.1796875" style="57"/>
    <col min="8" max="8" width="11" style="57" bestFit="1" customWidth="1"/>
    <col min="9" max="11" width="9.1796875" style="57"/>
    <col min="12" max="12" width="14.1796875" style="57" customWidth="1"/>
    <col min="13" max="13" width="15" style="57" customWidth="1"/>
    <col min="14" max="14" width="22.1796875" style="57" customWidth="1"/>
    <col min="15" max="15" width="12.453125" style="57" customWidth="1"/>
    <col min="16" max="16384" width="9.1796875" style="57"/>
  </cols>
  <sheetData>
    <row r="1" spans="1:10" ht="30" customHeight="1">
      <c r="A1" s="234" t="s">
        <v>793</v>
      </c>
      <c r="B1" s="447"/>
      <c r="C1" s="60"/>
    </row>
    <row r="2" spans="1:10" ht="20.149999999999999" customHeight="1">
      <c r="A2" s="7" t="s">
        <v>236</v>
      </c>
      <c r="B2" s="23"/>
    </row>
    <row r="3" spans="1:10" ht="20.149999999999999" customHeight="1">
      <c r="A3" s="7" t="s">
        <v>586</v>
      </c>
      <c r="B3" s="23"/>
    </row>
    <row r="4" spans="1:10" ht="20.149999999999999" customHeight="1">
      <c r="A4" s="456" t="s">
        <v>882</v>
      </c>
      <c r="B4" s="23"/>
      <c r="J4" s="29"/>
    </row>
    <row r="5" spans="1:10" ht="20.149999999999999" customHeight="1">
      <c r="A5" s="127" t="s">
        <v>688</v>
      </c>
      <c r="B5" s="23"/>
      <c r="J5" s="165"/>
    </row>
    <row r="6" spans="1:10" ht="20.149999999999999" customHeight="1">
      <c r="A6" s="128" t="s">
        <v>689</v>
      </c>
      <c r="B6" s="23"/>
      <c r="J6" s="165"/>
    </row>
    <row r="7" spans="1:10" ht="20.149999999999999" customHeight="1">
      <c r="A7" s="295" t="s">
        <v>573</v>
      </c>
      <c r="B7" s="23"/>
      <c r="C7" s="23"/>
      <c r="D7" s="23"/>
      <c r="E7" s="23"/>
      <c r="F7" s="23"/>
      <c r="G7" s="23"/>
      <c r="H7" s="23"/>
    </row>
    <row r="8" spans="1:10" s="9" customFormat="1" ht="20.149999999999999" customHeight="1">
      <c r="A8" s="15" t="s">
        <v>62</v>
      </c>
      <c r="B8" s="397"/>
      <c r="C8" s="5"/>
      <c r="D8" s="5"/>
      <c r="E8" s="5"/>
      <c r="F8" s="5"/>
    </row>
    <row r="9" spans="1:10" ht="10.4" customHeight="1"/>
    <row r="10" spans="1:10" ht="25.4" customHeight="1">
      <c r="A10" s="232" t="s">
        <v>587</v>
      </c>
      <c r="B10" s="233" t="s">
        <v>588</v>
      </c>
      <c r="C10" s="384"/>
      <c r="D10" s="384"/>
      <c r="E10" s="384"/>
    </row>
    <row r="11" spans="1:10" ht="20.149999999999999" customHeight="1">
      <c r="A11" s="457" t="s">
        <v>577</v>
      </c>
      <c r="B11" s="302">
        <f>'Table 2.17'!Q17/1000</f>
        <v>250.54807267000001</v>
      </c>
      <c r="C11" s="458"/>
      <c r="D11" s="384"/>
      <c r="E11" s="384"/>
    </row>
    <row r="12" spans="1:10" ht="20.149999999999999" customHeight="1">
      <c r="A12" s="459" t="s">
        <v>589</v>
      </c>
      <c r="B12" s="301">
        <f>'Table 2.17'!Q14/1000</f>
        <v>247.22464962999999</v>
      </c>
      <c r="C12" s="458"/>
      <c r="D12" s="384"/>
      <c r="E12" s="384"/>
    </row>
    <row r="13" spans="1:10" ht="20.149999999999999" customHeight="1">
      <c r="A13" s="457" t="s">
        <v>690</v>
      </c>
      <c r="B13" s="302">
        <f>SUM('Table 2.17'!Q15,'Table 2.17'!Q19:Q20,'Table 2.17'!Q22:Q25,'Table 2.17'!Q29:Q30,'Table 2.17'!Q32)/1000</f>
        <v>77.255670070000008</v>
      </c>
      <c r="C13" s="458"/>
      <c r="D13" s="384"/>
      <c r="E13" s="384"/>
    </row>
    <row r="14" spans="1:10" ht="20.149999999999999" customHeight="1">
      <c r="A14" s="459" t="s">
        <v>561</v>
      </c>
      <c r="B14" s="301">
        <f>'Table 2.17'!Q16/1000</f>
        <v>72.363000029999995</v>
      </c>
      <c r="C14" s="458"/>
      <c r="D14" s="384"/>
      <c r="E14" s="384"/>
    </row>
    <row r="15" spans="1:10" ht="20.149999999999999" customHeight="1">
      <c r="A15" s="457" t="s">
        <v>562</v>
      </c>
      <c r="B15" s="302">
        <f>'Table 2.17'!Q18/1000</f>
        <v>30.445830560000001</v>
      </c>
      <c r="C15" s="458"/>
      <c r="D15" s="384"/>
      <c r="E15" s="384"/>
    </row>
    <row r="16" spans="1:10" ht="20.149999999999999" customHeight="1">
      <c r="A16" s="459" t="s">
        <v>569</v>
      </c>
      <c r="B16" s="301">
        <f>'Table 2.17'!Q26/1000</f>
        <v>27.237286000000001</v>
      </c>
      <c r="C16" s="458"/>
      <c r="D16" s="384"/>
      <c r="E16" s="384"/>
    </row>
    <row r="17" spans="1:5" ht="20.149999999999999" customHeight="1">
      <c r="A17" s="457" t="s">
        <v>692</v>
      </c>
      <c r="B17" s="302">
        <f>'Table 2.17'!Q28/1000</f>
        <v>19.413713699999999</v>
      </c>
      <c r="C17" s="458"/>
      <c r="D17" s="384"/>
      <c r="E17" s="384"/>
    </row>
    <row r="18" spans="1:5" ht="20.149999999999999" customHeight="1">
      <c r="C18" s="458"/>
      <c r="D18" s="384"/>
      <c r="E18" s="384"/>
    </row>
    <row r="19" spans="1:5" ht="20.149999999999999" customHeight="1">
      <c r="B19" s="398"/>
      <c r="C19" s="458"/>
      <c r="D19" s="384"/>
      <c r="E19" s="384"/>
    </row>
    <row r="20" spans="1:5" ht="20.149999999999999" customHeight="1">
      <c r="C20" s="384"/>
      <c r="D20" s="384"/>
      <c r="E20" s="384"/>
    </row>
    <row r="22" spans="1:5" ht="88.5" customHeight="1"/>
    <row r="26" spans="1:5">
      <c r="B26" s="231"/>
    </row>
    <row r="28" spans="1:5">
      <c r="B28" s="231"/>
    </row>
    <row r="29" spans="1:5">
      <c r="B29" s="231"/>
    </row>
    <row r="30" spans="1:5">
      <c r="B30" s="231"/>
    </row>
    <row r="31" spans="1:5">
      <c r="B31" s="231"/>
    </row>
    <row r="32" spans="1:5">
      <c r="B32" s="231"/>
    </row>
    <row r="33" spans="2:2">
      <c r="B33" s="231"/>
    </row>
    <row r="34" spans="2:2">
      <c r="B34" s="231"/>
    </row>
  </sheetData>
  <hyperlinks>
    <hyperlink ref="A8" location="Contents!A1" display="Return to Contents" xr:uid="{27CAAFE9-623F-4AFA-84C1-9010CE0D49E7}"/>
  </hyperlinks>
  <pageMargins left="0.7" right="0.7" top="0.75" bottom="0.75" header="0.3" footer="0.3"/>
  <pageSetup paperSize="9" orientation="portrait"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39">
    <tabColor rgb="FFDDE5F1"/>
    <pageSetUpPr fitToPage="1"/>
  </sheetPr>
  <dimension ref="A1:I42"/>
  <sheetViews>
    <sheetView zoomScaleNormal="100" workbookViewId="0"/>
  </sheetViews>
  <sheetFormatPr defaultColWidth="9.1796875" defaultRowHeight="15.5"/>
  <cols>
    <col min="1" max="1" width="84.7265625" style="9" customWidth="1"/>
    <col min="2" max="3" width="15.453125" style="65" customWidth="1"/>
    <col min="4" max="4" width="18.26953125" style="5" customWidth="1"/>
    <col min="5" max="5" width="9.1796875" style="9"/>
    <col min="6" max="8" width="9.1796875" style="9" customWidth="1"/>
    <col min="9" max="16384" width="9.1796875" style="9"/>
  </cols>
  <sheetData>
    <row r="1" spans="1:9" ht="30" customHeight="1">
      <c r="A1" s="22" t="s">
        <v>794</v>
      </c>
    </row>
    <row r="2" spans="1:9" ht="20.149999999999999" customHeight="1">
      <c r="A2" s="7" t="s">
        <v>260</v>
      </c>
    </row>
    <row r="3" spans="1:9" ht="20.149999999999999" customHeight="1">
      <c r="A3" s="7" t="s">
        <v>649</v>
      </c>
    </row>
    <row r="4" spans="1:9" ht="20.149999999999999" customHeight="1">
      <c r="A4" s="9" t="s">
        <v>217</v>
      </c>
    </row>
    <row r="5" spans="1:9" ht="20.149999999999999" customHeight="1">
      <c r="A5" s="15" t="s">
        <v>62</v>
      </c>
      <c r="B5" s="27"/>
    </row>
    <row r="6" spans="1:9" ht="10" customHeight="1">
      <c r="E6" s="7"/>
      <c r="F6" s="107"/>
      <c r="G6" s="113"/>
      <c r="H6" s="113"/>
    </row>
    <row r="7" spans="1:9" ht="40" customHeight="1">
      <c r="A7" s="98" t="s">
        <v>259</v>
      </c>
      <c r="B7" s="96" t="s">
        <v>197</v>
      </c>
      <c r="C7" s="96" t="s">
        <v>36</v>
      </c>
      <c r="D7" s="99" t="s">
        <v>38</v>
      </c>
      <c r="E7" s="18"/>
      <c r="F7" s="106"/>
      <c r="G7" s="170"/>
      <c r="H7" s="170"/>
    </row>
    <row r="8" spans="1:9" s="2" customFormat="1" ht="20.149999999999999" customHeight="1">
      <c r="A8" s="9" t="s">
        <v>239</v>
      </c>
      <c r="B8" s="130">
        <v>3195.88</v>
      </c>
      <c r="C8" s="130">
        <v>186.398</v>
      </c>
      <c r="D8" s="188">
        <v>3382.2779999999998</v>
      </c>
      <c r="F8" s="182"/>
      <c r="G8" s="320"/>
      <c r="H8" s="174"/>
    </row>
    <row r="9" spans="1:9" ht="20.149999999999999" customHeight="1">
      <c r="A9" s="66" t="s">
        <v>216</v>
      </c>
      <c r="B9" s="189">
        <v>-318.91199999999998</v>
      </c>
      <c r="C9" s="189">
        <v>0.90800000000000003</v>
      </c>
      <c r="D9" s="190">
        <v>-318.00400000000002</v>
      </c>
      <c r="F9" s="107"/>
      <c r="G9" s="174"/>
      <c r="H9" s="174"/>
    </row>
    <row r="10" spans="1:9" ht="20.149999999999999" customHeight="1">
      <c r="A10" s="19" t="s">
        <v>610</v>
      </c>
      <c r="B10" s="130">
        <v>7.3449999999999998</v>
      </c>
      <c r="C10" s="130">
        <v>-4.9720000000000004</v>
      </c>
      <c r="D10" s="188">
        <v>2.3730000000000002</v>
      </c>
      <c r="E10" s="51"/>
      <c r="F10" s="304"/>
      <c r="G10" s="309"/>
      <c r="H10" s="309"/>
      <c r="I10" s="89"/>
    </row>
    <row r="11" spans="1:9" ht="20.149999999999999" customHeight="1">
      <c r="A11" s="66" t="s">
        <v>611</v>
      </c>
      <c r="B11" s="189">
        <v>1.2210000000000001</v>
      </c>
      <c r="C11" s="189">
        <v>0</v>
      </c>
      <c r="D11" s="190">
        <v>1.2210000000000001</v>
      </c>
      <c r="E11" s="51"/>
      <c r="F11" s="304"/>
      <c r="G11" s="309"/>
      <c r="H11" s="309"/>
      <c r="I11" s="89"/>
    </row>
    <row r="12" spans="1:9" ht="25" customHeight="1">
      <c r="A12" s="98" t="s">
        <v>157</v>
      </c>
      <c r="B12" s="126">
        <v>2883.0920000000001</v>
      </c>
      <c r="C12" s="126">
        <v>182.334</v>
      </c>
      <c r="D12" s="126">
        <v>3065.4259999999999</v>
      </c>
      <c r="E12" s="51"/>
      <c r="F12" s="283"/>
      <c r="G12" s="310"/>
      <c r="H12" s="310"/>
      <c r="I12" s="89"/>
    </row>
    <row r="13" spans="1:9">
      <c r="B13" s="154"/>
      <c r="C13" s="154"/>
      <c r="D13" s="156"/>
      <c r="E13" s="51"/>
      <c r="F13" s="51"/>
      <c r="G13" s="89"/>
      <c r="H13" s="89"/>
      <c r="I13" s="89"/>
    </row>
    <row r="14" spans="1:9">
      <c r="B14" s="154"/>
      <c r="C14" s="154"/>
      <c r="D14" s="156"/>
      <c r="E14" s="51"/>
      <c r="F14" s="51"/>
      <c r="G14" s="89"/>
      <c r="H14" s="89"/>
      <c r="I14" s="89"/>
    </row>
    <row r="15" spans="1:9">
      <c r="B15" s="154"/>
      <c r="C15" s="154"/>
      <c r="D15" s="156"/>
      <c r="E15" s="51"/>
      <c r="F15" s="51"/>
      <c r="G15" s="311"/>
      <c r="H15" s="89"/>
      <c r="I15" s="89"/>
    </row>
    <row r="16" spans="1:9">
      <c r="B16" s="154"/>
      <c r="C16" s="154"/>
      <c r="D16" s="156"/>
      <c r="E16" s="51"/>
      <c r="F16" s="51"/>
      <c r="G16" s="89"/>
      <c r="H16" s="89"/>
      <c r="I16" s="89"/>
    </row>
    <row r="17" spans="2:9">
      <c r="B17" s="154"/>
      <c r="C17" s="154"/>
      <c r="D17" s="156"/>
      <c r="E17" s="51"/>
      <c r="F17" s="51"/>
      <c r="G17" s="89"/>
      <c r="H17" s="89"/>
      <c r="I17" s="89"/>
    </row>
    <row r="18" spans="2:9">
      <c r="B18" s="154"/>
      <c r="C18" s="154"/>
      <c r="D18" s="156"/>
      <c r="E18" s="51"/>
      <c r="F18" s="51"/>
      <c r="G18" s="89"/>
      <c r="H18" s="89"/>
      <c r="I18" s="89"/>
    </row>
    <row r="19" spans="2:9">
      <c r="B19" s="154"/>
      <c r="C19" s="154"/>
      <c r="D19" s="156"/>
      <c r="E19" s="51"/>
      <c r="F19" s="51"/>
      <c r="G19" s="89"/>
      <c r="H19" s="89"/>
      <c r="I19" s="89"/>
    </row>
    <row r="20" spans="2:9">
      <c r="B20" s="154"/>
      <c r="C20" s="154"/>
      <c r="D20" s="156"/>
      <c r="E20" s="51"/>
      <c r="F20" s="51"/>
      <c r="G20" s="89"/>
      <c r="H20" s="89"/>
      <c r="I20" s="89"/>
    </row>
    <row r="21" spans="2:9">
      <c r="B21" s="154"/>
      <c r="C21" s="154"/>
      <c r="D21" s="156"/>
      <c r="E21" s="51"/>
      <c r="F21" s="51"/>
      <c r="G21" s="89"/>
      <c r="H21" s="89"/>
      <c r="I21" s="89"/>
    </row>
    <row r="22" spans="2:9">
      <c r="B22" s="154"/>
      <c r="C22" s="154"/>
      <c r="D22" s="156"/>
      <c r="E22" s="51"/>
      <c r="F22" s="51"/>
      <c r="G22" s="89"/>
      <c r="H22" s="89"/>
      <c r="I22" s="89"/>
    </row>
    <row r="23" spans="2:9">
      <c r="B23" s="154"/>
      <c r="C23" s="154"/>
      <c r="D23" s="156"/>
      <c r="E23" s="51"/>
      <c r="F23" s="51"/>
      <c r="G23" s="89"/>
      <c r="H23" s="89"/>
      <c r="I23" s="89"/>
    </row>
    <row r="24" spans="2:9">
      <c r="B24" s="154"/>
      <c r="C24" s="154"/>
      <c r="D24" s="156"/>
      <c r="E24" s="51"/>
      <c r="F24" s="51"/>
      <c r="G24" s="89"/>
      <c r="H24" s="89"/>
      <c r="I24" s="89"/>
    </row>
    <row r="25" spans="2:9">
      <c r="B25" s="154"/>
      <c r="C25" s="154"/>
      <c r="D25" s="156"/>
      <c r="E25" s="51"/>
      <c r="F25" s="51"/>
      <c r="G25" s="89"/>
      <c r="H25" s="89"/>
      <c r="I25" s="89"/>
    </row>
    <row r="26" spans="2:9">
      <c r="B26" s="154"/>
      <c r="C26" s="154"/>
      <c r="D26" s="156"/>
      <c r="E26" s="51"/>
      <c r="F26" s="51"/>
      <c r="G26" s="89"/>
      <c r="H26" s="89"/>
      <c r="I26" s="89"/>
    </row>
    <row r="27" spans="2:9">
      <c r="B27" s="154"/>
      <c r="C27" s="154"/>
      <c r="D27" s="156"/>
      <c r="E27" s="51"/>
      <c r="F27" s="51"/>
      <c r="G27" s="89"/>
      <c r="H27" s="89"/>
      <c r="I27" s="89"/>
    </row>
    <row r="28" spans="2:9">
      <c r="B28" s="154"/>
      <c r="C28" s="154"/>
      <c r="D28" s="156"/>
      <c r="E28" s="51"/>
      <c r="F28" s="51"/>
      <c r="G28" s="89"/>
      <c r="H28" s="89"/>
      <c r="I28" s="89"/>
    </row>
    <row r="29" spans="2:9">
      <c r="B29" s="154"/>
      <c r="C29" s="154"/>
      <c r="D29" s="156"/>
      <c r="E29" s="51"/>
      <c r="F29" s="51"/>
      <c r="G29" s="89"/>
      <c r="H29" s="89"/>
      <c r="I29" s="89"/>
    </row>
    <row r="30" spans="2:9">
      <c r="B30" s="154"/>
      <c r="C30" s="154"/>
      <c r="D30" s="156"/>
      <c r="E30" s="51"/>
      <c r="F30" s="51"/>
      <c r="G30" s="89"/>
      <c r="H30" s="89"/>
      <c r="I30" s="89"/>
    </row>
    <row r="31" spans="2:9">
      <c r="B31" s="154"/>
      <c r="C31" s="154"/>
      <c r="D31" s="156"/>
      <c r="E31" s="51"/>
      <c r="F31" s="51"/>
      <c r="G31" s="89"/>
      <c r="H31" s="89"/>
      <c r="I31" s="89"/>
    </row>
    <row r="32" spans="2:9">
      <c r="B32" s="154"/>
      <c r="C32" s="154"/>
      <c r="D32" s="156"/>
      <c r="E32" s="51"/>
      <c r="F32" s="51"/>
      <c r="G32" s="89"/>
      <c r="H32" s="89"/>
      <c r="I32" s="89"/>
    </row>
    <row r="33" spans="2:9">
      <c r="B33" s="154"/>
      <c r="C33" s="154"/>
      <c r="D33" s="156"/>
      <c r="E33" s="51"/>
      <c r="F33" s="51"/>
      <c r="G33" s="89"/>
      <c r="H33" s="89"/>
      <c r="I33" s="89"/>
    </row>
    <row r="34" spans="2:9">
      <c r="B34" s="154"/>
      <c r="C34" s="154"/>
      <c r="D34" s="156"/>
      <c r="E34" s="51"/>
      <c r="F34" s="51"/>
      <c r="G34" s="89"/>
      <c r="H34" s="89"/>
      <c r="I34" s="89"/>
    </row>
    <row r="35" spans="2:9">
      <c r="B35" s="154"/>
      <c r="C35" s="154"/>
      <c r="D35" s="156"/>
      <c r="E35" s="51"/>
      <c r="F35" s="51"/>
      <c r="G35" s="89"/>
      <c r="H35" s="89"/>
      <c r="I35" s="89"/>
    </row>
    <row r="36" spans="2:9">
      <c r="B36" s="154"/>
      <c r="C36" s="154"/>
      <c r="D36" s="156"/>
      <c r="E36" s="51"/>
      <c r="F36" s="51"/>
      <c r="G36" s="89"/>
      <c r="H36" s="89"/>
      <c r="I36" s="89"/>
    </row>
    <row r="37" spans="2:9">
      <c r="B37" s="154"/>
      <c r="C37" s="154"/>
      <c r="D37" s="156"/>
      <c r="E37" s="51"/>
      <c r="F37" s="51"/>
      <c r="G37" s="89"/>
      <c r="H37" s="89"/>
      <c r="I37" s="89"/>
    </row>
    <row r="38" spans="2:9">
      <c r="B38" s="154"/>
      <c r="C38" s="154"/>
      <c r="D38" s="156"/>
      <c r="E38" s="51"/>
      <c r="F38" s="51"/>
      <c r="G38" s="89"/>
      <c r="H38" s="89"/>
      <c r="I38" s="89"/>
    </row>
    <row r="39" spans="2:9">
      <c r="B39" s="154"/>
      <c r="C39" s="154"/>
      <c r="D39" s="156"/>
      <c r="E39" s="51"/>
      <c r="F39" s="51"/>
      <c r="G39" s="89"/>
      <c r="H39" s="89"/>
      <c r="I39" s="89"/>
    </row>
    <row r="40" spans="2:9">
      <c r="B40" s="154"/>
      <c r="C40" s="154"/>
      <c r="D40" s="156"/>
      <c r="E40" s="51"/>
      <c r="F40" s="51"/>
      <c r="G40" s="89"/>
      <c r="H40" s="89"/>
      <c r="I40" s="89"/>
    </row>
    <row r="41" spans="2:9">
      <c r="B41" s="154"/>
      <c r="C41" s="154"/>
      <c r="D41" s="156"/>
      <c r="E41" s="51"/>
      <c r="F41" s="51"/>
      <c r="G41" s="89"/>
      <c r="H41" s="89"/>
      <c r="I41" s="89"/>
    </row>
    <row r="42" spans="2:9">
      <c r="B42" s="154"/>
      <c r="C42" s="154"/>
      <c r="D42" s="156"/>
      <c r="E42" s="51"/>
      <c r="F42" s="51"/>
      <c r="G42" s="89"/>
      <c r="H42" s="89"/>
      <c r="I42" s="89"/>
    </row>
  </sheetData>
  <hyperlinks>
    <hyperlink ref="A5" location="Contents!A1" display="Return to Contents" xr:uid="{00000000-0004-0000-2700-000000000000}"/>
  </hyperlinks>
  <pageMargins left="0.25" right="0.25" top="0.75" bottom="0.75" header="0.3" footer="0.3"/>
  <pageSetup paperSize="9" scale="89" orientation="landscape"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B2DC76-F992-4A41-B2C5-A8A715F07BC9}">
  <sheetPr codeName="Sheet41">
    <tabColor rgb="FFDDE5F1"/>
    <pageSetUpPr fitToPage="1"/>
  </sheetPr>
  <dimension ref="A1:I41"/>
  <sheetViews>
    <sheetView zoomScaleNormal="100" workbookViewId="0"/>
  </sheetViews>
  <sheetFormatPr defaultColWidth="9.1796875" defaultRowHeight="15.5"/>
  <cols>
    <col min="1" max="1" width="70.453125" style="9" customWidth="1"/>
    <col min="2" max="3" width="15.7265625" style="65" customWidth="1"/>
    <col min="4" max="4" width="20.7265625" style="5" customWidth="1"/>
    <col min="5" max="5" width="9.1796875" style="9"/>
    <col min="6" max="6" width="9.1796875" style="9" customWidth="1"/>
    <col min="7" max="16384" width="9.1796875" style="9"/>
  </cols>
  <sheetData>
    <row r="1" spans="1:9" ht="30" customHeight="1">
      <c r="A1" s="72" t="s">
        <v>795</v>
      </c>
      <c r="B1" s="69"/>
    </row>
    <row r="2" spans="1:9" ht="20.149999999999999" customHeight="1">
      <c r="A2" s="7" t="s">
        <v>236</v>
      </c>
    </row>
    <row r="3" spans="1:9" ht="20.149999999999999" customHeight="1">
      <c r="A3" s="7" t="s">
        <v>321</v>
      </c>
    </row>
    <row r="4" spans="1:9" ht="20.149999999999999" customHeight="1">
      <c r="A4" s="9" t="s">
        <v>218</v>
      </c>
    </row>
    <row r="5" spans="1:9" ht="20.149999999999999" customHeight="1">
      <c r="A5" s="15" t="s">
        <v>62</v>
      </c>
    </row>
    <row r="6" spans="1:9" ht="10" customHeight="1">
      <c r="E6" s="7"/>
      <c r="F6" s="107"/>
      <c r="G6" s="113"/>
      <c r="H6" s="113"/>
      <c r="I6" s="113"/>
    </row>
    <row r="7" spans="1:9" ht="40" customHeight="1">
      <c r="A7" s="98" t="s">
        <v>134</v>
      </c>
      <c r="B7" s="96" t="s">
        <v>197</v>
      </c>
      <c r="C7" s="96" t="s">
        <v>36</v>
      </c>
      <c r="D7" s="99" t="s">
        <v>38</v>
      </c>
      <c r="E7" s="18"/>
      <c r="F7" s="106"/>
      <c r="G7" s="170"/>
      <c r="H7" s="170"/>
      <c r="I7" s="172"/>
    </row>
    <row r="8" spans="1:9" ht="20.149999999999999" customHeight="1">
      <c r="A8" s="9" t="s">
        <v>590</v>
      </c>
      <c r="B8" s="130">
        <v>2284.556</v>
      </c>
      <c r="C8" s="130">
        <v>1011.981</v>
      </c>
      <c r="D8" s="307">
        <v>3296.5369999999998</v>
      </c>
      <c r="E8" s="68"/>
      <c r="F8" s="332"/>
      <c r="G8" s="171"/>
      <c r="H8" s="171"/>
      <c r="I8" s="172"/>
    </row>
    <row r="9" spans="1:9" ht="20.149999999999999" customHeight="1">
      <c r="A9" s="95" t="s">
        <v>591</v>
      </c>
      <c r="B9" s="167">
        <v>390.18299999999999</v>
      </c>
      <c r="C9" s="167">
        <v>220.03</v>
      </c>
      <c r="D9" s="308">
        <v>610.21299999999997</v>
      </c>
      <c r="E9" s="312"/>
      <c r="F9" s="304"/>
      <c r="G9" s="313"/>
      <c r="H9" s="313"/>
      <c r="I9" s="314"/>
    </row>
    <row r="10" spans="1:9" ht="20.149999999999999" customHeight="1">
      <c r="A10" s="9" t="s">
        <v>592</v>
      </c>
      <c r="B10" s="130">
        <v>339.63200000000001</v>
      </c>
      <c r="C10" s="130">
        <v>48.021999999999998</v>
      </c>
      <c r="D10" s="307">
        <v>387.654</v>
      </c>
      <c r="E10" s="312"/>
      <c r="F10" s="304"/>
      <c r="G10" s="313"/>
      <c r="H10" s="313"/>
      <c r="I10" s="314"/>
    </row>
    <row r="11" spans="1:9" ht="20.149999999999999" customHeight="1">
      <c r="A11" s="95" t="s">
        <v>593</v>
      </c>
      <c r="B11" s="167">
        <v>251.46700000000001</v>
      </c>
      <c r="C11" s="167">
        <v>5.7610000000000001</v>
      </c>
      <c r="D11" s="308">
        <v>257.22800000000001</v>
      </c>
      <c r="E11" s="312"/>
      <c r="F11" s="304"/>
      <c r="G11" s="313"/>
      <c r="H11" s="313"/>
      <c r="I11" s="314"/>
    </row>
    <row r="12" spans="1:9" ht="20.149999999999999" customHeight="1">
      <c r="A12" s="9" t="s">
        <v>594</v>
      </c>
      <c r="B12" s="130">
        <v>76.278000000000006</v>
      </c>
      <c r="C12" s="130">
        <v>0</v>
      </c>
      <c r="D12" s="307">
        <v>76.278000000000006</v>
      </c>
      <c r="E12" s="312"/>
      <c r="F12" s="304"/>
      <c r="G12" s="313"/>
      <c r="H12" s="313"/>
      <c r="I12" s="314"/>
    </row>
    <row r="13" spans="1:9" ht="20.149999999999999" customHeight="1">
      <c r="A13" s="95" t="s">
        <v>81</v>
      </c>
      <c r="B13" s="167">
        <v>30.972000000000001</v>
      </c>
      <c r="C13" s="167">
        <v>0.52100000000000002</v>
      </c>
      <c r="D13" s="308">
        <v>31.492999999999999</v>
      </c>
      <c r="E13" s="312"/>
      <c r="F13" s="304"/>
      <c r="G13" s="313"/>
      <c r="H13" s="313"/>
      <c r="I13" s="314"/>
    </row>
    <row r="14" spans="1:9" ht="25" customHeight="1">
      <c r="A14" s="98" t="s">
        <v>66</v>
      </c>
      <c r="B14" s="126">
        <v>3373.0880000000002</v>
      </c>
      <c r="C14" s="126">
        <v>1286.3150000000001</v>
      </c>
      <c r="D14" s="126">
        <v>4659.4030000000002</v>
      </c>
      <c r="E14" s="312"/>
      <c r="F14" s="283"/>
      <c r="G14" s="314"/>
      <c r="H14" s="314"/>
      <c r="I14" s="314"/>
    </row>
    <row r="15" spans="1:9">
      <c r="A15" s="2"/>
      <c r="B15" s="154"/>
      <c r="C15" s="154"/>
      <c r="D15" s="51"/>
      <c r="E15" s="43"/>
      <c r="F15" s="51"/>
      <c r="G15" s="89"/>
      <c r="H15" s="89"/>
      <c r="I15" s="89"/>
    </row>
    <row r="16" spans="1:9">
      <c r="A16" s="19"/>
      <c r="B16" s="51"/>
      <c r="C16" s="51"/>
      <c r="D16" s="51"/>
      <c r="E16" s="51"/>
      <c r="F16" s="43"/>
      <c r="G16" s="89"/>
      <c r="H16" s="89"/>
      <c r="I16" s="315"/>
    </row>
    <row r="17" spans="1:9">
      <c r="B17" s="154"/>
      <c r="C17" s="154"/>
      <c r="D17" s="156"/>
      <c r="E17" s="51"/>
      <c r="F17" s="51"/>
      <c r="G17" s="89"/>
      <c r="H17" s="89"/>
      <c r="I17" s="89"/>
    </row>
    <row r="18" spans="1:9">
      <c r="B18" s="154"/>
      <c r="C18" s="154"/>
      <c r="D18" s="156"/>
      <c r="E18" s="51"/>
      <c r="F18" s="51"/>
      <c r="G18" s="89"/>
      <c r="H18" s="89"/>
      <c r="I18" s="89"/>
    </row>
    <row r="19" spans="1:9">
      <c r="A19" s="84"/>
      <c r="B19" s="316"/>
      <c r="C19" s="316"/>
      <c r="D19" s="156"/>
      <c r="E19" s="51"/>
      <c r="F19" s="51"/>
      <c r="G19" s="89"/>
      <c r="H19" s="89"/>
      <c r="I19" s="89"/>
    </row>
    <row r="20" spans="1:9">
      <c r="A20" s="84"/>
      <c r="B20" s="316"/>
      <c r="C20" s="316"/>
      <c r="D20" s="156"/>
      <c r="E20" s="51"/>
      <c r="F20" s="51"/>
      <c r="G20" s="89"/>
      <c r="H20" s="89"/>
      <c r="I20" s="89"/>
    </row>
    <row r="21" spans="1:9">
      <c r="A21" s="8"/>
      <c r="B21" s="154"/>
      <c r="C21" s="154"/>
      <c r="D21" s="156"/>
      <c r="E21" s="51"/>
      <c r="F21" s="51"/>
      <c r="G21" s="89"/>
      <c r="H21" s="89"/>
      <c r="I21" s="89"/>
    </row>
    <row r="22" spans="1:9">
      <c r="B22" s="154"/>
      <c r="C22" s="154"/>
      <c r="D22" s="156"/>
      <c r="E22" s="51"/>
      <c r="F22" s="51"/>
      <c r="G22" s="89"/>
      <c r="H22" s="89"/>
      <c r="I22" s="89"/>
    </row>
    <row r="23" spans="1:9">
      <c r="B23" s="154"/>
      <c r="C23" s="154"/>
      <c r="D23" s="156"/>
      <c r="E23" s="51"/>
      <c r="F23" s="51"/>
      <c r="G23" s="89"/>
      <c r="H23" s="89"/>
      <c r="I23" s="89"/>
    </row>
    <row r="24" spans="1:9">
      <c r="B24" s="154"/>
      <c r="C24" s="154"/>
      <c r="D24" s="156"/>
      <c r="E24" s="51"/>
      <c r="F24" s="51"/>
      <c r="G24" s="89"/>
      <c r="H24" s="89"/>
      <c r="I24" s="89"/>
    </row>
    <row r="25" spans="1:9">
      <c r="B25" s="154"/>
      <c r="C25" s="154"/>
      <c r="D25" s="156"/>
      <c r="E25" s="51"/>
      <c r="F25" s="51"/>
      <c r="G25" s="89"/>
      <c r="H25" s="89"/>
      <c r="I25" s="89"/>
    </row>
    <row r="26" spans="1:9">
      <c r="B26" s="154"/>
      <c r="C26" s="154"/>
      <c r="D26" s="156"/>
      <c r="E26" s="51"/>
      <c r="F26" s="51"/>
      <c r="G26" s="89"/>
      <c r="H26" s="89"/>
      <c r="I26" s="89"/>
    </row>
    <row r="27" spans="1:9">
      <c r="B27" s="154"/>
      <c r="C27" s="154"/>
      <c r="D27" s="156"/>
      <c r="E27" s="51"/>
      <c r="F27" s="51"/>
      <c r="G27" s="89"/>
      <c r="H27" s="89"/>
      <c r="I27" s="89"/>
    </row>
    <row r="28" spans="1:9">
      <c r="B28" s="154"/>
      <c r="C28" s="154"/>
      <c r="D28" s="156"/>
      <c r="E28" s="51"/>
      <c r="F28" s="51"/>
      <c r="G28" s="89"/>
      <c r="H28" s="89"/>
      <c r="I28" s="89"/>
    </row>
    <row r="29" spans="1:9">
      <c r="B29" s="154"/>
      <c r="C29" s="154"/>
      <c r="D29" s="156"/>
      <c r="E29" s="51"/>
      <c r="F29" s="51"/>
      <c r="G29" s="89"/>
      <c r="H29" s="89"/>
      <c r="I29" s="89"/>
    </row>
    <row r="30" spans="1:9">
      <c r="B30" s="154"/>
      <c r="C30" s="154"/>
      <c r="D30" s="156"/>
      <c r="E30" s="51"/>
      <c r="F30" s="51"/>
      <c r="G30" s="89"/>
      <c r="H30" s="89"/>
      <c r="I30" s="89"/>
    </row>
    <row r="31" spans="1:9">
      <c r="B31" s="154"/>
      <c r="C31" s="154"/>
      <c r="D31" s="156"/>
      <c r="E31" s="51"/>
      <c r="F31" s="51"/>
      <c r="G31" s="89"/>
      <c r="H31" s="89"/>
      <c r="I31" s="89"/>
    </row>
    <row r="32" spans="1:9">
      <c r="B32" s="154"/>
      <c r="C32" s="154"/>
      <c r="D32" s="156"/>
      <c r="E32" s="51"/>
      <c r="F32" s="51"/>
      <c r="G32" s="89"/>
      <c r="H32" s="89"/>
      <c r="I32" s="89"/>
    </row>
    <row r="33" spans="2:9">
      <c r="B33" s="154"/>
      <c r="C33" s="154"/>
      <c r="D33" s="156"/>
      <c r="E33" s="51"/>
      <c r="F33" s="51"/>
      <c r="G33" s="89"/>
      <c r="H33" s="89"/>
      <c r="I33" s="89"/>
    </row>
    <row r="34" spans="2:9">
      <c r="B34" s="154"/>
      <c r="C34" s="154"/>
      <c r="D34" s="156"/>
      <c r="E34" s="51"/>
      <c r="F34" s="51"/>
      <c r="G34" s="89"/>
      <c r="H34" s="89"/>
      <c r="I34" s="89"/>
    </row>
    <row r="35" spans="2:9">
      <c r="B35" s="154"/>
      <c r="C35" s="154"/>
      <c r="D35" s="156"/>
      <c r="E35" s="51"/>
      <c r="F35" s="51"/>
      <c r="G35" s="89"/>
      <c r="H35" s="89"/>
      <c r="I35" s="89"/>
    </row>
    <row r="36" spans="2:9">
      <c r="B36" s="154"/>
      <c r="C36" s="154"/>
      <c r="D36" s="156"/>
      <c r="E36" s="51"/>
      <c r="F36" s="51"/>
      <c r="G36" s="89"/>
      <c r="H36" s="89"/>
      <c r="I36" s="89"/>
    </row>
    <row r="37" spans="2:9">
      <c r="B37" s="154"/>
      <c r="C37" s="154"/>
      <c r="D37" s="156"/>
      <c r="E37" s="51"/>
      <c r="F37" s="51"/>
      <c r="G37" s="89"/>
      <c r="H37" s="89"/>
      <c r="I37" s="89"/>
    </row>
    <row r="38" spans="2:9">
      <c r="B38" s="154"/>
      <c r="C38" s="154"/>
      <c r="D38" s="156"/>
      <c r="E38" s="51"/>
      <c r="F38" s="51"/>
      <c r="G38" s="89"/>
      <c r="H38" s="89"/>
      <c r="I38" s="89"/>
    </row>
    <row r="39" spans="2:9">
      <c r="B39" s="154"/>
      <c r="C39" s="154"/>
      <c r="D39" s="156"/>
      <c r="E39" s="51"/>
      <c r="F39" s="51"/>
      <c r="G39" s="89"/>
      <c r="H39" s="89"/>
      <c r="I39" s="89"/>
    </row>
    <row r="40" spans="2:9">
      <c r="B40" s="154"/>
      <c r="C40" s="154"/>
      <c r="D40" s="156"/>
      <c r="E40" s="51"/>
      <c r="F40" s="51"/>
      <c r="G40" s="89"/>
      <c r="H40" s="89"/>
      <c r="I40" s="89"/>
    </row>
    <row r="41" spans="2:9">
      <c r="B41" s="154"/>
      <c r="C41" s="154"/>
      <c r="D41" s="156"/>
      <c r="E41" s="51"/>
      <c r="F41" s="51"/>
      <c r="G41" s="89"/>
      <c r="H41" s="89"/>
      <c r="I41" s="89"/>
    </row>
  </sheetData>
  <hyperlinks>
    <hyperlink ref="A5" location="Contents!A1" display="Return to Contents" xr:uid="{3617EBF8-BFA1-4BCC-89C8-307DC1F194F5}"/>
  </hyperlinks>
  <pageMargins left="0.25" right="0.25" top="0.75" bottom="0.75" header="0.3" footer="0.3"/>
  <pageSetup paperSize="9" scale="85" orientation="landscape"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E9105-940F-4D3C-B56F-01325AA5FADD}">
  <sheetPr codeName="Sheet42">
    <tabColor rgb="FFDDE5F1"/>
    <pageSetUpPr fitToPage="1"/>
  </sheetPr>
  <dimension ref="A1:O43"/>
  <sheetViews>
    <sheetView zoomScaleNormal="100" workbookViewId="0"/>
  </sheetViews>
  <sheetFormatPr defaultColWidth="9.1796875" defaultRowHeight="15.5"/>
  <cols>
    <col min="1" max="1" width="69.26953125" style="9" customWidth="1"/>
    <col min="2" max="6" width="14.7265625" style="5" customWidth="1"/>
    <col min="7" max="7" width="9.1796875" style="9"/>
    <col min="8" max="8" width="9.1796875" style="9" customWidth="1"/>
    <col min="9" max="9" width="9.81640625" style="9" bestFit="1" customWidth="1"/>
    <col min="10" max="11" width="9.1796875" style="9"/>
    <col min="12" max="12" width="9.1796875" style="9" customWidth="1"/>
    <col min="13" max="13" width="9.1796875" style="9"/>
    <col min="14" max="14" width="9.1796875" style="248"/>
    <col min="15" max="16384" width="9.1796875" style="9"/>
  </cols>
  <sheetData>
    <row r="1" spans="1:15" ht="30" customHeight="1">
      <c r="A1" s="22" t="s">
        <v>813</v>
      </c>
      <c r="B1" s="36"/>
      <c r="C1" s="36"/>
      <c r="D1" s="36"/>
    </row>
    <row r="2" spans="1:15" ht="20.149999999999999" customHeight="1">
      <c r="A2" s="7" t="s">
        <v>214</v>
      </c>
      <c r="B2" s="36"/>
      <c r="C2" s="36"/>
      <c r="D2" s="36"/>
    </row>
    <row r="3" spans="1:15" ht="20.149999999999999" customHeight="1">
      <c r="A3" s="7" t="s">
        <v>323</v>
      </c>
      <c r="B3" s="65"/>
      <c r="C3" s="65"/>
      <c r="E3" s="9"/>
      <c r="F3" s="9"/>
    </row>
    <row r="4" spans="1:15" ht="20.149999999999999" customHeight="1">
      <c r="A4" s="9" t="s">
        <v>647</v>
      </c>
      <c r="B4" s="9"/>
      <c r="C4" s="36"/>
      <c r="D4" s="36"/>
    </row>
    <row r="5" spans="1:15" ht="20.149999999999999" customHeight="1">
      <c r="A5" s="15" t="s">
        <v>62</v>
      </c>
    </row>
    <row r="6" spans="1:15" ht="10" customHeight="1">
      <c r="F6" s="28"/>
      <c r="G6" s="7"/>
      <c r="H6" s="7"/>
    </row>
    <row r="7" spans="1:15" ht="25" customHeight="1">
      <c r="A7" s="98" t="s">
        <v>134</v>
      </c>
      <c r="B7" s="99" t="s">
        <v>188</v>
      </c>
      <c r="C7" s="99" t="s">
        <v>424</v>
      </c>
      <c r="D7" s="99" t="s">
        <v>600</v>
      </c>
      <c r="E7" s="99" t="s">
        <v>636</v>
      </c>
      <c r="F7" s="99" t="s">
        <v>838</v>
      </c>
      <c r="G7" s="18"/>
      <c r="H7" s="106"/>
      <c r="I7" s="170"/>
      <c r="J7" s="170"/>
      <c r="K7" s="170"/>
      <c r="L7" s="170"/>
      <c r="M7" s="170"/>
      <c r="N7" s="170"/>
      <c r="O7" s="170"/>
    </row>
    <row r="8" spans="1:15" ht="20.149999999999999" customHeight="1">
      <c r="A8" s="9" t="s">
        <v>612</v>
      </c>
      <c r="B8" s="130">
        <v>65.838667999999998</v>
      </c>
      <c r="C8" s="130">
        <v>150.584</v>
      </c>
      <c r="D8" s="130">
        <v>207.279</v>
      </c>
      <c r="E8" s="130">
        <v>179.83699999999999</v>
      </c>
      <c r="F8" s="130">
        <v>610.21299999999997</v>
      </c>
      <c r="G8" s="21"/>
      <c r="H8" s="182"/>
      <c r="I8" s="434"/>
      <c r="J8" s="285"/>
      <c r="K8" s="171"/>
      <c r="L8" s="171"/>
      <c r="M8" s="171"/>
      <c r="N8" s="171"/>
      <c r="O8" s="172"/>
    </row>
    <row r="9" spans="1:15" ht="20.149999999999999" customHeight="1">
      <c r="A9" s="95" t="s">
        <v>613</v>
      </c>
      <c r="B9" s="167">
        <v>2012.733332</v>
      </c>
      <c r="C9" s="167">
        <v>2622.9659999999999</v>
      </c>
      <c r="D9" s="167">
        <v>2959.09</v>
      </c>
      <c r="E9" s="167">
        <v>2912.0129999999999</v>
      </c>
      <c r="F9" s="167">
        <v>3296.5369999999998</v>
      </c>
      <c r="G9" s="68"/>
      <c r="H9" s="182"/>
      <c r="I9" s="434"/>
      <c r="J9" s="285"/>
      <c r="K9" s="171"/>
      <c r="L9" s="171"/>
      <c r="M9" s="171"/>
      <c r="N9" s="171"/>
      <c r="O9" s="172"/>
    </row>
    <row r="10" spans="1:15" ht="20.149999999999999" customHeight="1">
      <c r="A10" s="9" t="s">
        <v>614</v>
      </c>
      <c r="B10" s="130">
        <v>232.39099999999999</v>
      </c>
      <c r="C10" s="130">
        <v>221.98500000000001</v>
      </c>
      <c r="D10" s="130">
        <v>292.64499999999998</v>
      </c>
      <c r="E10" s="130">
        <v>245.572</v>
      </c>
      <c r="F10" s="130">
        <v>387.654</v>
      </c>
      <c r="G10" s="89"/>
      <c r="H10" s="182"/>
      <c r="I10" s="434"/>
      <c r="J10" s="285"/>
      <c r="K10" s="171"/>
      <c r="L10" s="171"/>
      <c r="M10" s="171"/>
      <c r="N10" s="171"/>
      <c r="O10" s="172"/>
    </row>
    <row r="11" spans="1:15" ht="20.149999999999999" customHeight="1">
      <c r="A11" s="95" t="s">
        <v>175</v>
      </c>
      <c r="B11" s="167">
        <v>19.876000000000001</v>
      </c>
      <c r="C11" s="167">
        <v>29.890999999999998</v>
      </c>
      <c r="D11" s="167">
        <v>3.907</v>
      </c>
      <c r="E11" s="167">
        <v>23.663</v>
      </c>
      <c r="F11" s="167">
        <v>31.492999999999999</v>
      </c>
      <c r="G11" s="89"/>
      <c r="H11" s="182"/>
      <c r="I11" s="434"/>
      <c r="J11" s="285"/>
      <c r="K11" s="171"/>
      <c r="L11" s="171"/>
      <c r="M11" s="171"/>
      <c r="N11" s="171"/>
      <c r="O11" s="172"/>
    </row>
    <row r="12" spans="1:15" ht="20.149999999999999" customHeight="1">
      <c r="A12" s="9" t="s">
        <v>591</v>
      </c>
      <c r="B12" s="130">
        <v>239.65700000000001</v>
      </c>
      <c r="C12" s="130">
        <v>286.322</v>
      </c>
      <c r="D12" s="130">
        <v>283.92899999999997</v>
      </c>
      <c r="E12" s="130">
        <v>288.66199999999998</v>
      </c>
      <c r="F12" s="130">
        <v>257.22800000000001</v>
      </c>
      <c r="G12" s="89"/>
      <c r="H12" s="182"/>
      <c r="I12" s="434"/>
      <c r="J12" s="285"/>
      <c r="K12" s="171"/>
      <c r="L12" s="171"/>
      <c r="M12" s="171"/>
      <c r="N12" s="171"/>
      <c r="O12" s="172"/>
    </row>
    <row r="13" spans="1:15" ht="20.149999999999999" customHeight="1">
      <c r="A13" s="95" t="s">
        <v>694</v>
      </c>
      <c r="B13" s="167">
        <v>14.15</v>
      </c>
      <c r="C13" s="167">
        <v>25.571999999999999</v>
      </c>
      <c r="D13" s="167">
        <v>19.838000000000001</v>
      </c>
      <c r="E13" s="167">
        <v>19.518000000000001</v>
      </c>
      <c r="F13" s="167">
        <v>21.738</v>
      </c>
      <c r="G13" s="89"/>
      <c r="H13" s="182"/>
      <c r="I13" s="434"/>
      <c r="J13" s="285"/>
      <c r="K13" s="171"/>
      <c r="L13" s="171"/>
      <c r="M13" s="171"/>
      <c r="N13" s="171"/>
      <c r="O13" s="172"/>
    </row>
    <row r="14" spans="1:15" ht="20.149999999999999" customHeight="1">
      <c r="A14" s="9" t="s">
        <v>695</v>
      </c>
      <c r="B14" s="130">
        <v>19.312999999999999</v>
      </c>
      <c r="C14" s="130">
        <v>4.1680000000000001</v>
      </c>
      <c r="D14" s="130">
        <v>18.399999999999999</v>
      </c>
      <c r="E14" s="130">
        <v>8.5739999999999998</v>
      </c>
      <c r="F14" s="130">
        <v>54.54</v>
      </c>
      <c r="G14" s="89"/>
      <c r="H14" s="182"/>
      <c r="I14" s="434"/>
      <c r="J14" s="285"/>
      <c r="K14" s="171"/>
      <c r="L14" s="171"/>
      <c r="M14" s="171"/>
      <c r="N14" s="171"/>
      <c r="O14" s="172"/>
    </row>
    <row r="15" spans="1:15" ht="25" customHeight="1">
      <c r="A15" s="98" t="s">
        <v>66</v>
      </c>
      <c r="B15" s="126">
        <v>2603.9589999999998</v>
      </c>
      <c r="C15" s="126">
        <v>3341.4879999999998</v>
      </c>
      <c r="D15" s="126">
        <v>3785.0880000000002</v>
      </c>
      <c r="E15" s="126">
        <v>3677.8389999999999</v>
      </c>
      <c r="F15" s="126">
        <v>4659.4030000000002</v>
      </c>
      <c r="G15" s="89"/>
      <c r="H15" s="182"/>
      <c r="I15" s="434"/>
      <c r="J15" s="285"/>
      <c r="K15" s="172"/>
      <c r="L15" s="172"/>
      <c r="M15" s="172"/>
      <c r="N15" s="172"/>
      <c r="O15" s="172"/>
    </row>
    <row r="16" spans="1:15">
      <c r="B16" s="305"/>
      <c r="C16" s="305"/>
      <c r="D16" s="305"/>
      <c r="E16" s="305"/>
      <c r="F16" s="305"/>
      <c r="G16" s="89"/>
      <c r="H16" s="89"/>
      <c r="I16" s="89"/>
    </row>
    <row r="17" spans="2:9">
      <c r="B17" s="306"/>
      <c r="C17" s="306"/>
      <c r="D17" s="306"/>
      <c r="E17" s="306"/>
      <c r="F17" s="306"/>
      <c r="G17" s="89"/>
      <c r="H17" s="89"/>
      <c r="I17" s="89"/>
    </row>
    <row r="18" spans="2:9">
      <c r="B18" s="156"/>
      <c r="C18" s="156"/>
      <c r="D18" s="156"/>
      <c r="E18" s="156"/>
      <c r="F18" s="67"/>
      <c r="G18" s="89"/>
      <c r="H18" s="89"/>
      <c r="I18" s="89"/>
    </row>
    <row r="19" spans="2:9">
      <c r="B19" s="156"/>
      <c r="C19" s="156"/>
      <c r="D19" s="156"/>
      <c r="E19" s="156"/>
      <c r="F19" s="156"/>
      <c r="G19" s="89"/>
      <c r="H19" s="89"/>
      <c r="I19" s="89"/>
    </row>
    <row r="20" spans="2:9">
      <c r="B20" s="156"/>
      <c r="C20" s="156"/>
      <c r="D20" s="156"/>
      <c r="E20" s="156"/>
      <c r="F20" s="156"/>
      <c r="G20" s="89"/>
      <c r="H20" s="89"/>
      <c r="I20" s="89"/>
    </row>
    <row r="21" spans="2:9">
      <c r="B21" s="156"/>
      <c r="C21" s="156"/>
      <c r="D21" s="156"/>
      <c r="E21" s="156"/>
      <c r="F21" s="156"/>
      <c r="G21" s="89"/>
      <c r="H21" s="89"/>
      <c r="I21" s="89"/>
    </row>
    <row r="22" spans="2:9">
      <c r="B22" s="156"/>
      <c r="C22" s="156"/>
      <c r="D22" s="156"/>
      <c r="E22" s="156"/>
      <c r="F22" s="156"/>
      <c r="G22" s="89"/>
      <c r="H22" s="89"/>
      <c r="I22" s="89"/>
    </row>
    <row r="23" spans="2:9">
      <c r="B23" s="156"/>
      <c r="C23" s="156"/>
      <c r="D23" s="156"/>
      <c r="E23" s="156"/>
      <c r="F23" s="156"/>
      <c r="G23" s="89"/>
      <c r="H23" s="89"/>
      <c r="I23" s="89"/>
    </row>
    <row r="24" spans="2:9">
      <c r="B24" s="156"/>
      <c r="C24" s="156"/>
      <c r="D24" s="156"/>
      <c r="E24" s="156"/>
      <c r="F24" s="156"/>
      <c r="G24" s="89"/>
      <c r="H24" s="89"/>
      <c r="I24" s="89"/>
    </row>
    <row r="25" spans="2:9">
      <c r="B25" s="156"/>
      <c r="C25" s="156"/>
      <c r="D25" s="156"/>
      <c r="E25" s="156"/>
      <c r="F25" s="156"/>
      <c r="G25" s="89"/>
      <c r="H25" s="89"/>
      <c r="I25" s="89"/>
    </row>
    <row r="26" spans="2:9">
      <c r="B26" s="156"/>
      <c r="C26" s="156"/>
      <c r="D26" s="156"/>
      <c r="E26" s="156"/>
      <c r="F26" s="156"/>
      <c r="G26" s="89"/>
      <c r="H26" s="89"/>
      <c r="I26" s="89"/>
    </row>
    <row r="27" spans="2:9">
      <c r="B27" s="156"/>
      <c r="C27" s="156"/>
      <c r="D27" s="156"/>
      <c r="E27" s="156"/>
      <c r="F27" s="156"/>
      <c r="G27" s="89"/>
      <c r="H27" s="89"/>
      <c r="I27" s="89"/>
    </row>
    <row r="28" spans="2:9">
      <c r="B28" s="156"/>
      <c r="C28" s="156"/>
      <c r="D28" s="156"/>
      <c r="E28" s="156"/>
      <c r="F28" s="156"/>
      <c r="G28" s="89"/>
      <c r="H28" s="89"/>
      <c r="I28" s="89"/>
    </row>
    <row r="29" spans="2:9">
      <c r="B29" s="156"/>
      <c r="C29" s="156"/>
      <c r="D29" s="156"/>
      <c r="E29" s="156"/>
      <c r="F29" s="156"/>
      <c r="G29" s="89"/>
      <c r="H29" s="89"/>
      <c r="I29" s="89"/>
    </row>
    <row r="30" spans="2:9">
      <c r="B30" s="156"/>
      <c r="C30" s="156"/>
      <c r="D30" s="156"/>
      <c r="E30" s="156"/>
      <c r="F30" s="156"/>
      <c r="G30" s="89"/>
      <c r="H30" s="89"/>
      <c r="I30" s="89"/>
    </row>
    <row r="31" spans="2:9">
      <c r="B31" s="156"/>
      <c r="C31" s="156"/>
      <c r="D31" s="156"/>
      <c r="E31" s="156"/>
      <c r="F31" s="156"/>
      <c r="G31" s="89"/>
      <c r="H31" s="89"/>
      <c r="I31" s="89"/>
    </row>
    <row r="32" spans="2:9">
      <c r="B32" s="156"/>
      <c r="C32" s="156"/>
      <c r="D32" s="156"/>
      <c r="E32" s="156"/>
      <c r="F32" s="156"/>
      <c r="G32" s="89"/>
      <c r="H32" s="89"/>
      <c r="I32" s="89"/>
    </row>
    <row r="33" spans="2:9">
      <c r="B33" s="156"/>
      <c r="C33" s="156"/>
      <c r="D33" s="156"/>
      <c r="E33" s="156"/>
      <c r="F33" s="156"/>
      <c r="G33" s="89"/>
      <c r="H33" s="89"/>
      <c r="I33" s="89"/>
    </row>
    <row r="34" spans="2:9">
      <c r="B34" s="156"/>
      <c r="C34" s="156"/>
      <c r="D34" s="156"/>
      <c r="E34" s="156"/>
      <c r="F34" s="156"/>
      <c r="G34" s="89"/>
      <c r="H34" s="89"/>
      <c r="I34" s="89"/>
    </row>
    <row r="35" spans="2:9">
      <c r="B35" s="156"/>
      <c r="C35" s="156"/>
      <c r="D35" s="156"/>
      <c r="E35" s="156"/>
      <c r="F35" s="156"/>
      <c r="G35" s="89"/>
      <c r="H35" s="89"/>
      <c r="I35" s="89"/>
    </row>
    <row r="36" spans="2:9">
      <c r="B36" s="156"/>
      <c r="C36" s="156"/>
      <c r="D36" s="156"/>
      <c r="E36" s="156"/>
      <c r="F36" s="156"/>
      <c r="G36" s="89"/>
      <c r="H36" s="89"/>
      <c r="I36" s="89"/>
    </row>
    <row r="37" spans="2:9">
      <c r="B37" s="156"/>
      <c r="C37" s="156"/>
      <c r="D37" s="156"/>
      <c r="E37" s="156"/>
      <c r="F37" s="156"/>
      <c r="G37" s="89"/>
      <c r="H37" s="89"/>
      <c r="I37" s="89"/>
    </row>
    <row r="38" spans="2:9">
      <c r="B38" s="156"/>
      <c r="C38" s="156"/>
      <c r="D38" s="156"/>
      <c r="E38" s="156"/>
      <c r="F38" s="156"/>
      <c r="G38" s="89"/>
      <c r="H38" s="89"/>
      <c r="I38" s="89"/>
    </row>
    <row r="39" spans="2:9">
      <c r="B39" s="156"/>
      <c r="C39" s="156"/>
      <c r="D39" s="156"/>
      <c r="E39" s="156"/>
      <c r="F39" s="156"/>
      <c r="G39" s="89"/>
      <c r="H39" s="89"/>
      <c r="I39" s="89"/>
    </row>
    <row r="40" spans="2:9">
      <c r="B40" s="156"/>
      <c r="C40" s="156"/>
      <c r="D40" s="156"/>
      <c r="E40" s="156"/>
      <c r="F40" s="156"/>
      <c r="G40" s="89"/>
      <c r="H40" s="89"/>
      <c r="I40" s="89"/>
    </row>
    <row r="41" spans="2:9">
      <c r="B41" s="156"/>
      <c r="C41" s="156"/>
      <c r="D41" s="156"/>
      <c r="E41" s="156"/>
      <c r="F41" s="156"/>
      <c r="G41" s="89"/>
      <c r="H41" s="89"/>
      <c r="I41" s="89"/>
    </row>
    <row r="42" spans="2:9">
      <c r="B42" s="156"/>
      <c r="C42" s="156"/>
      <c r="D42" s="156"/>
      <c r="E42" s="156"/>
      <c r="F42" s="156"/>
      <c r="G42" s="89"/>
      <c r="H42" s="89"/>
      <c r="I42" s="89"/>
    </row>
    <row r="43" spans="2:9">
      <c r="B43" s="156"/>
      <c r="C43" s="156"/>
      <c r="D43" s="156"/>
      <c r="E43" s="156"/>
      <c r="F43" s="156"/>
      <c r="G43" s="89"/>
      <c r="H43" s="89"/>
      <c r="I43" s="89"/>
    </row>
  </sheetData>
  <hyperlinks>
    <hyperlink ref="A5" location="Contents!A1" display="Return to Contents" xr:uid="{B5830B1F-4A60-4805-A9C9-A1001D3B91C9}"/>
  </hyperlinks>
  <pageMargins left="0.25" right="0.25" top="0.75" bottom="0.75" header="0.3" footer="0.3"/>
  <pageSetup paperSize="9" scale="67" orientation="landscape"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40997-83D7-4D13-BEA9-5CD9B3E02F6C}">
  <sheetPr codeName="Sheet43">
    <tabColor rgb="FFDDE5F1"/>
    <pageSetUpPr fitToPage="1"/>
  </sheetPr>
  <dimension ref="A1:I41"/>
  <sheetViews>
    <sheetView zoomScaleNormal="100" workbookViewId="0"/>
  </sheetViews>
  <sheetFormatPr defaultColWidth="9.1796875" defaultRowHeight="15.5"/>
  <cols>
    <col min="1" max="1" width="38.81640625" style="9" customWidth="1"/>
    <col min="2" max="2" width="13.453125" style="5" customWidth="1"/>
    <col min="3" max="5" width="9.1796875" style="9" customWidth="1"/>
    <col min="6" max="16384" width="9.1796875" style="9"/>
  </cols>
  <sheetData>
    <row r="1" spans="1:9" ht="30" customHeight="1">
      <c r="A1" s="72" t="s">
        <v>796</v>
      </c>
      <c r="B1" s="6"/>
      <c r="C1" s="7"/>
    </row>
    <row r="2" spans="1:9" ht="20.149999999999999" customHeight="1">
      <c r="A2" s="7" t="s">
        <v>596</v>
      </c>
      <c r="B2" s="6"/>
      <c r="C2" s="7"/>
    </row>
    <row r="3" spans="1:9" ht="20.149999999999999" customHeight="1">
      <c r="A3" s="9" t="s">
        <v>218</v>
      </c>
      <c r="B3" s="6"/>
      <c r="C3" s="7"/>
    </row>
    <row r="4" spans="1:9" ht="20.149999999999999" customHeight="1">
      <c r="A4" s="15" t="s">
        <v>62</v>
      </c>
    </row>
    <row r="5" spans="1:9" ht="10" customHeight="1">
      <c r="B5" s="28"/>
      <c r="C5" s="7"/>
      <c r="D5" s="7"/>
    </row>
    <row r="6" spans="1:9" ht="25" customHeight="1">
      <c r="A6" s="98" t="s">
        <v>615</v>
      </c>
      <c r="B6" s="99" t="s">
        <v>838</v>
      </c>
      <c r="C6" s="18"/>
      <c r="D6" s="106"/>
      <c r="E6" s="170"/>
    </row>
    <row r="7" spans="1:9" ht="20.149999999999999" customHeight="1">
      <c r="A7" s="9" t="s">
        <v>36</v>
      </c>
      <c r="B7" s="130">
        <v>1286.3150000000001</v>
      </c>
      <c r="C7" s="68"/>
      <c r="D7" s="107"/>
      <c r="E7" s="171"/>
    </row>
    <row r="8" spans="1:9" ht="20.149999999999999" customHeight="1">
      <c r="A8" s="95" t="s">
        <v>35</v>
      </c>
      <c r="B8" s="167">
        <v>1168.739</v>
      </c>
      <c r="C8" s="68"/>
      <c r="D8" s="107"/>
      <c r="E8" s="171"/>
    </row>
    <row r="9" spans="1:9" ht="20.149999999999999" customHeight="1">
      <c r="A9" s="7" t="s">
        <v>43</v>
      </c>
      <c r="B9" s="130">
        <v>624.44399999999996</v>
      </c>
      <c r="C9" s="312"/>
      <c r="D9" s="304"/>
      <c r="E9" s="275"/>
      <c r="F9" s="51"/>
      <c r="G9" s="89"/>
      <c r="H9" s="89"/>
      <c r="I9" s="89"/>
    </row>
    <row r="10" spans="1:9" ht="20.149999999999999" customHeight="1">
      <c r="A10" s="101" t="s">
        <v>59</v>
      </c>
      <c r="B10" s="167">
        <v>621.90499999999997</v>
      </c>
      <c r="C10" s="312"/>
      <c r="D10" s="304"/>
      <c r="E10" s="275"/>
      <c r="F10" s="51"/>
      <c r="G10" s="89"/>
      <c r="H10" s="89"/>
      <c r="I10" s="89"/>
    </row>
    <row r="11" spans="1:9" ht="20.149999999999999" customHeight="1">
      <c r="A11" s="7" t="s">
        <v>196</v>
      </c>
      <c r="B11" s="130">
        <v>321.69400000000002</v>
      </c>
      <c r="C11" s="312"/>
      <c r="D11" s="304"/>
      <c r="E11" s="275"/>
      <c r="F11" s="51"/>
      <c r="G11" s="89"/>
      <c r="H11" s="89"/>
      <c r="I11" s="89"/>
    </row>
    <row r="12" spans="1:9" ht="20.149999999999999" customHeight="1">
      <c r="A12" s="101" t="s">
        <v>47</v>
      </c>
      <c r="B12" s="167">
        <v>244.82499999999999</v>
      </c>
      <c r="C12" s="312"/>
      <c r="D12" s="304"/>
      <c r="E12" s="275"/>
      <c r="F12" s="51"/>
      <c r="G12" s="89"/>
      <c r="H12" s="89"/>
      <c r="I12" s="89"/>
    </row>
    <row r="13" spans="1:9" ht="20.149999999999999" customHeight="1">
      <c r="A13" s="7" t="s">
        <v>176</v>
      </c>
      <c r="B13" s="130">
        <v>232.767</v>
      </c>
      <c r="C13" s="312"/>
      <c r="D13" s="304"/>
      <c r="E13" s="275"/>
      <c r="F13" s="51"/>
      <c r="G13" s="89"/>
      <c r="H13" s="89"/>
      <c r="I13" s="89"/>
    </row>
    <row r="14" spans="1:9" ht="20.149999999999999" customHeight="1" thickBot="1">
      <c r="A14" s="164" t="s">
        <v>45</v>
      </c>
      <c r="B14" s="321">
        <v>158.714</v>
      </c>
      <c r="C14" s="312"/>
      <c r="D14" s="304"/>
      <c r="E14" s="275"/>
      <c r="F14" s="51"/>
      <c r="G14" s="89"/>
      <c r="H14" s="89"/>
      <c r="I14" s="89"/>
    </row>
    <row r="15" spans="1:9">
      <c r="B15" s="43"/>
      <c r="C15" s="43"/>
      <c r="D15" s="283"/>
      <c r="E15" s="267"/>
      <c r="F15" s="51"/>
      <c r="G15" s="89"/>
      <c r="H15" s="89"/>
      <c r="I15" s="89"/>
    </row>
    <row r="16" spans="1:9">
      <c r="B16" s="156"/>
      <c r="C16" s="51"/>
      <c r="D16" s="51"/>
      <c r="E16" s="51"/>
      <c r="F16" s="51"/>
      <c r="G16" s="89"/>
      <c r="H16" s="89"/>
      <c r="I16" s="89"/>
    </row>
    <row r="17" spans="2:9">
      <c r="B17" s="156"/>
      <c r="C17" s="51"/>
      <c r="D17" s="51"/>
      <c r="E17" s="51"/>
      <c r="F17" s="51"/>
      <c r="G17" s="89"/>
      <c r="H17" s="89"/>
      <c r="I17" s="89"/>
    </row>
    <row r="18" spans="2:9">
      <c r="B18" s="156"/>
      <c r="C18" s="51"/>
      <c r="D18" s="51"/>
      <c r="E18" s="51"/>
      <c r="F18" s="51"/>
      <c r="G18" s="89"/>
      <c r="H18" s="89"/>
      <c r="I18" s="89"/>
    </row>
    <row r="19" spans="2:9">
      <c r="B19" s="156"/>
      <c r="C19" s="51"/>
      <c r="D19" s="51"/>
      <c r="E19" s="51"/>
      <c r="F19" s="51"/>
      <c r="G19" s="89"/>
      <c r="H19" s="89"/>
      <c r="I19" s="89"/>
    </row>
    <row r="20" spans="2:9">
      <c r="B20" s="156"/>
      <c r="C20" s="51"/>
      <c r="D20" s="51"/>
      <c r="E20" s="51"/>
      <c r="F20" s="51"/>
      <c r="G20" s="89"/>
      <c r="H20" s="89"/>
      <c r="I20" s="89"/>
    </row>
    <row r="21" spans="2:9">
      <c r="B21" s="156"/>
      <c r="C21" s="51"/>
      <c r="D21" s="51"/>
      <c r="E21" s="51"/>
      <c r="F21" s="51"/>
      <c r="G21" s="89"/>
      <c r="H21" s="89"/>
      <c r="I21" s="89"/>
    </row>
    <row r="22" spans="2:9">
      <c r="B22" s="156"/>
      <c r="C22" s="51"/>
      <c r="D22" s="51"/>
      <c r="E22" s="51"/>
      <c r="F22" s="51"/>
      <c r="G22" s="89"/>
      <c r="H22" s="89"/>
      <c r="I22" s="89"/>
    </row>
    <row r="23" spans="2:9">
      <c r="B23" s="156"/>
      <c r="C23" s="51"/>
      <c r="D23" s="51"/>
      <c r="E23" s="51"/>
      <c r="F23" s="51"/>
      <c r="G23" s="89"/>
      <c r="H23" s="89"/>
      <c r="I23" s="89"/>
    </row>
    <row r="24" spans="2:9">
      <c r="B24" s="156"/>
      <c r="C24" s="51"/>
      <c r="D24" s="51"/>
      <c r="E24" s="51"/>
      <c r="F24" s="51"/>
      <c r="G24" s="89"/>
      <c r="H24" s="89"/>
      <c r="I24" s="89"/>
    </row>
    <row r="25" spans="2:9">
      <c r="B25" s="156"/>
      <c r="C25" s="51"/>
      <c r="D25" s="51"/>
      <c r="E25" s="51"/>
      <c r="F25" s="51"/>
      <c r="G25" s="89"/>
      <c r="H25" s="89"/>
      <c r="I25" s="89"/>
    </row>
    <row r="26" spans="2:9">
      <c r="B26" s="156"/>
      <c r="C26" s="51"/>
      <c r="D26" s="51"/>
      <c r="E26" s="51"/>
      <c r="F26" s="51"/>
      <c r="G26" s="89"/>
      <c r="H26" s="89"/>
      <c r="I26" s="89"/>
    </row>
    <row r="27" spans="2:9">
      <c r="B27" s="156"/>
      <c r="C27" s="51"/>
      <c r="D27" s="51"/>
      <c r="E27" s="51"/>
      <c r="F27" s="51"/>
      <c r="G27" s="89"/>
      <c r="H27" s="89"/>
      <c r="I27" s="89"/>
    </row>
    <row r="28" spans="2:9">
      <c r="B28" s="156"/>
      <c r="C28" s="51"/>
      <c r="D28" s="51"/>
      <c r="E28" s="51"/>
      <c r="F28" s="51"/>
      <c r="G28" s="89"/>
      <c r="H28" s="89"/>
      <c r="I28" s="89"/>
    </row>
    <row r="29" spans="2:9">
      <c r="B29" s="156"/>
      <c r="C29" s="51"/>
      <c r="D29" s="51"/>
      <c r="E29" s="51"/>
      <c r="F29" s="51"/>
      <c r="G29" s="89"/>
      <c r="H29" s="89"/>
      <c r="I29" s="89"/>
    </row>
    <row r="30" spans="2:9">
      <c r="B30" s="156"/>
      <c r="C30" s="51"/>
      <c r="D30" s="51"/>
      <c r="E30" s="51"/>
      <c r="F30" s="51"/>
      <c r="G30" s="89"/>
      <c r="H30" s="89"/>
      <c r="I30" s="89"/>
    </row>
    <row r="31" spans="2:9">
      <c r="B31" s="156"/>
      <c r="C31" s="51"/>
      <c r="D31" s="51"/>
      <c r="E31" s="51"/>
      <c r="F31" s="51"/>
      <c r="G31" s="89"/>
      <c r="H31" s="89"/>
      <c r="I31" s="89"/>
    </row>
    <row r="32" spans="2:9">
      <c r="B32" s="156"/>
      <c r="C32" s="51"/>
      <c r="D32" s="51"/>
      <c r="E32" s="51"/>
      <c r="F32" s="51"/>
      <c r="G32" s="89"/>
      <c r="H32" s="89"/>
      <c r="I32" s="89"/>
    </row>
    <row r="33" spans="2:9">
      <c r="B33" s="156"/>
      <c r="C33" s="51"/>
      <c r="D33" s="51"/>
      <c r="E33" s="51"/>
      <c r="F33" s="51"/>
      <c r="G33" s="89"/>
      <c r="H33" s="89"/>
      <c r="I33" s="89"/>
    </row>
    <row r="34" spans="2:9">
      <c r="B34" s="156"/>
      <c r="C34" s="51"/>
      <c r="D34" s="51"/>
      <c r="E34" s="51"/>
      <c r="F34" s="51"/>
      <c r="G34" s="89"/>
      <c r="H34" s="89"/>
      <c r="I34" s="89"/>
    </row>
    <row r="35" spans="2:9">
      <c r="B35" s="156"/>
      <c r="C35" s="51"/>
      <c r="D35" s="51"/>
      <c r="E35" s="51"/>
      <c r="F35" s="51"/>
      <c r="G35" s="89"/>
      <c r="H35" s="89"/>
      <c r="I35" s="89"/>
    </row>
    <row r="36" spans="2:9">
      <c r="B36" s="156"/>
      <c r="C36" s="51"/>
      <c r="D36" s="51"/>
      <c r="E36" s="51"/>
      <c r="F36" s="51"/>
      <c r="G36" s="89"/>
      <c r="H36" s="89"/>
      <c r="I36" s="89"/>
    </row>
    <row r="37" spans="2:9">
      <c r="B37" s="156"/>
      <c r="C37" s="51"/>
      <c r="D37" s="51"/>
      <c r="E37" s="51"/>
      <c r="F37" s="51"/>
      <c r="G37" s="89"/>
      <c r="H37" s="89"/>
      <c r="I37" s="89"/>
    </row>
    <row r="38" spans="2:9">
      <c r="B38" s="156"/>
      <c r="C38" s="51"/>
      <c r="D38" s="51"/>
      <c r="E38" s="51"/>
      <c r="F38" s="51"/>
      <c r="G38" s="89"/>
      <c r="H38" s="89"/>
      <c r="I38" s="89"/>
    </row>
    <row r="39" spans="2:9">
      <c r="B39" s="156"/>
      <c r="C39" s="51"/>
      <c r="D39" s="51"/>
      <c r="E39" s="51"/>
      <c r="F39" s="51"/>
      <c r="G39" s="89"/>
      <c r="H39" s="89"/>
      <c r="I39" s="89"/>
    </row>
    <row r="40" spans="2:9">
      <c r="B40" s="156"/>
      <c r="C40" s="51"/>
      <c r="D40" s="51"/>
      <c r="E40" s="51"/>
      <c r="F40" s="51"/>
      <c r="G40" s="89"/>
      <c r="H40" s="89"/>
      <c r="I40" s="89"/>
    </row>
    <row r="41" spans="2:9">
      <c r="B41" s="156"/>
      <c r="C41" s="51"/>
      <c r="D41" s="51"/>
      <c r="E41" s="51"/>
      <c r="F41" s="51"/>
      <c r="G41" s="89"/>
      <c r="H41" s="89"/>
      <c r="I41" s="89"/>
    </row>
  </sheetData>
  <hyperlinks>
    <hyperlink ref="A4" location="Contents!A1" display="Return to Contents" xr:uid="{7381E847-112F-43E5-9A7B-62EBCF649D98}"/>
  </hyperlinks>
  <pageMargins left="0.25" right="0.25" top="0.75" bottom="0.75" header="0.3" footer="0.3"/>
  <pageSetup paperSize="9" scale="75" orientation="landscape" r:id="rId1"/>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C2680-A4EA-4CB4-A9EF-E30FC40925EC}">
  <sheetPr>
    <tabColor rgb="FFDDE5F1"/>
    <pageSetUpPr fitToPage="1"/>
  </sheetPr>
  <dimension ref="A1:E15"/>
  <sheetViews>
    <sheetView topLeftCell="A2" zoomScaleNormal="100" workbookViewId="0"/>
  </sheetViews>
  <sheetFormatPr defaultColWidth="9.1796875" defaultRowHeight="15.5"/>
  <cols>
    <col min="1" max="1" width="38.81640625" style="9" customWidth="1"/>
    <col min="2" max="2" width="13.453125" style="5" customWidth="1"/>
    <col min="3" max="5" width="9.1796875" style="9" customWidth="1"/>
    <col min="6" max="16384" width="9.1796875" style="9"/>
  </cols>
  <sheetData>
    <row r="1" spans="1:5" ht="30" customHeight="1">
      <c r="A1" s="72" t="s">
        <v>796</v>
      </c>
      <c r="B1" s="6"/>
      <c r="C1" s="7"/>
    </row>
    <row r="2" spans="1:5" ht="20.149999999999999" customHeight="1">
      <c r="A2" s="7" t="s">
        <v>596</v>
      </c>
      <c r="B2" s="6"/>
      <c r="C2" s="7"/>
    </row>
    <row r="3" spans="1:5" ht="20.149999999999999" customHeight="1">
      <c r="A3" s="9" t="s">
        <v>218</v>
      </c>
      <c r="B3" s="6"/>
      <c r="C3" s="7"/>
    </row>
    <row r="4" spans="1:5" ht="20.149999999999999" customHeight="1">
      <c r="A4" s="15" t="s">
        <v>62</v>
      </c>
    </row>
    <row r="5" spans="1:5" ht="10" customHeight="1">
      <c r="B5" s="28"/>
      <c r="C5" s="7"/>
      <c r="D5" s="7"/>
    </row>
    <row r="6" spans="1:5" ht="25" customHeight="1">
      <c r="A6" s="98" t="s">
        <v>615</v>
      </c>
      <c r="B6" s="99" t="s">
        <v>838</v>
      </c>
      <c r="C6" s="18"/>
      <c r="D6" s="106"/>
      <c r="E6" s="170"/>
    </row>
    <row r="7" spans="1:5" ht="20.149999999999999" customHeight="1">
      <c r="A7" s="9" t="s">
        <v>36</v>
      </c>
      <c r="B7" s="130">
        <v>1286.3150000000001</v>
      </c>
      <c r="C7" s="68"/>
      <c r="D7" s="107"/>
      <c r="E7" s="171"/>
    </row>
    <row r="8" spans="1:5" ht="20.149999999999999" customHeight="1">
      <c r="A8" s="95" t="s">
        <v>35</v>
      </c>
      <c r="B8" s="167">
        <v>1168.739</v>
      </c>
      <c r="C8" s="68"/>
      <c r="D8" s="107"/>
      <c r="E8" s="171"/>
    </row>
    <row r="9" spans="1:5" ht="20.149999999999999" customHeight="1">
      <c r="A9" s="7" t="s">
        <v>43</v>
      </c>
      <c r="B9" s="130">
        <v>624.44399999999996</v>
      </c>
      <c r="C9" s="68"/>
      <c r="D9" s="107"/>
      <c r="E9" s="171"/>
    </row>
    <row r="10" spans="1:5" ht="20.149999999999999" customHeight="1">
      <c r="A10" s="101" t="s">
        <v>59</v>
      </c>
      <c r="B10" s="167">
        <v>621.90499999999997</v>
      </c>
      <c r="C10" s="68"/>
      <c r="D10" s="107"/>
      <c r="E10" s="171"/>
    </row>
    <row r="11" spans="1:5" ht="20.149999999999999" customHeight="1">
      <c r="A11" s="7" t="s">
        <v>196</v>
      </c>
      <c r="B11" s="130">
        <v>321.69400000000002</v>
      </c>
      <c r="C11" s="68"/>
      <c r="D11" s="107"/>
      <c r="E11" s="171"/>
    </row>
    <row r="12" spans="1:5" ht="20.149999999999999" customHeight="1">
      <c r="A12" s="101" t="s">
        <v>47</v>
      </c>
      <c r="B12" s="167">
        <v>244.82499999999999</v>
      </c>
      <c r="C12" s="68"/>
      <c r="D12" s="107"/>
      <c r="E12" s="171"/>
    </row>
    <row r="13" spans="1:5" ht="20.149999999999999" customHeight="1">
      <c r="A13" s="7" t="s">
        <v>176</v>
      </c>
      <c r="B13" s="130">
        <v>232.767</v>
      </c>
      <c r="C13" s="68"/>
      <c r="D13" s="107"/>
      <c r="E13" s="171"/>
    </row>
    <row r="14" spans="1:5" ht="20.149999999999999" customHeight="1" thickBot="1">
      <c r="A14" s="164" t="s">
        <v>45</v>
      </c>
      <c r="B14" s="321">
        <v>158.714</v>
      </c>
      <c r="C14" s="68"/>
      <c r="D14" s="107"/>
      <c r="E14" s="171"/>
    </row>
    <row r="15" spans="1:5">
      <c r="B15" s="33"/>
      <c r="C15" s="18"/>
      <c r="D15" s="172"/>
      <c r="E15" s="261"/>
    </row>
  </sheetData>
  <hyperlinks>
    <hyperlink ref="A4" location="Contents!A1" display="Return to Contents" xr:uid="{EA9B1DEF-92AB-44A1-9899-440502419432}"/>
  </hyperlinks>
  <pageMargins left="0.25" right="0.25" top="0.75" bottom="0.75" header="0.3" footer="0.3"/>
  <pageSetup paperSize="9" scale="75" orientation="landscape"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2E6C4-8D55-4E48-8632-70535A4248D6}">
  <sheetPr codeName="Sheet45">
    <tabColor rgb="FFDDE5F1"/>
    <pageSetUpPr fitToPage="1"/>
  </sheetPr>
  <dimension ref="A1:O40"/>
  <sheetViews>
    <sheetView zoomScaleNormal="100" workbookViewId="0">
      <selection activeCell="J18" sqref="J18"/>
    </sheetView>
  </sheetViews>
  <sheetFormatPr defaultColWidth="9.1796875" defaultRowHeight="15.5"/>
  <cols>
    <col min="1" max="1" width="44.1796875" style="9" customWidth="1"/>
    <col min="2" max="6" width="12.1796875" style="5" customWidth="1"/>
    <col min="7" max="7" width="26.81640625" style="9" customWidth="1"/>
    <col min="8" max="9" width="9.1796875" style="9" customWidth="1"/>
    <col min="10" max="16384" width="9.1796875" style="9"/>
  </cols>
  <sheetData>
    <row r="1" spans="1:15" ht="30" customHeight="1">
      <c r="A1" s="72" t="s">
        <v>814</v>
      </c>
    </row>
    <row r="2" spans="1:15" ht="20.149999999999999" customHeight="1">
      <c r="A2" s="7" t="s">
        <v>236</v>
      </c>
    </row>
    <row r="3" spans="1:15" ht="20.149999999999999" customHeight="1">
      <c r="A3" s="7" t="s">
        <v>859</v>
      </c>
    </row>
    <row r="4" spans="1:15" ht="20.149999999999999" customHeight="1">
      <c r="A4" s="9" t="s">
        <v>647</v>
      </c>
    </row>
    <row r="5" spans="1:15" ht="20.149999999999999" customHeight="1">
      <c r="A5" s="15" t="s">
        <v>62</v>
      </c>
      <c r="F5" s="6"/>
      <c r="G5" s="7"/>
      <c r="H5" s="7"/>
      <c r="I5" s="131"/>
      <c r="J5" s="113"/>
      <c r="K5" s="113"/>
      <c r="L5" s="113"/>
      <c r="M5" s="113"/>
      <c r="N5" s="113"/>
      <c r="O5" s="113"/>
    </row>
    <row r="6" spans="1:15" ht="10.15" customHeight="1">
      <c r="F6" s="28"/>
      <c r="G6" s="7"/>
      <c r="H6" s="7"/>
      <c r="I6" s="107"/>
      <c r="J6" s="113"/>
      <c r="K6" s="113"/>
      <c r="L6" s="113"/>
      <c r="M6" s="113"/>
      <c r="N6" s="113"/>
      <c r="O6" s="113"/>
    </row>
    <row r="7" spans="1:15" ht="40" customHeight="1">
      <c r="A7" s="98" t="s">
        <v>63</v>
      </c>
      <c r="B7" s="99" t="s">
        <v>188</v>
      </c>
      <c r="C7" s="99" t="s">
        <v>424</v>
      </c>
      <c r="D7" s="99" t="s">
        <v>600</v>
      </c>
      <c r="E7" s="99" t="s">
        <v>636</v>
      </c>
      <c r="F7" s="99" t="s">
        <v>838</v>
      </c>
      <c r="G7" s="96" t="s">
        <v>844</v>
      </c>
      <c r="H7" s="18"/>
      <c r="I7" s="106"/>
      <c r="J7" s="170"/>
      <c r="K7" s="170"/>
      <c r="L7" s="170"/>
      <c r="M7" s="170"/>
      <c r="N7" s="170"/>
      <c r="O7" s="262"/>
    </row>
    <row r="8" spans="1:15" ht="20.149999999999999" customHeight="1">
      <c r="A8" s="7" t="s">
        <v>35</v>
      </c>
      <c r="B8" s="130">
        <v>605.976</v>
      </c>
      <c r="C8" s="130">
        <v>670.12599999999998</v>
      </c>
      <c r="D8" s="130">
        <v>652.41700000000003</v>
      </c>
      <c r="E8" s="130">
        <v>678.31</v>
      </c>
      <c r="F8" s="130">
        <v>1168.739</v>
      </c>
      <c r="G8" s="92">
        <v>0.72301602512125696</v>
      </c>
      <c r="H8" s="41"/>
      <c r="I8" s="182"/>
      <c r="J8" s="406"/>
      <c r="K8" s="171"/>
      <c r="L8" s="171"/>
      <c r="M8" s="171"/>
      <c r="N8" s="171"/>
      <c r="O8" s="261"/>
    </row>
    <row r="9" spans="1:15" ht="20.149999999999999" customHeight="1">
      <c r="A9" s="101" t="s">
        <v>59</v>
      </c>
      <c r="B9" s="167">
        <v>397.39800000000002</v>
      </c>
      <c r="C9" s="167">
        <v>538.69200000000001</v>
      </c>
      <c r="D9" s="167">
        <v>654.47</v>
      </c>
      <c r="E9" s="167">
        <v>713.12800000000004</v>
      </c>
      <c r="F9" s="167">
        <v>621.90499999999997</v>
      </c>
      <c r="G9" s="114">
        <v>-0.127919531977429</v>
      </c>
      <c r="H9" s="41"/>
      <c r="I9" s="182"/>
      <c r="J9" s="406"/>
      <c r="K9" s="171"/>
      <c r="L9" s="171"/>
      <c r="M9" s="171"/>
      <c r="N9" s="171"/>
      <c r="O9" s="261"/>
    </row>
    <row r="10" spans="1:15" ht="20.149999999999999" customHeight="1">
      <c r="A10" s="7" t="s">
        <v>261</v>
      </c>
      <c r="B10" s="130">
        <v>159.52699999999999</v>
      </c>
      <c r="C10" s="130">
        <v>166.982</v>
      </c>
      <c r="D10" s="130">
        <v>454.11599999999999</v>
      </c>
      <c r="E10" s="130">
        <v>205.60900000000001</v>
      </c>
      <c r="F10" s="130">
        <v>540.322</v>
      </c>
      <c r="G10" s="92">
        <v>1.6279102568467301</v>
      </c>
      <c r="H10" s="41"/>
      <c r="I10" s="182"/>
      <c r="J10" s="406"/>
      <c r="K10" s="171"/>
      <c r="L10" s="171"/>
      <c r="M10" s="171"/>
      <c r="N10" s="171"/>
      <c r="O10" s="261"/>
    </row>
    <row r="11" spans="1:15" ht="20.149999999999999" customHeight="1">
      <c r="A11" s="101" t="s">
        <v>196</v>
      </c>
      <c r="B11" s="167">
        <v>217.16800000000001</v>
      </c>
      <c r="C11" s="167">
        <v>298.43900000000002</v>
      </c>
      <c r="D11" s="167">
        <v>237.34200000000001</v>
      </c>
      <c r="E11" s="167">
        <v>239.55699999999999</v>
      </c>
      <c r="F11" s="167">
        <v>321.69400000000002</v>
      </c>
      <c r="G11" s="114">
        <v>0.34287038157933197</v>
      </c>
      <c r="H11" s="41"/>
      <c r="I11" s="182"/>
      <c r="J11" s="406"/>
      <c r="K11" s="171"/>
      <c r="L11" s="171"/>
      <c r="M11" s="171"/>
      <c r="N11" s="171"/>
      <c r="O11" s="261"/>
    </row>
    <row r="12" spans="1:15" ht="20.149999999999999" customHeight="1">
      <c r="A12" s="7" t="s">
        <v>47</v>
      </c>
      <c r="B12" s="130">
        <v>177.49</v>
      </c>
      <c r="C12" s="130">
        <v>207.48099999999999</v>
      </c>
      <c r="D12" s="130">
        <v>226.55500000000001</v>
      </c>
      <c r="E12" s="130">
        <v>211.55600000000001</v>
      </c>
      <c r="F12" s="130">
        <v>244.82499999999999</v>
      </c>
      <c r="G12" s="92">
        <v>0.15725859819622201</v>
      </c>
      <c r="H12" s="41"/>
      <c r="I12" s="182"/>
      <c r="J12" s="406"/>
      <c r="K12" s="171"/>
      <c r="L12" s="171"/>
      <c r="M12" s="171"/>
      <c r="N12" s="171"/>
      <c r="O12" s="261"/>
    </row>
    <row r="13" spans="1:15" ht="20.149999999999999" customHeight="1">
      <c r="A13" s="101" t="s">
        <v>176</v>
      </c>
      <c r="B13" s="167">
        <v>117.482</v>
      </c>
      <c r="C13" s="167">
        <v>212.10599999999999</v>
      </c>
      <c r="D13" s="167">
        <v>227.42599999999999</v>
      </c>
      <c r="E13" s="167">
        <v>208.96799999999999</v>
      </c>
      <c r="F13" s="167">
        <v>232.767</v>
      </c>
      <c r="G13" s="114">
        <v>0.113888250832663</v>
      </c>
      <c r="H13" s="41"/>
      <c r="I13" s="182"/>
      <c r="J13" s="406"/>
      <c r="K13" s="171"/>
      <c r="L13" s="171"/>
      <c r="M13" s="171"/>
      <c r="N13" s="171"/>
      <c r="O13" s="261"/>
    </row>
    <row r="14" spans="1:15" ht="20.149999999999999" customHeight="1">
      <c r="A14" s="7" t="s">
        <v>45</v>
      </c>
      <c r="B14" s="130">
        <v>194.21700000000001</v>
      </c>
      <c r="C14" s="130">
        <v>232.14500000000001</v>
      </c>
      <c r="D14" s="130">
        <v>151.917</v>
      </c>
      <c r="E14" s="130">
        <v>178.51300000000001</v>
      </c>
      <c r="F14" s="130">
        <v>158.714</v>
      </c>
      <c r="G14" s="92">
        <v>-0.110910689977761</v>
      </c>
      <c r="H14" s="41"/>
      <c r="I14" s="182"/>
      <c r="J14" s="406"/>
      <c r="K14" s="171"/>
      <c r="L14" s="171"/>
      <c r="M14" s="171"/>
      <c r="N14" s="171"/>
      <c r="O14" s="261"/>
    </row>
    <row r="15" spans="1:15" ht="20.149999999999999" customHeight="1">
      <c r="A15" s="101" t="s">
        <v>44</v>
      </c>
      <c r="B15" s="167">
        <v>36.969000000000001</v>
      </c>
      <c r="C15" s="167">
        <v>53.906999999999996</v>
      </c>
      <c r="D15" s="167">
        <v>44.335000000000001</v>
      </c>
      <c r="E15" s="167">
        <v>40.808</v>
      </c>
      <c r="F15" s="167">
        <v>59.332999999999998</v>
      </c>
      <c r="G15" s="114">
        <v>0.45395510684179602</v>
      </c>
      <c r="H15" s="41"/>
      <c r="I15" s="182"/>
      <c r="J15" s="406"/>
      <c r="K15" s="171"/>
      <c r="L15" s="171"/>
      <c r="M15" s="171"/>
      <c r="N15" s="171"/>
      <c r="O15" s="261"/>
    </row>
    <row r="16" spans="1:15" ht="20.149999999999999" customHeight="1">
      <c r="A16" s="7" t="s">
        <v>48</v>
      </c>
      <c r="B16" s="130">
        <v>13.481999999999999</v>
      </c>
      <c r="C16" s="130">
        <v>12.026</v>
      </c>
      <c r="D16" s="130">
        <v>63.77</v>
      </c>
      <c r="E16" s="130">
        <v>39.076999999999998</v>
      </c>
      <c r="F16" s="130">
        <v>24.789000000000001</v>
      </c>
      <c r="G16" s="92">
        <v>-0.36563707551756802</v>
      </c>
      <c r="H16" s="41"/>
      <c r="I16" s="182"/>
      <c r="J16" s="406"/>
      <c r="K16" s="171"/>
      <c r="L16" s="171"/>
      <c r="M16" s="171"/>
      <c r="N16" s="171"/>
      <c r="O16" s="261"/>
    </row>
    <row r="17" spans="1:15" ht="25" customHeight="1">
      <c r="A17" s="98" t="s">
        <v>51</v>
      </c>
      <c r="B17" s="125">
        <v>1919.7090000000001</v>
      </c>
      <c r="C17" s="125">
        <v>2391.904</v>
      </c>
      <c r="D17" s="125">
        <v>2712.348</v>
      </c>
      <c r="E17" s="125">
        <v>2515.5259999999998</v>
      </c>
      <c r="F17" s="125">
        <v>3373.0880000000002</v>
      </c>
      <c r="G17" s="100">
        <v>0.34090762727159302</v>
      </c>
      <c r="H17" s="68"/>
      <c r="I17" s="182"/>
      <c r="J17" s="261"/>
      <c r="K17" s="261"/>
      <c r="L17" s="261"/>
      <c r="M17" s="261"/>
      <c r="N17" s="261"/>
      <c r="O17" s="261"/>
    </row>
    <row r="18" spans="1:15" ht="20.149999999999999" customHeight="1">
      <c r="A18" s="7" t="s">
        <v>36</v>
      </c>
      <c r="B18" s="130">
        <v>684.25</v>
      </c>
      <c r="C18" s="130">
        <v>949.58399999999995</v>
      </c>
      <c r="D18" s="130">
        <v>1072.74</v>
      </c>
      <c r="E18" s="130">
        <v>1162.3130000000001</v>
      </c>
      <c r="F18" s="130">
        <v>1286.3150000000001</v>
      </c>
      <c r="G18" s="92">
        <v>0.106685548557058</v>
      </c>
      <c r="H18" s="41"/>
      <c r="I18" s="182"/>
      <c r="J18" s="406"/>
      <c r="K18" s="171"/>
      <c r="L18" s="171"/>
      <c r="M18" s="171"/>
      <c r="N18" s="171"/>
      <c r="O18" s="261"/>
    </row>
    <row r="19" spans="1:15" ht="25" customHeight="1">
      <c r="A19" s="98" t="s">
        <v>106</v>
      </c>
      <c r="B19" s="126">
        <v>2603.9589999999998</v>
      </c>
      <c r="C19" s="126">
        <v>3341.4879999999998</v>
      </c>
      <c r="D19" s="126">
        <v>3785.0880000000002</v>
      </c>
      <c r="E19" s="126">
        <v>3677.8389999999999</v>
      </c>
      <c r="F19" s="126">
        <v>4659.4030000000002</v>
      </c>
      <c r="G19" s="100">
        <v>0.26688607086933402</v>
      </c>
      <c r="I19" s="182"/>
      <c r="J19" s="261"/>
      <c r="K19" s="261"/>
      <c r="L19" s="261"/>
      <c r="M19" s="261"/>
      <c r="N19" s="261"/>
      <c r="O19" s="261"/>
    </row>
    <row r="20" spans="1:15" ht="13.9" customHeight="1">
      <c r="B20" s="9"/>
      <c r="C20" s="9"/>
      <c r="D20" s="9"/>
      <c r="E20" s="9"/>
      <c r="F20" s="18"/>
      <c r="G20" s="18"/>
      <c r="H20" s="18"/>
      <c r="I20" s="18"/>
    </row>
    <row r="21" spans="1:15" ht="13.9" customHeight="1">
      <c r="B21" s="9"/>
      <c r="C21" s="9"/>
      <c r="D21" s="9"/>
      <c r="E21" s="9"/>
      <c r="F21" s="9"/>
    </row>
    <row r="22" spans="1:15" ht="13.9" customHeight="1">
      <c r="B22" s="9"/>
      <c r="C22" s="9"/>
      <c r="D22" s="9"/>
      <c r="E22" s="9"/>
      <c r="F22" s="18"/>
      <c r="G22" s="18"/>
      <c r="H22" s="18"/>
      <c r="I22" s="18"/>
    </row>
    <row r="23" spans="1:15" ht="13.9" customHeight="1">
      <c r="B23" s="9"/>
      <c r="C23" s="9"/>
      <c r="D23" s="9"/>
      <c r="E23" s="9"/>
      <c r="F23" s="33"/>
      <c r="G23" s="18"/>
      <c r="H23" s="18"/>
      <c r="I23" s="18"/>
    </row>
    <row r="24" spans="1:15" ht="13.9" customHeight="1">
      <c r="B24" s="9"/>
      <c r="C24" s="9"/>
      <c r="D24" s="9"/>
      <c r="E24" s="9"/>
      <c r="F24" s="18"/>
      <c r="G24" s="18"/>
      <c r="H24" s="18"/>
      <c r="I24" s="18"/>
    </row>
    <row r="25" spans="1:15" ht="13.9" customHeight="1">
      <c r="B25" s="35"/>
      <c r="C25" s="35"/>
      <c r="D25" s="35"/>
      <c r="E25" s="35"/>
      <c r="F25" s="67"/>
      <c r="G25" s="439"/>
      <c r="H25" s="18"/>
      <c r="I25" s="18"/>
    </row>
    <row r="26" spans="1:15">
      <c r="B26" s="35"/>
      <c r="C26" s="35"/>
      <c r="D26" s="35"/>
      <c r="E26" s="35"/>
      <c r="F26" s="35"/>
      <c r="G26" s="439"/>
    </row>
    <row r="27" spans="1:15">
      <c r="B27" s="35"/>
      <c r="C27" s="35"/>
      <c r="D27" s="35"/>
      <c r="E27" s="35"/>
      <c r="F27" s="35"/>
      <c r="G27" s="439"/>
    </row>
    <row r="28" spans="1:15">
      <c r="B28" s="21"/>
      <c r="C28" s="21"/>
      <c r="D28" s="21"/>
      <c r="E28" s="21"/>
      <c r="F28" s="435"/>
      <c r="G28" s="436"/>
    </row>
    <row r="29" spans="1:15">
      <c r="B29" s="35"/>
      <c r="C29" s="35"/>
      <c r="D29" s="35"/>
      <c r="E29" s="35"/>
      <c r="F29" s="35"/>
      <c r="G29" s="439"/>
    </row>
    <row r="30" spans="1:15">
      <c r="B30" s="35"/>
      <c r="C30" s="35"/>
      <c r="D30" s="35"/>
      <c r="E30" s="35"/>
      <c r="F30" s="35"/>
      <c r="G30" s="439"/>
    </row>
    <row r="31" spans="1:15">
      <c r="B31" s="35"/>
      <c r="C31" s="35"/>
      <c r="D31" s="35"/>
      <c r="E31" s="35"/>
      <c r="F31" s="35"/>
      <c r="G31" s="439"/>
    </row>
    <row r="32" spans="1:15">
      <c r="B32" s="35"/>
      <c r="C32" s="35"/>
      <c r="D32" s="35"/>
      <c r="E32" s="35"/>
      <c r="F32" s="35"/>
      <c r="G32" s="439"/>
    </row>
    <row r="33" spans="2:7">
      <c r="B33" s="437"/>
      <c r="C33" s="437"/>
      <c r="D33" s="437"/>
      <c r="E33" s="437"/>
      <c r="F33" s="438"/>
      <c r="G33" s="439"/>
    </row>
    <row r="34" spans="2:7">
      <c r="B34" s="35"/>
      <c r="C34" s="35"/>
      <c r="D34" s="35"/>
      <c r="E34" s="35"/>
      <c r="F34" s="35"/>
      <c r="G34" s="439"/>
    </row>
    <row r="35" spans="2:7">
      <c r="B35" s="437"/>
      <c r="C35" s="437"/>
      <c r="D35" s="437"/>
      <c r="E35" s="437"/>
      <c r="F35" s="437"/>
      <c r="G35" s="439"/>
    </row>
    <row r="36" spans="2:7">
      <c r="B36" s="35"/>
      <c r="C36" s="35"/>
      <c r="D36" s="35"/>
      <c r="E36" s="35"/>
      <c r="F36" s="35"/>
      <c r="G36" s="439"/>
    </row>
    <row r="40" spans="2:7">
      <c r="F40" s="67">
        <f>SUM(F14:F16)/F19</f>
        <v>5.2117406457436712E-2</v>
      </c>
    </row>
  </sheetData>
  <sortState xmlns:xlrd2="http://schemas.microsoft.com/office/spreadsheetml/2017/richdata2" ref="A25:G36">
    <sortCondition descending="1" ref="F25:F36"/>
  </sortState>
  <hyperlinks>
    <hyperlink ref="A5" location="Contents!A1" display="Return to Contents" xr:uid="{5E0D392E-4D68-468F-8744-ACA48B8C9C90}"/>
  </hyperlinks>
  <pageMargins left="0.25" right="0.25" top="0.75" bottom="0.75" header="0.3" footer="0.3"/>
  <pageSetup paperSize="9" scale="58" orientation="landscape" r:id="rId1"/>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6E6A0-7DB1-4009-962D-810F16593438}">
  <sheetPr codeName="Sheet46">
    <tabColor rgb="FFDDE5F1"/>
    <pageSetUpPr fitToPage="1"/>
  </sheetPr>
  <dimension ref="A1:G72"/>
  <sheetViews>
    <sheetView zoomScaleNormal="100" workbookViewId="0"/>
  </sheetViews>
  <sheetFormatPr defaultColWidth="9.1796875" defaultRowHeight="15.5"/>
  <cols>
    <col min="1" max="1" width="27" style="9" customWidth="1"/>
    <col min="2" max="2" width="18.453125" style="5" customWidth="1"/>
    <col min="3" max="3" width="18.7265625" style="5" customWidth="1"/>
    <col min="4" max="4" width="21.453125" style="5" customWidth="1"/>
    <col min="5" max="7" width="9.1796875" style="9" customWidth="1"/>
    <col min="8" max="16384" width="9.1796875" style="9"/>
  </cols>
  <sheetData>
    <row r="1" spans="1:7" ht="30" customHeight="1">
      <c r="A1" s="22" t="s">
        <v>797</v>
      </c>
    </row>
    <row r="2" spans="1:7" ht="20.149999999999999" customHeight="1">
      <c r="A2" s="9" t="s">
        <v>236</v>
      </c>
    </row>
    <row r="3" spans="1:7" ht="20.149999999999999" customHeight="1">
      <c r="A3" s="376" t="s">
        <v>648</v>
      </c>
    </row>
    <row r="4" spans="1:7" ht="20.149999999999999" customHeight="1">
      <c r="A4" s="15" t="s">
        <v>62</v>
      </c>
      <c r="B4" s="28"/>
      <c r="C4" s="28"/>
      <c r="D4" s="28"/>
      <c r="E4" s="7"/>
    </row>
    <row r="5" spans="1:7" ht="10.15" customHeight="1">
      <c r="A5" s="26"/>
      <c r="E5" s="7"/>
    </row>
    <row r="6" spans="1:7" ht="55.15" customHeight="1">
      <c r="A6" s="104" t="s">
        <v>5</v>
      </c>
      <c r="B6" s="96" t="s">
        <v>237</v>
      </c>
      <c r="C6" s="96" t="s">
        <v>58</v>
      </c>
      <c r="D6" s="96" t="s">
        <v>262</v>
      </c>
      <c r="E6" s="18"/>
      <c r="F6" s="106"/>
      <c r="G6" s="170"/>
    </row>
    <row r="7" spans="1:7" ht="20.149999999999999" customHeight="1">
      <c r="A7" s="9" t="s">
        <v>9</v>
      </c>
      <c r="B7" s="35">
        <v>10517</v>
      </c>
      <c r="C7" s="130">
        <v>52110</v>
      </c>
      <c r="D7" s="35">
        <v>201.82306658990601</v>
      </c>
      <c r="F7" s="107"/>
      <c r="G7" s="171"/>
    </row>
    <row r="8" spans="1:7" ht="20.149999999999999" customHeight="1">
      <c r="A8" s="9" t="s">
        <v>13</v>
      </c>
      <c r="B8" s="35">
        <v>33732</v>
      </c>
      <c r="C8" s="130">
        <v>109970</v>
      </c>
      <c r="D8" s="35">
        <v>306.73820132763501</v>
      </c>
      <c r="F8" s="107"/>
      <c r="G8" s="171"/>
    </row>
    <row r="9" spans="1:7" ht="20.149999999999999" customHeight="1">
      <c r="A9" s="9" t="s">
        <v>32</v>
      </c>
      <c r="B9" s="35">
        <v>29406</v>
      </c>
      <c r="C9" s="130">
        <v>94210</v>
      </c>
      <c r="D9" s="35">
        <v>312.13247001379898</v>
      </c>
      <c r="F9" s="107"/>
      <c r="G9" s="171"/>
    </row>
    <row r="10" spans="1:7" ht="20.149999999999999" customHeight="1">
      <c r="A10" s="9" t="s">
        <v>19</v>
      </c>
      <c r="B10" s="35">
        <v>214381</v>
      </c>
      <c r="C10" s="130">
        <v>650300</v>
      </c>
      <c r="D10" s="35">
        <v>329.66477010610498</v>
      </c>
      <c r="F10" s="107"/>
      <c r="G10" s="171"/>
    </row>
    <row r="11" spans="1:7" ht="20.149999999999999" customHeight="1">
      <c r="A11" s="9" t="s">
        <v>7</v>
      </c>
      <c r="B11" s="35">
        <v>88732</v>
      </c>
      <c r="C11" s="130">
        <v>265080</v>
      </c>
      <c r="D11" s="35">
        <v>334.73668326542901</v>
      </c>
      <c r="F11" s="107"/>
      <c r="G11" s="171"/>
    </row>
    <row r="12" spans="1:7" ht="20.149999999999999" customHeight="1">
      <c r="A12" s="9" t="s">
        <v>23</v>
      </c>
      <c r="B12" s="35">
        <v>35330</v>
      </c>
      <c r="C12" s="130">
        <v>95010</v>
      </c>
      <c r="D12" s="35">
        <v>371.85559414798399</v>
      </c>
      <c r="F12" s="107"/>
      <c r="G12" s="171"/>
    </row>
    <row r="13" spans="1:7" ht="20.149999999999999" customHeight="1">
      <c r="A13" s="9" t="s">
        <v>25</v>
      </c>
      <c r="B13" s="35">
        <v>128166</v>
      </c>
      <c r="C13" s="130">
        <v>344540</v>
      </c>
      <c r="D13" s="35">
        <v>371.99164102861801</v>
      </c>
      <c r="F13" s="107"/>
      <c r="G13" s="171"/>
    </row>
    <row r="14" spans="1:7" ht="20.149999999999999" customHeight="1">
      <c r="A14" s="9" t="s">
        <v>18</v>
      </c>
      <c r="B14" s="35">
        <v>153192</v>
      </c>
      <c r="C14" s="130">
        <v>374760</v>
      </c>
      <c r="D14" s="35">
        <v>408.77361511367297</v>
      </c>
      <c r="F14" s="107"/>
      <c r="G14" s="171"/>
    </row>
    <row r="15" spans="1:7" ht="20.149999999999999" customHeight="1">
      <c r="A15" s="9" t="s">
        <v>12</v>
      </c>
      <c r="B15" s="35">
        <v>50740</v>
      </c>
      <c r="C15" s="130">
        <v>121480</v>
      </c>
      <c r="D15" s="35">
        <v>417.68192295028001</v>
      </c>
      <c r="F15" s="107"/>
      <c r="G15" s="171"/>
    </row>
    <row r="16" spans="1:7" ht="20.149999999999999" customHeight="1">
      <c r="A16" s="9" t="s">
        <v>15</v>
      </c>
      <c r="B16" s="35">
        <v>42622</v>
      </c>
      <c r="C16" s="130">
        <v>99830</v>
      </c>
      <c r="D16" s="35">
        <v>426.94580787338498</v>
      </c>
      <c r="F16" s="107"/>
      <c r="G16" s="171"/>
    </row>
    <row r="17" spans="1:7" ht="20.149999999999999" customHeight="1">
      <c r="A17" s="9" t="s">
        <v>22</v>
      </c>
      <c r="B17" s="35">
        <v>49191</v>
      </c>
      <c r="C17" s="130">
        <v>99880</v>
      </c>
      <c r="D17" s="35">
        <v>492.50100120144202</v>
      </c>
      <c r="F17" s="107"/>
      <c r="G17" s="171"/>
    </row>
    <row r="18" spans="1:7" ht="20.149999999999999" customHeight="1">
      <c r="A18" s="9" t="s">
        <v>8</v>
      </c>
      <c r="B18" s="35">
        <v>64573</v>
      </c>
      <c r="C18" s="130">
        <v>114810</v>
      </c>
      <c r="D18" s="35">
        <v>562.43358592457105</v>
      </c>
      <c r="F18" s="107"/>
      <c r="G18" s="171"/>
    </row>
    <row r="19" spans="1:7" ht="20.149999999999999" customHeight="1">
      <c r="A19" s="9" t="s">
        <v>127</v>
      </c>
      <c r="B19" s="35">
        <v>49372</v>
      </c>
      <c r="C19" s="130">
        <v>87690</v>
      </c>
      <c r="D19" s="35">
        <v>563.02885163644703</v>
      </c>
      <c r="F19" s="107"/>
      <c r="G19" s="171"/>
    </row>
    <row r="20" spans="1:7" ht="20.149999999999999" customHeight="1">
      <c r="A20" s="9" t="s">
        <v>26</v>
      </c>
      <c r="B20" s="35">
        <v>12801</v>
      </c>
      <c r="C20" s="130">
        <v>22020</v>
      </c>
      <c r="D20" s="35">
        <v>581.33514986375997</v>
      </c>
      <c r="F20" s="107"/>
      <c r="G20" s="171"/>
    </row>
    <row r="21" spans="1:7" ht="20.149999999999999" customHeight="1">
      <c r="A21" s="9" t="s">
        <v>21</v>
      </c>
      <c r="B21" s="35">
        <v>46174</v>
      </c>
      <c r="C21" s="130">
        <v>78880</v>
      </c>
      <c r="D21" s="35">
        <v>585.37018255578096</v>
      </c>
      <c r="F21" s="107"/>
      <c r="G21" s="171"/>
    </row>
    <row r="22" spans="1:7" ht="20.149999999999999" customHeight="1">
      <c r="A22" s="2" t="s">
        <v>158</v>
      </c>
      <c r="B22" s="307">
        <v>3320667</v>
      </c>
      <c r="C22" s="87">
        <v>5546900</v>
      </c>
      <c r="D22" s="307">
        <v>598.65276100164101</v>
      </c>
      <c r="F22" s="107"/>
      <c r="G22" s="171"/>
    </row>
    <row r="23" spans="1:7" ht="20.149999999999999" customHeight="1">
      <c r="A23" s="9" t="s">
        <v>16</v>
      </c>
      <c r="B23" s="35">
        <v>113343</v>
      </c>
      <c r="C23" s="130">
        <v>189170</v>
      </c>
      <c r="D23" s="35">
        <v>599.15948617645495</v>
      </c>
      <c r="E23" s="51"/>
      <c r="F23" s="107"/>
      <c r="G23" s="171"/>
    </row>
    <row r="24" spans="1:7" ht="20.149999999999999" customHeight="1">
      <c r="A24" s="7" t="s">
        <v>113</v>
      </c>
      <c r="B24" s="130">
        <v>329628</v>
      </c>
      <c r="C24" s="130">
        <v>530680</v>
      </c>
      <c r="D24" s="130">
        <v>621.142684857164</v>
      </c>
      <c r="F24" s="107"/>
      <c r="G24" s="171"/>
    </row>
    <row r="25" spans="1:7" ht="20.149999999999999" customHeight="1">
      <c r="A25" s="9" t="s">
        <v>33</v>
      </c>
      <c r="B25" s="35">
        <v>55735</v>
      </c>
      <c r="C25" s="130">
        <v>89120</v>
      </c>
      <c r="D25" s="35">
        <v>625.39272890484699</v>
      </c>
      <c r="F25" s="107"/>
      <c r="G25" s="171"/>
    </row>
    <row r="26" spans="1:7" ht="20.149999999999999" customHeight="1">
      <c r="A26" s="9" t="s">
        <v>31</v>
      </c>
      <c r="B26" s="35">
        <v>209722</v>
      </c>
      <c r="C26" s="130">
        <v>334030</v>
      </c>
      <c r="D26" s="35">
        <v>627.85378558812101</v>
      </c>
      <c r="F26" s="107"/>
      <c r="G26" s="171"/>
    </row>
    <row r="27" spans="1:7" ht="20.149999999999999" customHeight="1">
      <c r="A27" s="9" t="s">
        <v>6</v>
      </c>
      <c r="B27" s="35">
        <v>145718</v>
      </c>
      <c r="C27" s="130">
        <v>231780</v>
      </c>
      <c r="D27" s="35">
        <v>628.69100008628902</v>
      </c>
      <c r="F27" s="107"/>
      <c r="G27" s="171"/>
    </row>
    <row r="28" spans="1:7" ht="20.149999999999999" customHeight="1">
      <c r="A28" s="9" t="s">
        <v>17</v>
      </c>
      <c r="B28" s="35">
        <v>102060</v>
      </c>
      <c r="C28" s="130">
        <v>160020</v>
      </c>
      <c r="D28" s="35">
        <v>637.795275590551</v>
      </c>
      <c r="F28" s="107"/>
      <c r="G28" s="171"/>
    </row>
    <row r="29" spans="1:7" ht="20.149999999999999" customHeight="1">
      <c r="A29" s="9" t="s">
        <v>34</v>
      </c>
      <c r="B29" s="35">
        <v>131577</v>
      </c>
      <c r="C29" s="130">
        <v>186440</v>
      </c>
      <c r="D29" s="35">
        <v>705.73374812272004</v>
      </c>
      <c r="F29" s="107"/>
      <c r="G29" s="171"/>
    </row>
    <row r="30" spans="1:7" ht="20.149999999999999" customHeight="1">
      <c r="A30" s="9" t="s">
        <v>30</v>
      </c>
      <c r="B30" s="35">
        <v>84322</v>
      </c>
      <c r="C30" s="130">
        <v>112260</v>
      </c>
      <c r="D30" s="35">
        <v>751.13130233386801</v>
      </c>
      <c r="F30" s="107"/>
      <c r="G30" s="171"/>
    </row>
    <row r="31" spans="1:7" ht="20.149999999999999" customHeight="1">
      <c r="A31" s="9" t="s">
        <v>10</v>
      </c>
      <c r="B31" s="35">
        <v>113779</v>
      </c>
      <c r="C31" s="130">
        <v>145860</v>
      </c>
      <c r="D31" s="35">
        <v>780.05621829151198</v>
      </c>
      <c r="F31" s="107"/>
      <c r="G31" s="171"/>
    </row>
    <row r="32" spans="1:7" ht="20.149999999999999" customHeight="1">
      <c r="A32" s="9" t="s">
        <v>24</v>
      </c>
      <c r="B32" s="35">
        <v>118239</v>
      </c>
      <c r="C32" s="130">
        <v>134010</v>
      </c>
      <c r="D32" s="35">
        <v>882.31475263040102</v>
      </c>
      <c r="F32" s="107"/>
      <c r="G32" s="171"/>
    </row>
    <row r="33" spans="1:7" ht="20.149999999999999" customHeight="1">
      <c r="A33" s="9" t="s">
        <v>29</v>
      </c>
      <c r="B33" s="35">
        <v>20712</v>
      </c>
      <c r="C33" s="130">
        <v>23190</v>
      </c>
      <c r="D33" s="35">
        <v>893.14359637774896</v>
      </c>
      <c r="F33" s="107"/>
      <c r="G33" s="171"/>
    </row>
    <row r="34" spans="1:7" ht="20.149999999999999" customHeight="1">
      <c r="A34" s="9" t="s">
        <v>27</v>
      </c>
      <c r="B34" s="35">
        <v>140085</v>
      </c>
      <c r="C34" s="130">
        <v>154420</v>
      </c>
      <c r="D34" s="35">
        <v>907.16876052324801</v>
      </c>
      <c r="F34" s="107"/>
      <c r="G34" s="171"/>
    </row>
    <row r="35" spans="1:7" ht="20.149999999999999" customHeight="1">
      <c r="A35" s="9" t="s">
        <v>114</v>
      </c>
      <c r="B35" s="35">
        <v>24392</v>
      </c>
      <c r="C35" s="130">
        <v>26020</v>
      </c>
      <c r="D35" s="35">
        <v>937.43274404304395</v>
      </c>
      <c r="F35" s="107"/>
      <c r="G35" s="171"/>
    </row>
    <row r="36" spans="1:7" ht="20.149999999999999" customHeight="1">
      <c r="A36" s="9" t="s">
        <v>14</v>
      </c>
      <c r="B36" s="35">
        <v>109531</v>
      </c>
      <c r="C36" s="130">
        <v>115180</v>
      </c>
      <c r="D36" s="35">
        <v>950.95502691439503</v>
      </c>
      <c r="F36" s="107"/>
      <c r="G36" s="171"/>
    </row>
    <row r="37" spans="1:7" ht="20.149999999999999" customHeight="1">
      <c r="A37" s="9" t="s">
        <v>20</v>
      </c>
      <c r="B37" s="35">
        <v>279684</v>
      </c>
      <c r="C37" s="130">
        <v>237290</v>
      </c>
      <c r="D37" s="35">
        <v>1178.65902482195</v>
      </c>
      <c r="F37" s="107"/>
      <c r="G37" s="171"/>
    </row>
    <row r="38" spans="1:7" ht="20.149999999999999" customHeight="1">
      <c r="A38" s="9" t="s">
        <v>11</v>
      </c>
      <c r="B38" s="35">
        <v>184042</v>
      </c>
      <c r="C38" s="130">
        <v>149880</v>
      </c>
      <c r="D38" s="35">
        <v>1227.9290098745701</v>
      </c>
      <c r="F38" s="107"/>
      <c r="G38" s="171"/>
    </row>
    <row r="39" spans="1:7" ht="20.149999999999999" customHeight="1" thickBot="1">
      <c r="A39" s="109" t="s">
        <v>28</v>
      </c>
      <c r="B39" s="123">
        <v>149169</v>
      </c>
      <c r="C39" s="153">
        <v>116980</v>
      </c>
      <c r="D39" s="123">
        <v>1275.16669516157</v>
      </c>
      <c r="F39" s="107"/>
      <c r="G39" s="171"/>
    </row>
    <row r="40" spans="1:7">
      <c r="C40" s="9"/>
      <c r="D40" s="9"/>
    </row>
    <row r="41" spans="1:7">
      <c r="A41" s="180"/>
      <c r="B41" s="288"/>
      <c r="C41" s="288"/>
      <c r="D41" s="172"/>
    </row>
    <row r="42" spans="1:7">
      <c r="B42" s="9"/>
      <c r="C42" s="9"/>
      <c r="D42" s="9"/>
    </row>
    <row r="43" spans="1:7">
      <c r="C43" s="9"/>
      <c r="D43" s="9"/>
    </row>
    <row r="44" spans="1:7">
      <c r="B44" s="9"/>
      <c r="C44" s="9"/>
      <c r="D44" s="9"/>
    </row>
    <row r="45" spans="1:7">
      <c r="B45" s="9"/>
      <c r="C45" s="9"/>
      <c r="D45" s="9"/>
    </row>
    <row r="46" spans="1:7">
      <c r="B46" s="9"/>
      <c r="C46" s="9"/>
      <c r="D46" s="9"/>
    </row>
    <row r="47" spans="1:7">
      <c r="B47" s="9"/>
      <c r="C47" s="9"/>
      <c r="D47" s="9"/>
    </row>
    <row r="48" spans="1:7">
      <c r="C48" s="9"/>
      <c r="D48" s="9"/>
    </row>
    <row r="49" spans="2:4">
      <c r="B49" s="9"/>
      <c r="C49" s="9"/>
      <c r="D49" s="9"/>
    </row>
    <row r="50" spans="2:4">
      <c r="B50" s="9"/>
      <c r="C50" s="9"/>
      <c r="D50" s="9"/>
    </row>
    <row r="51" spans="2:4">
      <c r="B51" s="9"/>
      <c r="C51" s="9"/>
      <c r="D51" s="9"/>
    </row>
    <row r="52" spans="2:4">
      <c r="B52" s="9"/>
      <c r="C52" s="9"/>
      <c r="D52" s="9"/>
    </row>
    <row r="53" spans="2:4">
      <c r="B53" s="9"/>
      <c r="C53" s="9"/>
      <c r="D53" s="9"/>
    </row>
    <row r="54" spans="2:4">
      <c r="B54" s="9"/>
      <c r="C54" s="9"/>
      <c r="D54" s="9"/>
    </row>
    <row r="55" spans="2:4">
      <c r="B55" s="9"/>
      <c r="C55" s="9"/>
      <c r="D55" s="9"/>
    </row>
    <row r="56" spans="2:4">
      <c r="B56" s="9"/>
      <c r="C56" s="9"/>
      <c r="D56" s="9"/>
    </row>
    <row r="57" spans="2:4">
      <c r="B57" s="9"/>
      <c r="C57" s="9"/>
      <c r="D57" s="9"/>
    </row>
    <row r="58" spans="2:4">
      <c r="B58" s="9"/>
      <c r="C58" s="9"/>
      <c r="D58" s="9"/>
    </row>
    <row r="59" spans="2:4">
      <c r="C59" s="9"/>
      <c r="D59" s="9"/>
    </row>
    <row r="60" spans="2:4">
      <c r="B60" s="9"/>
      <c r="C60" s="9"/>
      <c r="D60" s="9"/>
    </row>
    <row r="61" spans="2:4">
      <c r="B61" s="9"/>
      <c r="C61" s="9"/>
      <c r="D61" s="9"/>
    </row>
    <row r="62" spans="2:4">
      <c r="B62" s="9"/>
      <c r="C62" s="9"/>
      <c r="D62" s="9"/>
    </row>
    <row r="63" spans="2:4">
      <c r="B63" s="9"/>
      <c r="C63" s="9"/>
      <c r="D63" s="9"/>
    </row>
    <row r="64" spans="2:4">
      <c r="B64" s="9"/>
      <c r="C64" s="9"/>
      <c r="D64" s="9"/>
    </row>
    <row r="65" spans="2:4">
      <c r="C65" s="9"/>
      <c r="D65" s="9"/>
    </row>
    <row r="66" spans="2:4">
      <c r="B66" s="9"/>
      <c r="C66" s="9"/>
      <c r="D66" s="9"/>
    </row>
    <row r="67" spans="2:4">
      <c r="B67" s="9"/>
      <c r="C67" s="9"/>
      <c r="D67" s="9"/>
    </row>
    <row r="68" spans="2:4">
      <c r="B68" s="9"/>
    </row>
    <row r="69" spans="2:4">
      <c r="B69" s="9"/>
    </row>
    <row r="70" spans="2:4">
      <c r="B70" s="9"/>
    </row>
    <row r="71" spans="2:4">
      <c r="B71" s="9"/>
    </row>
    <row r="72" spans="2:4">
      <c r="B72" s="9"/>
    </row>
  </sheetData>
  <sortState xmlns:xlrd2="http://schemas.microsoft.com/office/spreadsheetml/2017/richdata2" ref="A7:D39">
    <sortCondition ref="D7:D39"/>
  </sortState>
  <hyperlinks>
    <hyperlink ref="A4" location="Contents!A1" display="Return to Contents" xr:uid="{D7731BF7-B709-4D9F-A54E-207F7582B30B}"/>
  </hyperlinks>
  <pageMargins left="0.25" right="0.25" top="0.75" bottom="0.75" header="0.3" footer="0.3"/>
  <pageSetup paperSize="9" scale="40" orientation="landscape" r:id="rId1"/>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59C708-8423-4647-BD85-6D2DBDDE930D}">
  <sheetPr>
    <tabColor rgb="FFDDE5F1"/>
    <pageSetUpPr fitToPage="1"/>
  </sheetPr>
  <dimension ref="A1:G72"/>
  <sheetViews>
    <sheetView zoomScaleNormal="100" workbookViewId="0"/>
  </sheetViews>
  <sheetFormatPr defaultColWidth="9.1796875" defaultRowHeight="15.5"/>
  <cols>
    <col min="1" max="1" width="27" style="9" customWidth="1"/>
    <col min="2" max="2" width="18.453125" style="5" customWidth="1"/>
    <col min="3" max="3" width="18.7265625" style="5" customWidth="1"/>
    <col min="4" max="4" width="21.453125" style="5" customWidth="1"/>
    <col min="5" max="7" width="9.1796875" style="9" customWidth="1"/>
    <col min="8" max="16384" width="9.1796875" style="9"/>
  </cols>
  <sheetData>
    <row r="1" spans="1:7" ht="30" customHeight="1">
      <c r="A1" s="22" t="s">
        <v>845</v>
      </c>
    </row>
    <row r="2" spans="1:7" ht="20.149999999999999" customHeight="1">
      <c r="A2" s="9" t="s">
        <v>236</v>
      </c>
    </row>
    <row r="3" spans="1:7" ht="20.149999999999999" customHeight="1">
      <c r="A3" s="376" t="s">
        <v>648</v>
      </c>
    </row>
    <row r="4" spans="1:7" ht="20.149999999999999" customHeight="1">
      <c r="A4" s="15" t="s">
        <v>62</v>
      </c>
      <c r="B4" s="28"/>
      <c r="C4" s="28"/>
      <c r="D4" s="28"/>
      <c r="E4" s="7"/>
    </row>
    <row r="5" spans="1:7" ht="10.15" customHeight="1">
      <c r="A5" s="26"/>
      <c r="E5" s="7"/>
    </row>
    <row r="6" spans="1:7" ht="55.15" customHeight="1">
      <c r="A6" s="104" t="s">
        <v>5</v>
      </c>
      <c r="B6" s="96" t="s">
        <v>237</v>
      </c>
      <c r="C6" s="96" t="s">
        <v>58</v>
      </c>
      <c r="D6" s="96" t="s">
        <v>262</v>
      </c>
      <c r="E6" s="18"/>
      <c r="F6" s="106"/>
      <c r="G6" s="170"/>
    </row>
    <row r="7" spans="1:7" ht="20.149999999999999" customHeight="1">
      <c r="A7" s="9" t="s">
        <v>31</v>
      </c>
      <c r="B7" s="35">
        <v>59121</v>
      </c>
      <c r="C7" s="130">
        <v>330280</v>
      </c>
      <c r="D7" s="35">
        <v>179.002664405959</v>
      </c>
      <c r="F7" s="107"/>
      <c r="G7" s="171"/>
    </row>
    <row r="8" spans="1:7" ht="20.149999999999999" customHeight="1">
      <c r="A8" s="9" t="s">
        <v>12</v>
      </c>
      <c r="B8" s="35">
        <v>27290</v>
      </c>
      <c r="C8" s="130">
        <v>120750</v>
      </c>
      <c r="D8" s="35">
        <v>226.00414078675001</v>
      </c>
      <c r="F8" s="107"/>
      <c r="G8" s="171"/>
    </row>
    <row r="9" spans="1:7" ht="20.149999999999999" customHeight="1">
      <c r="A9" s="9" t="s">
        <v>9</v>
      </c>
      <c r="B9" s="35">
        <v>14167</v>
      </c>
      <c r="C9" s="130">
        <v>51940</v>
      </c>
      <c r="D9" s="35">
        <v>272.75702733923799</v>
      </c>
      <c r="F9" s="107"/>
      <c r="G9" s="171"/>
    </row>
    <row r="10" spans="1:7" ht="20.149999999999999" customHeight="1">
      <c r="A10" s="9" t="s">
        <v>32</v>
      </c>
      <c r="B10" s="35">
        <v>28323</v>
      </c>
      <c r="C10" s="130">
        <v>93550</v>
      </c>
      <c r="D10" s="35">
        <v>302.75788348476698</v>
      </c>
      <c r="F10" s="107"/>
      <c r="G10" s="171"/>
    </row>
    <row r="11" spans="1:7" ht="20.149999999999999" customHeight="1">
      <c r="A11" s="9" t="s">
        <v>17</v>
      </c>
      <c r="B11" s="35">
        <v>48050</v>
      </c>
      <c r="C11" s="130">
        <v>158620</v>
      </c>
      <c r="D11" s="35">
        <v>302.92523010969597</v>
      </c>
      <c r="F11" s="107"/>
      <c r="G11" s="171"/>
    </row>
    <row r="12" spans="1:7" ht="20.149999999999999" customHeight="1">
      <c r="A12" s="9" t="s">
        <v>23</v>
      </c>
      <c r="B12" s="35">
        <v>29308</v>
      </c>
      <c r="C12" s="130">
        <v>94670</v>
      </c>
      <c r="D12" s="35">
        <v>309.58064856871198</v>
      </c>
      <c r="F12" s="107"/>
      <c r="G12" s="171"/>
    </row>
    <row r="13" spans="1:7" ht="20.149999999999999" customHeight="1">
      <c r="A13" s="9" t="s">
        <v>8</v>
      </c>
      <c r="B13" s="35">
        <v>35985</v>
      </c>
      <c r="C13" s="130">
        <v>114820</v>
      </c>
      <c r="D13" s="35">
        <v>313.403588225048</v>
      </c>
      <c r="F13" s="107"/>
      <c r="G13" s="171"/>
    </row>
    <row r="14" spans="1:7" ht="20.149999999999999" customHeight="1">
      <c r="A14" s="9" t="s">
        <v>10</v>
      </c>
      <c r="B14" s="35">
        <v>49636</v>
      </c>
      <c r="C14" s="130">
        <v>145670</v>
      </c>
      <c r="D14" s="35">
        <v>340.74277476487998</v>
      </c>
      <c r="F14" s="107"/>
      <c r="G14" s="171"/>
    </row>
    <row r="15" spans="1:7" ht="20.149999999999999" customHeight="1">
      <c r="A15" s="9" t="s">
        <v>21</v>
      </c>
      <c r="B15" s="35">
        <v>27579</v>
      </c>
      <c r="C15" s="130">
        <v>78330</v>
      </c>
      <c r="D15" s="35">
        <v>352.08732286480301</v>
      </c>
      <c r="F15" s="107"/>
      <c r="G15" s="171"/>
    </row>
    <row r="16" spans="1:7" ht="20.149999999999999" customHeight="1">
      <c r="A16" s="9" t="s">
        <v>33</v>
      </c>
      <c r="B16" s="35">
        <v>32734</v>
      </c>
      <c r="C16" s="130">
        <v>88750</v>
      </c>
      <c r="D16" s="35">
        <v>368.83380281690103</v>
      </c>
      <c r="F16" s="107"/>
      <c r="G16" s="171"/>
    </row>
    <row r="17" spans="1:7" ht="20.149999999999999" customHeight="1">
      <c r="A17" s="9" t="s">
        <v>25</v>
      </c>
      <c r="B17" s="35">
        <v>129888</v>
      </c>
      <c r="C17" s="130">
        <v>341890</v>
      </c>
      <c r="D17" s="35">
        <v>379.91166749539298</v>
      </c>
      <c r="F17" s="107"/>
      <c r="G17" s="171"/>
    </row>
    <row r="18" spans="1:7" ht="20.149999999999999" customHeight="1">
      <c r="A18" s="9" t="s">
        <v>13</v>
      </c>
      <c r="B18" s="35">
        <v>42268</v>
      </c>
      <c r="C18" s="130">
        <v>109230</v>
      </c>
      <c r="D18" s="35">
        <v>386.96328847386201</v>
      </c>
      <c r="F18" s="107"/>
      <c r="G18" s="171"/>
    </row>
    <row r="19" spans="1:7" ht="20.149999999999999" customHeight="1">
      <c r="A19" s="9" t="s">
        <v>19</v>
      </c>
      <c r="B19" s="35">
        <v>245422</v>
      </c>
      <c r="C19" s="130">
        <v>631970</v>
      </c>
      <c r="D19" s="35">
        <v>388.34438343592302</v>
      </c>
      <c r="F19" s="107"/>
      <c r="G19" s="171"/>
    </row>
    <row r="20" spans="1:7" ht="20.149999999999999" customHeight="1">
      <c r="A20" s="9" t="s">
        <v>34</v>
      </c>
      <c r="B20" s="35">
        <v>72270</v>
      </c>
      <c r="C20" s="130">
        <v>183810</v>
      </c>
      <c r="D20" s="35">
        <v>393.17773788150799</v>
      </c>
      <c r="F20" s="107"/>
      <c r="G20" s="171"/>
    </row>
    <row r="21" spans="1:7" ht="20.149999999999999" customHeight="1">
      <c r="A21" s="9" t="s">
        <v>7</v>
      </c>
      <c r="B21" s="35">
        <v>107853</v>
      </c>
      <c r="C21" s="130">
        <v>264320</v>
      </c>
      <c r="D21" s="35">
        <v>408.03949757869299</v>
      </c>
      <c r="F21" s="107"/>
      <c r="G21" s="171"/>
    </row>
    <row r="22" spans="1:7" ht="20.149999999999999" customHeight="1">
      <c r="A22" s="9" t="s">
        <v>18</v>
      </c>
      <c r="B22" s="35">
        <v>155433</v>
      </c>
      <c r="C22" s="130">
        <v>373210</v>
      </c>
      <c r="D22" s="35">
        <v>416.47597867152501</v>
      </c>
      <c r="F22" s="107"/>
      <c r="G22" s="171"/>
    </row>
    <row r="23" spans="1:7" ht="20.149999999999999" customHeight="1">
      <c r="A23" s="7" t="s">
        <v>15</v>
      </c>
      <c r="B23" s="130">
        <v>42504</v>
      </c>
      <c r="C23" s="130">
        <v>98600</v>
      </c>
      <c r="D23" s="130">
        <v>431.07505070993898</v>
      </c>
      <c r="E23" s="51"/>
      <c r="F23" s="107"/>
      <c r="G23" s="171"/>
    </row>
    <row r="24" spans="1:7" ht="20.149999999999999" customHeight="1">
      <c r="A24" s="9" t="s">
        <v>29</v>
      </c>
      <c r="B24" s="35">
        <v>10185</v>
      </c>
      <c r="C24" s="130">
        <v>23000</v>
      </c>
      <c r="D24" s="35">
        <v>442.82608695652198</v>
      </c>
      <c r="F24" s="107"/>
      <c r="G24" s="171"/>
    </row>
    <row r="25" spans="1:7" ht="20.149999999999999" customHeight="1">
      <c r="A25" s="9" t="s">
        <v>30</v>
      </c>
      <c r="B25" s="35">
        <v>50145</v>
      </c>
      <c r="C25" s="130">
        <v>111830</v>
      </c>
      <c r="D25" s="35">
        <v>448.40382723777202</v>
      </c>
      <c r="F25" s="107"/>
      <c r="G25" s="171"/>
    </row>
    <row r="26" spans="1:7" ht="20.149999999999999" customHeight="1">
      <c r="A26" s="2" t="s">
        <v>158</v>
      </c>
      <c r="B26" s="307">
        <v>2476686</v>
      </c>
      <c r="C26" s="87">
        <v>5490100</v>
      </c>
      <c r="D26" s="307">
        <v>451.11855886049398</v>
      </c>
      <c r="F26" s="107"/>
      <c r="G26" s="171"/>
    </row>
    <row r="27" spans="1:7" ht="20.149999999999999" customHeight="1">
      <c r="A27" s="9" t="s">
        <v>14</v>
      </c>
      <c r="B27" s="35">
        <v>52550</v>
      </c>
      <c r="C27" s="130">
        <v>113740</v>
      </c>
      <c r="D27" s="35">
        <v>462.01863900123101</v>
      </c>
      <c r="F27" s="107"/>
      <c r="G27" s="171"/>
    </row>
    <row r="28" spans="1:7" ht="20.149999999999999" customHeight="1">
      <c r="A28" s="9" t="s">
        <v>127</v>
      </c>
      <c r="B28" s="35">
        <v>40950</v>
      </c>
      <c r="C28" s="130">
        <v>87810</v>
      </c>
      <c r="D28" s="35">
        <v>466.34779637854501</v>
      </c>
      <c r="F28" s="107"/>
      <c r="G28" s="171"/>
    </row>
    <row r="29" spans="1:7" ht="20.149999999999999" customHeight="1">
      <c r="A29" s="9" t="s">
        <v>22</v>
      </c>
      <c r="B29" s="35">
        <v>48375</v>
      </c>
      <c r="C29" s="130">
        <v>98260</v>
      </c>
      <c r="D29" s="35">
        <v>492.31630368410299</v>
      </c>
      <c r="F29" s="107"/>
      <c r="G29" s="171"/>
    </row>
    <row r="30" spans="1:7" ht="20.149999999999999" customHeight="1">
      <c r="A30" s="9" t="s">
        <v>11</v>
      </c>
      <c r="B30" s="35">
        <v>75569</v>
      </c>
      <c r="C30" s="130">
        <v>150390</v>
      </c>
      <c r="D30" s="35">
        <v>502.486867477891</v>
      </c>
      <c r="F30" s="107"/>
      <c r="G30" s="171"/>
    </row>
    <row r="31" spans="1:7" ht="20.149999999999999" customHeight="1">
      <c r="A31" s="9" t="s">
        <v>6</v>
      </c>
      <c r="B31" s="35">
        <v>118250</v>
      </c>
      <c r="C31" s="130">
        <v>227750</v>
      </c>
      <c r="D31" s="35">
        <v>519.20965971459896</v>
      </c>
      <c r="F31" s="107"/>
      <c r="G31" s="171"/>
    </row>
    <row r="32" spans="1:7" ht="20.149999999999999" customHeight="1">
      <c r="A32" s="9" t="s">
        <v>16</v>
      </c>
      <c r="B32" s="35">
        <v>103088</v>
      </c>
      <c r="C32" s="130">
        <v>186540</v>
      </c>
      <c r="D32" s="35">
        <v>552.63214324005605</v>
      </c>
      <c r="F32" s="107"/>
      <c r="G32" s="171"/>
    </row>
    <row r="33" spans="1:7" ht="20.149999999999999" customHeight="1">
      <c r="A33" s="9" t="s">
        <v>113</v>
      </c>
      <c r="B33" s="35">
        <v>303397</v>
      </c>
      <c r="C33" s="130">
        <v>523250</v>
      </c>
      <c r="D33" s="35">
        <v>579.83182035355901</v>
      </c>
      <c r="F33" s="107"/>
      <c r="G33" s="171"/>
    </row>
    <row r="34" spans="1:7" ht="20.149999999999999" customHeight="1">
      <c r="A34" s="9" t="s">
        <v>26</v>
      </c>
      <c r="B34" s="35">
        <v>13336</v>
      </c>
      <c r="C34" s="130">
        <v>22000</v>
      </c>
      <c r="D34" s="35">
        <v>606.18181818181802</v>
      </c>
      <c r="F34" s="107"/>
      <c r="G34" s="171"/>
    </row>
    <row r="35" spans="1:7" ht="20.149999999999999" customHeight="1">
      <c r="A35" s="9" t="s">
        <v>24</v>
      </c>
      <c r="B35" s="35">
        <v>86137</v>
      </c>
      <c r="C35" s="130">
        <v>133570</v>
      </c>
      <c r="D35" s="35">
        <v>644.88283297147598</v>
      </c>
      <c r="F35" s="107"/>
      <c r="G35" s="171"/>
    </row>
    <row r="36" spans="1:7" ht="20.149999999999999" customHeight="1">
      <c r="A36" s="9" t="s">
        <v>20</v>
      </c>
      <c r="B36" s="35">
        <v>158856</v>
      </c>
      <c r="C36" s="130">
        <v>236330</v>
      </c>
      <c r="D36" s="35">
        <v>672.17873312740699</v>
      </c>
      <c r="F36" s="107"/>
      <c r="G36" s="171"/>
    </row>
    <row r="37" spans="1:7" ht="20.149999999999999" customHeight="1">
      <c r="A37" s="9" t="s">
        <v>28</v>
      </c>
      <c r="B37" s="35">
        <v>89985</v>
      </c>
      <c r="C37" s="130">
        <v>116630</v>
      </c>
      <c r="D37" s="35">
        <v>771.54248478093098</v>
      </c>
      <c r="F37" s="107"/>
      <c r="G37" s="171"/>
    </row>
    <row r="38" spans="1:7" ht="20.149999999999999" customHeight="1">
      <c r="A38" s="9" t="s">
        <v>27</v>
      </c>
      <c r="B38" s="35">
        <v>149847</v>
      </c>
      <c r="C38" s="130">
        <v>152560</v>
      </c>
      <c r="D38" s="35">
        <v>982.21683272155201</v>
      </c>
      <c r="F38" s="107"/>
      <c r="G38" s="171"/>
    </row>
    <row r="39" spans="1:7" ht="20.149999999999999" customHeight="1" thickBot="1">
      <c r="A39" s="109" t="s">
        <v>114</v>
      </c>
      <c r="B39" s="123">
        <v>28185</v>
      </c>
      <c r="C39" s="153">
        <v>26030</v>
      </c>
      <c r="D39" s="123">
        <v>1082.7890895121</v>
      </c>
      <c r="F39" s="107"/>
      <c r="G39" s="171"/>
    </row>
    <row r="40" spans="1:7">
      <c r="C40" s="9"/>
      <c r="D40" s="9"/>
    </row>
    <row r="41" spans="1:7">
      <c r="A41" s="180"/>
      <c r="B41" s="288"/>
      <c r="C41" s="288"/>
      <c r="D41" s="172"/>
    </row>
    <row r="42" spans="1:7">
      <c r="B42" s="9"/>
      <c r="C42" s="9"/>
      <c r="D42" s="9"/>
    </row>
    <row r="43" spans="1:7">
      <c r="C43" s="9"/>
      <c r="D43" s="9"/>
    </row>
    <row r="44" spans="1:7">
      <c r="B44" s="9"/>
      <c r="C44" s="9"/>
      <c r="D44" s="9"/>
    </row>
    <row r="45" spans="1:7">
      <c r="B45" s="9"/>
      <c r="C45" s="9"/>
      <c r="D45" s="9"/>
    </row>
    <row r="46" spans="1:7">
      <c r="B46" s="9"/>
      <c r="C46" s="9"/>
      <c r="D46" s="9"/>
    </row>
    <row r="47" spans="1:7">
      <c r="B47" s="9"/>
      <c r="C47" s="9"/>
      <c r="D47" s="9"/>
    </row>
    <row r="48" spans="1:7">
      <c r="C48" s="9"/>
      <c r="D48" s="9"/>
    </row>
    <row r="49" spans="2:4">
      <c r="B49" s="9"/>
      <c r="C49" s="9"/>
      <c r="D49" s="9"/>
    </row>
    <row r="50" spans="2:4">
      <c r="B50" s="9"/>
      <c r="C50" s="9"/>
      <c r="D50" s="9"/>
    </row>
    <row r="51" spans="2:4">
      <c r="B51" s="9"/>
      <c r="C51" s="9"/>
      <c r="D51" s="9"/>
    </row>
    <row r="52" spans="2:4">
      <c r="B52" s="9"/>
      <c r="C52" s="9"/>
      <c r="D52" s="9"/>
    </row>
    <row r="53" spans="2:4">
      <c r="B53" s="9"/>
      <c r="C53" s="9"/>
      <c r="D53" s="9"/>
    </row>
    <row r="54" spans="2:4">
      <c r="B54" s="9"/>
      <c r="C54" s="9"/>
      <c r="D54" s="9"/>
    </row>
    <row r="55" spans="2:4">
      <c r="B55" s="9"/>
      <c r="C55" s="9"/>
      <c r="D55" s="9"/>
    </row>
    <row r="56" spans="2:4">
      <c r="B56" s="9"/>
      <c r="C56" s="9"/>
      <c r="D56" s="9"/>
    </row>
    <row r="57" spans="2:4">
      <c r="B57" s="9"/>
      <c r="C57" s="9"/>
      <c r="D57" s="9"/>
    </row>
    <row r="58" spans="2:4">
      <c r="B58" s="9"/>
      <c r="C58" s="9"/>
      <c r="D58" s="9"/>
    </row>
    <row r="59" spans="2:4">
      <c r="C59" s="9"/>
      <c r="D59" s="9"/>
    </row>
    <row r="60" spans="2:4">
      <c r="B60" s="9"/>
      <c r="C60" s="9"/>
      <c r="D60" s="9"/>
    </row>
    <row r="61" spans="2:4">
      <c r="B61" s="9"/>
      <c r="C61" s="9"/>
      <c r="D61" s="9"/>
    </row>
    <row r="62" spans="2:4">
      <c r="B62" s="9"/>
      <c r="C62" s="9"/>
      <c r="D62" s="9"/>
    </row>
    <row r="63" spans="2:4">
      <c r="B63" s="9"/>
      <c r="C63" s="9"/>
      <c r="D63" s="9"/>
    </row>
    <row r="64" spans="2:4">
      <c r="B64" s="9"/>
      <c r="C64" s="9"/>
      <c r="D64" s="9"/>
    </row>
    <row r="65" spans="2:4">
      <c r="C65" s="9"/>
      <c r="D65" s="9"/>
    </row>
    <row r="66" spans="2:4">
      <c r="B66" s="9"/>
      <c r="C66" s="9"/>
      <c r="D66" s="9"/>
    </row>
    <row r="67" spans="2:4">
      <c r="B67" s="9"/>
      <c r="C67" s="9"/>
      <c r="D67" s="9"/>
    </row>
    <row r="68" spans="2:4">
      <c r="B68" s="9"/>
    </row>
    <row r="69" spans="2:4">
      <c r="B69" s="9"/>
    </row>
    <row r="70" spans="2:4">
      <c r="B70" s="9"/>
    </row>
    <row r="71" spans="2:4">
      <c r="B71" s="9"/>
    </row>
    <row r="72" spans="2:4">
      <c r="B72" s="9"/>
    </row>
  </sheetData>
  <sortState xmlns:xlrd2="http://schemas.microsoft.com/office/spreadsheetml/2017/richdata2" ref="A7:D39">
    <sortCondition ref="D7:D39"/>
  </sortState>
  <hyperlinks>
    <hyperlink ref="A4" location="Contents!A1" display="Return to Contents" xr:uid="{FB744FA3-7556-46D5-912B-434C20177192}"/>
  </hyperlinks>
  <pageMargins left="0.25" right="0.25" top="0.75" bottom="0.75" header="0.3" footer="0.3"/>
  <pageSetup paperSize="9" scale="40" orientation="landscape" r:id="rId1"/>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AE2EA-CCD8-455F-A03D-1C3DE2A9EF08}">
  <sheetPr codeName="Sheet48">
    <tabColor rgb="FFDDE5F1"/>
    <pageSetUpPr fitToPage="1"/>
  </sheetPr>
  <dimension ref="A1:I25"/>
  <sheetViews>
    <sheetView zoomScale="99" zoomScaleNormal="99" workbookViewId="0">
      <selection activeCell="A5" sqref="A5"/>
    </sheetView>
  </sheetViews>
  <sheetFormatPr defaultColWidth="9.1796875" defaultRowHeight="15.5"/>
  <cols>
    <col min="1" max="1" width="50.7265625" style="9" customWidth="1"/>
    <col min="2" max="3" width="15.7265625" style="65" customWidth="1"/>
    <col min="4" max="4" width="20.7265625" style="5" customWidth="1"/>
    <col min="5" max="5" width="9.1796875" style="9"/>
    <col min="6" max="6" width="9.1796875" style="9" customWidth="1"/>
    <col min="7" max="16384" width="9.1796875" style="9"/>
  </cols>
  <sheetData>
    <row r="1" spans="1:9" ht="30" customHeight="1">
      <c r="A1" s="72" t="s">
        <v>798</v>
      </c>
      <c r="B1" s="69"/>
    </row>
    <row r="2" spans="1:9" ht="20.149999999999999" customHeight="1">
      <c r="A2" s="7" t="s">
        <v>214</v>
      </c>
    </row>
    <row r="3" spans="1:9" ht="20.149999999999999" customHeight="1">
      <c r="A3" s="7" t="s">
        <v>304</v>
      </c>
    </row>
    <row r="4" spans="1:9" ht="20.149999999999999" customHeight="1">
      <c r="A4" s="2" t="s">
        <v>232</v>
      </c>
    </row>
    <row r="5" spans="1:9" ht="20.149999999999999" customHeight="1">
      <c r="A5" s="15" t="s">
        <v>62</v>
      </c>
    </row>
    <row r="6" spans="1:9" ht="10" customHeight="1">
      <c r="E6" s="7"/>
      <c r="F6" s="111"/>
      <c r="G6" s="110"/>
      <c r="H6" s="110"/>
      <c r="I6" s="110"/>
    </row>
    <row r="7" spans="1:9" ht="40" customHeight="1">
      <c r="A7" s="98" t="s">
        <v>263</v>
      </c>
      <c r="B7" s="96" t="s">
        <v>37</v>
      </c>
      <c r="C7" s="96" t="s">
        <v>36</v>
      </c>
      <c r="D7" s="99" t="s">
        <v>38</v>
      </c>
      <c r="E7" s="18"/>
      <c r="F7" s="106"/>
      <c r="G7" s="170"/>
      <c r="H7" s="170"/>
      <c r="I7" s="172"/>
    </row>
    <row r="8" spans="1:9" ht="20.149999999999999" customHeight="1">
      <c r="A8" s="9" t="s">
        <v>264</v>
      </c>
      <c r="B8" s="35">
        <v>1251.3</v>
      </c>
      <c r="C8" s="35">
        <v>227.80799999999999</v>
      </c>
      <c r="D8" s="35">
        <v>1479.1079999999999</v>
      </c>
      <c r="E8" s="68"/>
      <c r="F8" s="107"/>
      <c r="G8" s="263"/>
      <c r="H8" s="263"/>
      <c r="I8" s="176"/>
    </row>
    <row r="9" spans="1:9" ht="20.149999999999999" customHeight="1">
      <c r="A9" s="95" t="s">
        <v>135</v>
      </c>
      <c r="B9" s="118">
        <v>1239.634</v>
      </c>
      <c r="C9" s="118">
        <v>861.71100000000001</v>
      </c>
      <c r="D9" s="118">
        <v>2101.3449999999998</v>
      </c>
      <c r="E9" s="68"/>
      <c r="F9" s="107"/>
      <c r="G9" s="263"/>
      <c r="H9" s="263"/>
      <c r="I9" s="176"/>
    </row>
    <row r="10" spans="1:9" ht="20.149999999999999" customHeight="1">
      <c r="A10" s="9" t="s">
        <v>69</v>
      </c>
      <c r="B10" s="35">
        <v>691.93899999999996</v>
      </c>
      <c r="C10" s="35">
        <v>0.41899999999999998</v>
      </c>
      <c r="D10" s="35">
        <v>692.35799999999995</v>
      </c>
      <c r="E10" s="68"/>
      <c r="F10" s="107"/>
      <c r="G10" s="263"/>
      <c r="H10" s="263"/>
      <c r="I10" s="176"/>
    </row>
    <row r="11" spans="1:9" ht="20.149999999999999" customHeight="1">
      <c r="A11" s="95" t="s">
        <v>76</v>
      </c>
      <c r="B11" s="118">
        <v>87.921000000000006</v>
      </c>
      <c r="C11" s="118">
        <v>23.957999999999998</v>
      </c>
      <c r="D11" s="118">
        <v>111.879</v>
      </c>
      <c r="E11" s="68"/>
      <c r="F11" s="107"/>
      <c r="G11" s="263"/>
      <c r="H11" s="263"/>
      <c r="I11" s="176"/>
    </row>
    <row r="12" spans="1:9" ht="20.149999999999999" customHeight="1">
      <c r="A12" s="9" t="s">
        <v>311</v>
      </c>
      <c r="B12" s="35">
        <v>102.294</v>
      </c>
      <c r="C12" s="35">
        <v>172.41900000000001</v>
      </c>
      <c r="D12" s="35">
        <v>274.71300000000002</v>
      </c>
      <c r="E12" s="68"/>
      <c r="F12" s="107"/>
      <c r="G12" s="263"/>
      <c r="H12" s="263"/>
      <c r="I12" s="176"/>
    </row>
    <row r="13" spans="1:9" ht="25" customHeight="1">
      <c r="A13" s="98" t="s">
        <v>136</v>
      </c>
      <c r="B13" s="126">
        <v>3373.0880000000002</v>
      </c>
      <c r="C13" s="126">
        <v>1286.3150000000001</v>
      </c>
      <c r="D13" s="126">
        <v>4659.4030000000002</v>
      </c>
      <c r="E13" s="68"/>
      <c r="F13" s="172"/>
      <c r="G13" s="191"/>
      <c r="H13" s="191"/>
      <c r="I13" s="176"/>
    </row>
    <row r="25" spans="4:4">
      <c r="D25" s="35"/>
    </row>
  </sheetData>
  <hyperlinks>
    <hyperlink ref="A5" location="Contents!A1" display="Return to Contents" xr:uid="{A4953BCC-3A18-4E54-A921-CBC5E9AE49AB}"/>
  </hyperlinks>
  <pageMargins left="0.25" right="0.25" top="0.75" bottom="0.75" header="0.3" footer="0.3"/>
  <pageSetup paperSize="9" scale="52" orientation="landscape" r:id="rId1"/>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90965-BEEC-411D-939B-E9A85A703DE1}">
  <sheetPr codeName="Sheet49">
    <tabColor rgb="FFDDE5F1"/>
    <pageSetUpPr fitToPage="1"/>
  </sheetPr>
  <dimension ref="A1:Q24"/>
  <sheetViews>
    <sheetView zoomScaleNormal="100" workbookViewId="0"/>
  </sheetViews>
  <sheetFormatPr defaultColWidth="9.1796875" defaultRowHeight="15.5"/>
  <cols>
    <col min="1" max="1" width="50.7265625" style="9" customWidth="1"/>
    <col min="2" max="6" width="14.7265625" style="5" customWidth="1"/>
    <col min="7" max="14" width="9.1796875" style="9" customWidth="1"/>
    <col min="15" max="16384" width="9.1796875" style="9"/>
  </cols>
  <sheetData>
    <row r="1" spans="1:17" ht="30" customHeight="1">
      <c r="A1" s="72" t="s">
        <v>815</v>
      </c>
    </row>
    <row r="2" spans="1:17" ht="20.149999999999999" customHeight="1">
      <c r="A2" s="9" t="s">
        <v>236</v>
      </c>
    </row>
    <row r="3" spans="1:17" ht="20.149999999999999" customHeight="1">
      <c r="A3" s="7" t="s">
        <v>304</v>
      </c>
      <c r="B3" s="65"/>
      <c r="C3" s="65"/>
      <c r="E3" s="9"/>
      <c r="F3" s="9"/>
    </row>
    <row r="4" spans="1:17" ht="20.149999999999999" customHeight="1">
      <c r="A4" s="9" t="s">
        <v>647</v>
      </c>
    </row>
    <row r="5" spans="1:17" ht="20.149999999999999" customHeight="1">
      <c r="A5" s="15" t="s">
        <v>62</v>
      </c>
      <c r="F5" s="6"/>
      <c r="G5" s="7"/>
    </row>
    <row r="6" spans="1:17" ht="10.15" customHeight="1">
      <c r="F6" s="28"/>
      <c r="G6" s="7"/>
    </row>
    <row r="7" spans="1:17" ht="40" customHeight="1">
      <c r="A7" s="98" t="s">
        <v>263</v>
      </c>
      <c r="B7" s="99" t="s">
        <v>188</v>
      </c>
      <c r="C7" s="99" t="s">
        <v>424</v>
      </c>
      <c r="D7" s="99" t="s">
        <v>600</v>
      </c>
      <c r="E7" s="99" t="s">
        <v>636</v>
      </c>
      <c r="F7" s="99" t="s">
        <v>838</v>
      </c>
      <c r="G7" s="249"/>
      <c r="H7" s="106"/>
      <c r="I7" s="170"/>
      <c r="J7" s="170"/>
      <c r="K7" s="170"/>
      <c r="L7" s="170"/>
      <c r="M7" s="170"/>
      <c r="N7" s="262"/>
    </row>
    <row r="8" spans="1:17" ht="20.149999999999999" customHeight="1">
      <c r="A8" s="9" t="s">
        <v>264</v>
      </c>
      <c r="B8" s="130">
        <v>1321.722</v>
      </c>
      <c r="C8" s="130">
        <v>1401.643</v>
      </c>
      <c r="D8" s="130">
        <v>1617.1690000000001</v>
      </c>
      <c r="E8" s="130">
        <v>1633.425</v>
      </c>
      <c r="F8" s="130">
        <v>1479.1079999999999</v>
      </c>
      <c r="G8" s="34"/>
      <c r="H8" s="182"/>
      <c r="I8" s="428"/>
      <c r="J8" s="335"/>
      <c r="K8" s="107"/>
      <c r="L8" s="264"/>
      <c r="M8" s="174"/>
      <c r="N8" s="176"/>
      <c r="P8" s="51"/>
      <c r="Q8" s="44"/>
    </row>
    <row r="9" spans="1:17" ht="20.149999999999999" customHeight="1">
      <c r="A9" s="95" t="s">
        <v>135</v>
      </c>
      <c r="B9" s="167">
        <v>833.92399999999998</v>
      </c>
      <c r="C9" s="167">
        <v>1441.1659999999999</v>
      </c>
      <c r="D9" s="167">
        <v>1532.9770000000001</v>
      </c>
      <c r="E9" s="167">
        <v>1705.0730000000001</v>
      </c>
      <c r="F9" s="167">
        <v>2101.3449999999998</v>
      </c>
      <c r="G9" s="34"/>
      <c r="H9" s="182"/>
      <c r="I9" s="428"/>
      <c r="J9" s="335"/>
      <c r="K9" s="107"/>
      <c r="L9" s="107"/>
      <c r="M9" s="107"/>
      <c r="N9" s="176"/>
      <c r="P9" s="51"/>
      <c r="Q9" s="44"/>
    </row>
    <row r="10" spans="1:17" ht="20.149999999999999" customHeight="1">
      <c r="A10" s="9" t="s">
        <v>69</v>
      </c>
      <c r="B10" s="130">
        <v>96.876999999999995</v>
      </c>
      <c r="C10" s="130">
        <v>59.058999999999997</v>
      </c>
      <c r="D10" s="130">
        <v>265.84100000000001</v>
      </c>
      <c r="E10" s="130">
        <v>1.7230000000000001</v>
      </c>
      <c r="F10" s="130">
        <v>692.35799999999995</v>
      </c>
      <c r="G10" s="34"/>
      <c r="H10" s="182"/>
      <c r="I10" s="428"/>
      <c r="J10" s="335"/>
      <c r="K10" s="107"/>
      <c r="L10" s="107"/>
      <c r="M10" s="107"/>
      <c r="N10" s="176"/>
      <c r="P10" s="51"/>
      <c r="Q10" s="44"/>
    </row>
    <row r="11" spans="1:17" ht="20.149999999999999" customHeight="1">
      <c r="A11" s="95" t="s">
        <v>76</v>
      </c>
      <c r="B11" s="167">
        <v>71.63</v>
      </c>
      <c r="C11" s="167">
        <v>86.617999999999995</v>
      </c>
      <c r="D11" s="167">
        <v>105.396</v>
      </c>
      <c r="E11" s="167">
        <v>118.69</v>
      </c>
      <c r="F11" s="167">
        <v>111.879</v>
      </c>
      <c r="G11" s="34"/>
      <c r="H11" s="182"/>
      <c r="I11" s="428"/>
      <c r="J11" s="335"/>
      <c r="K11" s="107"/>
      <c r="L11" s="107"/>
      <c r="M11" s="107"/>
      <c r="N11" s="176"/>
      <c r="P11" s="51"/>
      <c r="Q11" s="44"/>
    </row>
    <row r="12" spans="1:17" ht="20.149999999999999" customHeight="1">
      <c r="A12" s="9" t="s">
        <v>311</v>
      </c>
      <c r="B12" s="130">
        <v>279.80599999999998</v>
      </c>
      <c r="C12" s="130">
        <v>353.00200000000001</v>
      </c>
      <c r="D12" s="130">
        <v>263.70499999999998</v>
      </c>
      <c r="E12" s="130">
        <v>218.928</v>
      </c>
      <c r="F12" s="130">
        <v>274.71300000000002</v>
      </c>
      <c r="G12" s="34"/>
      <c r="H12" s="182"/>
      <c r="I12" s="428"/>
      <c r="J12" s="335"/>
      <c r="K12" s="107"/>
      <c r="L12" s="107"/>
      <c r="M12" s="107"/>
      <c r="N12" s="176"/>
      <c r="P12" s="51"/>
      <c r="Q12" s="44"/>
    </row>
    <row r="13" spans="1:17" ht="25" customHeight="1">
      <c r="A13" s="98" t="s">
        <v>136</v>
      </c>
      <c r="B13" s="126">
        <v>2603.9589999999998</v>
      </c>
      <c r="C13" s="126">
        <v>3341.4879999999998</v>
      </c>
      <c r="D13" s="126">
        <v>3785.0880000000002</v>
      </c>
      <c r="E13" s="126">
        <v>3677.8389999999999</v>
      </c>
      <c r="F13" s="126">
        <v>4659.4030000000002</v>
      </c>
      <c r="G13" s="34"/>
      <c r="H13" s="182"/>
      <c r="I13" s="428"/>
      <c r="J13" s="335"/>
      <c r="K13" s="261"/>
      <c r="L13" s="261"/>
      <c r="M13" s="261"/>
      <c r="N13" s="176"/>
      <c r="P13" s="155"/>
      <c r="Q13" s="44"/>
    </row>
    <row r="14" spans="1:17" ht="10" customHeight="1">
      <c r="B14" s="9"/>
      <c r="C14" s="9"/>
      <c r="D14" s="9"/>
      <c r="E14" s="9"/>
      <c r="F14" s="9"/>
      <c r="I14" s="18"/>
      <c r="J14" s="18"/>
      <c r="K14" s="18"/>
    </row>
    <row r="15" spans="1:17">
      <c r="B15" s="51"/>
      <c r="C15" s="51"/>
      <c r="D15" s="51"/>
      <c r="E15" s="51"/>
      <c r="F15" s="43"/>
      <c r="G15" s="18"/>
      <c r="H15" s="18"/>
    </row>
    <row r="16" spans="1:17" ht="10" customHeight="1">
      <c r="B16" s="9"/>
      <c r="C16" s="9"/>
      <c r="D16" s="9"/>
      <c r="E16" s="9"/>
      <c r="F16" s="9"/>
    </row>
    <row r="17" spans="1:8">
      <c r="B17" s="65"/>
      <c r="C17" s="65"/>
      <c r="F17" s="9"/>
    </row>
    <row r="18" spans="1:8">
      <c r="B18" s="65"/>
      <c r="C18" s="65"/>
      <c r="F18" s="9"/>
    </row>
    <row r="19" spans="1:8">
      <c r="B19" s="65"/>
      <c r="C19" s="65"/>
      <c r="F19" s="9"/>
    </row>
    <row r="20" spans="1:8">
      <c r="A20" s="54"/>
      <c r="B20" s="7"/>
      <c r="C20" s="7"/>
      <c r="D20" s="9"/>
      <c r="E20" s="9"/>
      <c r="F20" s="18"/>
      <c r="G20" s="18"/>
      <c r="H20" s="18"/>
    </row>
    <row r="21" spans="1:8">
      <c r="A21" s="8"/>
      <c r="B21" s="67"/>
      <c r="C21" s="67"/>
      <c r="D21" s="67"/>
      <c r="E21" s="67"/>
      <c r="F21" s="67"/>
    </row>
    <row r="22" spans="1:8">
      <c r="A22" s="7"/>
      <c r="B22" s="35"/>
      <c r="C22" s="35"/>
      <c r="D22" s="35"/>
      <c r="E22" s="35"/>
      <c r="F22" s="35"/>
    </row>
    <row r="23" spans="1:8">
      <c r="A23" s="7"/>
      <c r="B23" s="28"/>
      <c r="C23" s="28"/>
    </row>
    <row r="24" spans="1:8">
      <c r="A24" s="81"/>
    </row>
  </sheetData>
  <hyperlinks>
    <hyperlink ref="A5" location="Contents!A1" display="Return to Contents" xr:uid="{E178987A-3C6D-4B0B-B768-E69DF4CCD927}"/>
  </hyperlinks>
  <pageMargins left="0.25" right="0.25" top="0.75" bottom="0.75" header="0.3" footer="0.3"/>
  <pageSetup paperSize="9" scale="49" orientation="landscape" r:id="rId1"/>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3439A-ADEB-46BA-874C-553AC0E28F9B}">
  <sheetPr codeName="Sheet50">
    <tabColor rgb="FFDDE5F1"/>
    <pageSetUpPr fitToPage="1"/>
  </sheetPr>
  <dimension ref="A1:I16"/>
  <sheetViews>
    <sheetView zoomScaleNormal="100" workbookViewId="0"/>
  </sheetViews>
  <sheetFormatPr defaultColWidth="9.1796875" defaultRowHeight="15.5"/>
  <cols>
    <col min="1" max="1" width="46.54296875" style="9" customWidth="1"/>
    <col min="2" max="3" width="15.453125" style="65" customWidth="1"/>
    <col min="4" max="4" width="20.54296875" style="5" customWidth="1"/>
    <col min="5" max="5" width="9.453125" style="9" bestFit="1" customWidth="1"/>
    <col min="6" max="6" width="19" style="9" customWidth="1"/>
    <col min="7" max="8" width="11.81640625" style="9" customWidth="1"/>
    <col min="9" max="9" width="12.26953125" style="9" customWidth="1"/>
    <col min="10" max="16384" width="9.1796875" style="9"/>
  </cols>
  <sheetData>
    <row r="1" spans="1:9" ht="30" customHeight="1">
      <c r="A1" s="72" t="s">
        <v>827</v>
      </c>
      <c r="B1" s="69"/>
      <c r="C1" s="69"/>
      <c r="D1" s="36"/>
    </row>
    <row r="2" spans="1:9" ht="20.149999999999999" customHeight="1">
      <c r="A2" s="7" t="s">
        <v>214</v>
      </c>
      <c r="B2" s="69"/>
      <c r="C2" s="69"/>
      <c r="D2" s="36"/>
    </row>
    <row r="3" spans="1:9" ht="20.149999999999999" customHeight="1">
      <c r="A3" s="7" t="s">
        <v>265</v>
      </c>
      <c r="B3" s="69"/>
      <c r="C3" s="69"/>
      <c r="D3" s="36"/>
    </row>
    <row r="4" spans="1:9" ht="20.149999999999999" customHeight="1">
      <c r="A4" s="9" t="s">
        <v>218</v>
      </c>
      <c r="B4" s="69"/>
      <c r="C4" s="69"/>
      <c r="D4" s="36"/>
    </row>
    <row r="5" spans="1:9" ht="20.149999999999999" customHeight="1">
      <c r="A5" s="15" t="s">
        <v>62</v>
      </c>
    </row>
    <row r="6" spans="1:9" ht="10" customHeight="1">
      <c r="E6" s="7"/>
    </row>
    <row r="7" spans="1:9" ht="40" customHeight="1">
      <c r="A7" s="98" t="s">
        <v>249</v>
      </c>
      <c r="B7" s="96" t="s">
        <v>198</v>
      </c>
      <c r="C7" s="96" t="s">
        <v>36</v>
      </c>
      <c r="D7" s="99" t="s">
        <v>38</v>
      </c>
      <c r="E7" s="18"/>
      <c r="F7" s="106"/>
      <c r="G7" s="170"/>
      <c r="H7" s="170"/>
      <c r="I7" s="172"/>
    </row>
    <row r="8" spans="1:9" ht="20.149999999999999" customHeight="1">
      <c r="A8" s="9" t="s">
        <v>240</v>
      </c>
      <c r="B8" s="130">
        <v>1185.0940000000001</v>
      </c>
      <c r="C8" s="130">
        <v>861.71100000000001</v>
      </c>
      <c r="D8" s="35">
        <v>2046.8050000000001</v>
      </c>
      <c r="F8" s="107"/>
      <c r="G8" s="263"/>
      <c r="H8" s="263"/>
      <c r="I8" s="173"/>
    </row>
    <row r="9" spans="1:9" ht="20.149999999999999" customHeight="1">
      <c r="A9" s="95" t="s">
        <v>67</v>
      </c>
      <c r="B9" s="167">
        <v>54.54</v>
      </c>
      <c r="C9" s="167">
        <v>0</v>
      </c>
      <c r="D9" s="118">
        <v>54.54</v>
      </c>
      <c r="F9" s="107"/>
      <c r="G9" s="171"/>
      <c r="H9" s="171"/>
      <c r="I9" s="173"/>
    </row>
    <row r="10" spans="1:9" ht="25" customHeight="1">
      <c r="A10" s="98" t="s">
        <v>68</v>
      </c>
      <c r="B10" s="125">
        <v>1239.634</v>
      </c>
      <c r="C10" s="125">
        <v>861.71100000000001</v>
      </c>
      <c r="D10" s="125">
        <v>2101.3449999999998</v>
      </c>
      <c r="E10" s="51"/>
      <c r="F10" s="172"/>
      <c r="G10" s="173"/>
      <c r="H10" s="173"/>
      <c r="I10" s="173"/>
    </row>
    <row r="11" spans="1:9" ht="20.149999999999999" customHeight="1">
      <c r="A11" s="9" t="s">
        <v>69</v>
      </c>
      <c r="B11" s="130">
        <v>691.93899999999996</v>
      </c>
      <c r="C11" s="130">
        <v>0.41899999999999998</v>
      </c>
      <c r="D11" s="35">
        <v>692.35799999999995</v>
      </c>
      <c r="E11" s="31"/>
      <c r="F11" s="107"/>
      <c r="G11" s="263"/>
      <c r="H11" s="263"/>
      <c r="I11" s="191"/>
    </row>
    <row r="12" spans="1:9" ht="25" customHeight="1">
      <c r="A12" s="98" t="s">
        <v>70</v>
      </c>
      <c r="B12" s="126">
        <v>1931.5730000000001</v>
      </c>
      <c r="C12" s="126">
        <v>862.13</v>
      </c>
      <c r="D12" s="126">
        <v>2793.703</v>
      </c>
      <c r="E12" s="42"/>
      <c r="F12" s="172"/>
      <c r="G12" s="191"/>
      <c r="H12" s="191"/>
      <c r="I12" s="191"/>
    </row>
    <row r="14" spans="1:9">
      <c r="B14" s="70"/>
    </row>
    <row r="15" spans="1:9">
      <c r="A15" s="49"/>
      <c r="C15" s="49"/>
    </row>
    <row r="16" spans="1:9">
      <c r="A16" s="49"/>
      <c r="C16" s="49"/>
    </row>
  </sheetData>
  <hyperlinks>
    <hyperlink ref="A5" location="Contents!A1" display="Return to Contents" xr:uid="{FCC2296D-1EE4-4E38-A245-3309AA2D90DF}"/>
  </hyperlinks>
  <pageMargins left="0.25" right="0.25" top="0.75" bottom="0.75" header="0.3" footer="0.3"/>
  <pageSetup paperSize="9" scale="87" orientation="landscape"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558BC-CE73-4FA6-84F6-F1748591BD97}">
  <sheetPr codeName="Sheet51">
    <tabColor rgb="FFDDE5F1"/>
    <pageSetUpPr fitToPage="1"/>
  </sheetPr>
  <dimension ref="A1:K9"/>
  <sheetViews>
    <sheetView zoomScaleNormal="100" workbookViewId="0"/>
  </sheetViews>
  <sheetFormatPr defaultColWidth="9.1796875" defaultRowHeight="15.5"/>
  <cols>
    <col min="1" max="1" width="25.453125" style="9" customWidth="1"/>
    <col min="2" max="2" width="12" style="65" customWidth="1"/>
    <col min="3" max="6" width="12" style="9" customWidth="1"/>
    <col min="7" max="16384" width="9.1796875" style="9"/>
  </cols>
  <sheetData>
    <row r="1" spans="1:11" ht="30" customHeight="1">
      <c r="A1" s="23" t="s">
        <v>828</v>
      </c>
    </row>
    <row r="2" spans="1:11" ht="20.149999999999999" customHeight="1">
      <c r="A2" s="7" t="s">
        <v>214</v>
      </c>
    </row>
    <row r="3" spans="1:11" ht="20.149999999999999" customHeight="1">
      <c r="A3" s="2" t="s">
        <v>219</v>
      </c>
    </row>
    <row r="4" spans="1:11" ht="20.149999999999999" customHeight="1">
      <c r="A4" s="15" t="s">
        <v>62</v>
      </c>
    </row>
    <row r="5" spans="1:11" ht="10" customHeight="1">
      <c r="C5" s="7"/>
    </row>
    <row r="6" spans="1:11" ht="40" customHeight="1">
      <c r="A6" s="98" t="s">
        <v>249</v>
      </c>
      <c r="B6" s="99" t="s">
        <v>188</v>
      </c>
      <c r="C6" s="99" t="s">
        <v>424</v>
      </c>
      <c r="D6" s="99" t="s">
        <v>600</v>
      </c>
      <c r="E6" s="99" t="s">
        <v>636</v>
      </c>
      <c r="F6" s="99" t="s">
        <v>838</v>
      </c>
    </row>
    <row r="7" spans="1:11" ht="20.149999999999999" customHeight="1">
      <c r="A7" s="9" t="s">
        <v>37</v>
      </c>
      <c r="B7" s="130">
        <v>68.215999999999994</v>
      </c>
      <c r="C7" s="130">
        <v>44.316000000000003</v>
      </c>
      <c r="D7" s="130">
        <v>292.04399999999998</v>
      </c>
      <c r="E7" s="130">
        <v>88.77</v>
      </c>
      <c r="F7" s="130">
        <v>77.417000000000002</v>
      </c>
      <c r="G7" s="336"/>
    </row>
    <row r="8" spans="1:11" ht="20.149999999999999" customHeight="1">
      <c r="A8" s="124" t="s">
        <v>36</v>
      </c>
      <c r="B8" s="167">
        <v>25.263999999999999</v>
      </c>
      <c r="C8" s="167">
        <v>22.236000000000001</v>
      </c>
      <c r="D8" s="167">
        <v>32.438000000000002</v>
      </c>
      <c r="E8" s="167">
        <v>35.643000000000001</v>
      </c>
      <c r="F8" s="167">
        <v>12.404999999999999</v>
      </c>
      <c r="G8" s="336"/>
    </row>
    <row r="9" spans="1:11" s="2" customFormat="1" ht="25" customHeight="1">
      <c r="A9" s="98" t="s">
        <v>38</v>
      </c>
      <c r="B9" s="126">
        <v>93.48</v>
      </c>
      <c r="C9" s="126">
        <v>66.552000000000007</v>
      </c>
      <c r="D9" s="126">
        <v>324.48200000000003</v>
      </c>
      <c r="E9" s="126">
        <v>124.413</v>
      </c>
      <c r="F9" s="126">
        <v>89.822000000000003</v>
      </c>
      <c r="G9" s="336"/>
      <c r="H9" s="9"/>
      <c r="I9" s="371"/>
      <c r="J9" s="9"/>
      <c r="K9" s="9"/>
    </row>
  </sheetData>
  <hyperlinks>
    <hyperlink ref="A4" location="Contents!A1" display="Return to Contents" xr:uid="{ACA68FC1-A2BA-4C8E-A2FB-60330007F43E}"/>
  </hyperlinks>
  <pageMargins left="0.25" right="0.25" top="0.75" bottom="0.75" header="0.3" footer="0.3"/>
  <pageSetup paperSize="9" scale="72" orientation="landscape"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B11E82-DF25-4DA2-B216-571E069CF3EF}">
  <sheetPr codeName="Sheet52">
    <tabColor rgb="FFDDE5F1"/>
    <pageSetUpPr fitToPage="1"/>
  </sheetPr>
  <dimension ref="A1:R20"/>
  <sheetViews>
    <sheetView zoomScaleNormal="100" workbookViewId="0"/>
  </sheetViews>
  <sheetFormatPr defaultColWidth="9.1796875" defaultRowHeight="15.5"/>
  <cols>
    <col min="1" max="1" width="44.54296875" style="9" customWidth="1"/>
    <col min="2" max="6" width="14.7265625" style="5" customWidth="1"/>
    <col min="7" max="7" width="9.1796875" style="9"/>
    <col min="8" max="8" width="9.1796875" style="9" customWidth="1"/>
    <col min="9" max="16384" width="9.1796875" style="9"/>
  </cols>
  <sheetData>
    <row r="1" spans="1:13" ht="30" customHeight="1">
      <c r="A1" s="22" t="s">
        <v>816</v>
      </c>
      <c r="B1" s="28"/>
      <c r="C1" s="28"/>
      <c r="D1" s="28"/>
      <c r="E1" s="28"/>
    </row>
    <row r="2" spans="1:13" ht="20.149999999999999" customHeight="1">
      <c r="A2" s="7" t="s">
        <v>214</v>
      </c>
      <c r="B2" s="28"/>
      <c r="C2" s="28"/>
      <c r="D2" s="28"/>
      <c r="E2" s="28"/>
    </row>
    <row r="3" spans="1:13" ht="20.149999999999999" customHeight="1">
      <c r="A3" s="7" t="s">
        <v>266</v>
      </c>
      <c r="B3" s="28"/>
      <c r="C3" s="28"/>
      <c r="D3" s="28"/>
      <c r="E3" s="28"/>
    </row>
    <row r="4" spans="1:13" ht="20.149999999999999" customHeight="1">
      <c r="A4" s="9" t="s">
        <v>647</v>
      </c>
      <c r="B4" s="9"/>
      <c r="C4" s="9"/>
      <c r="D4" s="9"/>
      <c r="E4" s="28"/>
    </row>
    <row r="5" spans="1:13" ht="20.149999999999999" customHeight="1">
      <c r="A5" s="15" t="s">
        <v>62</v>
      </c>
    </row>
    <row r="6" spans="1:13" ht="10" customHeight="1">
      <c r="F6" s="28"/>
      <c r="G6" s="7"/>
      <c r="H6" s="7"/>
    </row>
    <row r="7" spans="1:13" ht="25" customHeight="1">
      <c r="A7" s="98" t="s">
        <v>63</v>
      </c>
      <c r="B7" s="99" t="s">
        <v>188</v>
      </c>
      <c r="C7" s="99" t="s">
        <v>424</v>
      </c>
      <c r="D7" s="99" t="s">
        <v>600</v>
      </c>
      <c r="E7" s="99" t="s">
        <v>636</v>
      </c>
      <c r="F7" s="99" t="s">
        <v>838</v>
      </c>
      <c r="G7" s="18"/>
      <c r="H7" s="106"/>
      <c r="I7" s="170"/>
      <c r="J7" s="170"/>
      <c r="K7" s="170"/>
      <c r="L7" s="170"/>
      <c r="M7" s="170"/>
    </row>
    <row r="8" spans="1:13" ht="20.149999999999999" customHeight="1">
      <c r="A8" s="9" t="s">
        <v>35</v>
      </c>
      <c r="B8" s="130">
        <v>3699</v>
      </c>
      <c r="C8" s="130">
        <v>3739</v>
      </c>
      <c r="D8" s="130">
        <v>4956</v>
      </c>
      <c r="E8" s="130">
        <v>6834</v>
      </c>
      <c r="F8" s="130">
        <v>3432</v>
      </c>
      <c r="H8" s="107"/>
      <c r="I8" s="171"/>
      <c r="J8" s="171"/>
      <c r="K8" s="171"/>
      <c r="L8" s="263"/>
      <c r="M8" s="263"/>
    </row>
    <row r="9" spans="1:13" ht="20.149999999999999" customHeight="1">
      <c r="A9" s="95" t="s">
        <v>176</v>
      </c>
      <c r="B9" s="167">
        <v>1412</v>
      </c>
      <c r="C9" s="167">
        <v>869</v>
      </c>
      <c r="D9" s="167">
        <v>218859</v>
      </c>
      <c r="E9" s="167">
        <v>659</v>
      </c>
      <c r="F9" s="167">
        <v>911</v>
      </c>
      <c r="H9" s="107"/>
      <c r="I9" s="171"/>
      <c r="J9" s="171"/>
      <c r="K9" s="171"/>
      <c r="L9" s="263"/>
      <c r="M9" s="263"/>
    </row>
    <row r="10" spans="1:13" ht="20.149999999999999" customHeight="1">
      <c r="A10" s="9" t="s">
        <v>44</v>
      </c>
      <c r="B10" s="130">
        <v>2134</v>
      </c>
      <c r="C10" s="130">
        <v>1160</v>
      </c>
      <c r="D10" s="130">
        <v>1561</v>
      </c>
      <c r="E10" s="130">
        <v>3031</v>
      </c>
      <c r="F10" s="130">
        <v>3893</v>
      </c>
      <c r="H10" s="107"/>
      <c r="I10" s="171"/>
      <c r="J10" s="171"/>
      <c r="K10" s="171"/>
      <c r="L10" s="263"/>
      <c r="M10" s="263"/>
    </row>
    <row r="11" spans="1:13" ht="20.149999999999999" customHeight="1">
      <c r="A11" s="95" t="s">
        <v>50</v>
      </c>
      <c r="B11" s="167">
        <v>1076</v>
      </c>
      <c r="C11" s="167">
        <v>1060</v>
      </c>
      <c r="D11" s="167">
        <v>687</v>
      </c>
      <c r="E11" s="167">
        <v>1680</v>
      </c>
      <c r="F11" s="167">
        <v>961</v>
      </c>
      <c r="H11" s="107"/>
      <c r="I11" s="171"/>
      <c r="J11" s="171"/>
      <c r="K11" s="171"/>
      <c r="L11" s="263"/>
      <c r="M11" s="263"/>
    </row>
    <row r="12" spans="1:13" ht="20.149999999999999" customHeight="1">
      <c r="A12" s="9" t="s">
        <v>65</v>
      </c>
      <c r="B12" s="130">
        <v>1487</v>
      </c>
      <c r="C12" s="130">
        <v>3224</v>
      </c>
      <c r="D12" s="130">
        <v>994</v>
      </c>
      <c r="E12" s="130">
        <v>800</v>
      </c>
      <c r="F12" s="130">
        <v>1249</v>
      </c>
      <c r="H12" s="107"/>
      <c r="I12" s="171"/>
      <c r="J12" s="171"/>
      <c r="K12" s="171"/>
      <c r="L12" s="263"/>
      <c r="M12" s="263"/>
    </row>
    <row r="13" spans="1:13" ht="20.149999999999999" customHeight="1">
      <c r="A13" s="95" t="s">
        <v>196</v>
      </c>
      <c r="B13" s="167">
        <v>11458</v>
      </c>
      <c r="C13" s="167">
        <v>8255</v>
      </c>
      <c r="D13" s="167">
        <v>21557</v>
      </c>
      <c r="E13" s="167">
        <v>10122</v>
      </c>
      <c r="F13" s="167">
        <v>17653</v>
      </c>
      <c r="H13" s="107"/>
      <c r="I13" s="171"/>
      <c r="J13" s="171"/>
      <c r="K13" s="171"/>
      <c r="L13" s="263"/>
      <c r="M13" s="263"/>
    </row>
    <row r="14" spans="1:13" ht="20.149999999999999" customHeight="1">
      <c r="A14" s="9" t="s">
        <v>47</v>
      </c>
      <c r="B14" s="130">
        <v>17840</v>
      </c>
      <c r="C14" s="130">
        <v>1525</v>
      </c>
      <c r="D14" s="130">
        <v>12286</v>
      </c>
      <c r="E14" s="130">
        <v>5730</v>
      </c>
      <c r="F14" s="130">
        <v>788</v>
      </c>
      <c r="H14" s="107"/>
      <c r="I14" s="171"/>
      <c r="J14" s="171"/>
      <c r="K14" s="171"/>
      <c r="L14" s="263"/>
      <c r="M14" s="263"/>
    </row>
    <row r="15" spans="1:13" ht="20.149999999999999" customHeight="1">
      <c r="A15" s="95" t="s">
        <v>48</v>
      </c>
      <c r="B15" s="167">
        <v>0</v>
      </c>
      <c r="C15" s="167">
        <v>874</v>
      </c>
      <c r="D15" s="167">
        <v>1159</v>
      </c>
      <c r="E15" s="167">
        <v>48</v>
      </c>
      <c r="F15" s="167">
        <v>279</v>
      </c>
      <c r="H15" s="107"/>
      <c r="I15" s="171"/>
      <c r="J15" s="171"/>
      <c r="K15" s="171"/>
      <c r="L15" s="263"/>
      <c r="M15" s="263"/>
    </row>
    <row r="16" spans="1:13" ht="20.149999999999999" customHeight="1">
      <c r="A16" s="9" t="s">
        <v>261</v>
      </c>
      <c r="B16" s="130">
        <v>29110</v>
      </c>
      <c r="C16" s="130">
        <v>23610</v>
      </c>
      <c r="D16" s="130">
        <v>29985</v>
      </c>
      <c r="E16" s="130">
        <v>59866</v>
      </c>
      <c r="F16" s="130">
        <v>48251</v>
      </c>
      <c r="H16" s="107"/>
      <c r="I16" s="171"/>
      <c r="J16" s="171"/>
      <c r="K16" s="171"/>
      <c r="L16" s="263"/>
      <c r="M16" s="263"/>
    </row>
    <row r="17" spans="1:18" ht="25" customHeight="1">
      <c r="A17" s="98" t="s">
        <v>51</v>
      </c>
      <c r="B17" s="125">
        <v>68216</v>
      </c>
      <c r="C17" s="125">
        <v>44316</v>
      </c>
      <c r="D17" s="125">
        <v>292044</v>
      </c>
      <c r="E17" s="125">
        <v>88770</v>
      </c>
      <c r="F17" s="125">
        <v>77417</v>
      </c>
      <c r="H17" s="172"/>
      <c r="I17" s="261"/>
      <c r="J17" s="261"/>
      <c r="K17" s="261"/>
      <c r="L17" s="191"/>
      <c r="M17" s="191"/>
      <c r="O17" s="7"/>
      <c r="R17" s="18"/>
    </row>
    <row r="18" spans="1:18" ht="20.149999999999999" customHeight="1">
      <c r="A18" s="9" t="s">
        <v>36</v>
      </c>
      <c r="B18" s="130">
        <v>25264</v>
      </c>
      <c r="C18" s="130">
        <v>22236</v>
      </c>
      <c r="D18" s="130">
        <v>32438</v>
      </c>
      <c r="E18" s="130">
        <v>35643</v>
      </c>
      <c r="F18" s="130">
        <v>12405</v>
      </c>
      <c r="H18" s="107"/>
      <c r="I18" s="171"/>
      <c r="J18" s="171"/>
      <c r="K18" s="171"/>
      <c r="L18" s="263"/>
      <c r="M18" s="263"/>
      <c r="R18" s="18"/>
    </row>
    <row r="19" spans="1:18" ht="25" customHeight="1">
      <c r="A19" s="98" t="s">
        <v>106</v>
      </c>
      <c r="B19" s="126">
        <v>93480</v>
      </c>
      <c r="C19" s="126">
        <v>66552</v>
      </c>
      <c r="D19" s="126">
        <v>324482</v>
      </c>
      <c r="E19" s="126">
        <v>124413</v>
      </c>
      <c r="F19" s="126">
        <v>89822</v>
      </c>
      <c r="H19" s="172"/>
      <c r="I19" s="261"/>
      <c r="J19" s="261"/>
      <c r="K19" s="261"/>
      <c r="L19" s="191"/>
      <c r="M19" s="191"/>
    </row>
    <row r="20" spans="1:18">
      <c r="J20" s="2"/>
    </row>
  </sheetData>
  <hyperlinks>
    <hyperlink ref="A5" location="Contents!A1" display="Return to Contents" xr:uid="{06B5225D-CBFF-4527-BEAC-6E7AD536640F}"/>
  </hyperlinks>
  <pageMargins left="0.25" right="0.25" top="0.75" bottom="0.75" header="0.3" footer="0.3"/>
  <pageSetup paperSize="9" scale="74" orientation="landscape"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5C9AB-9150-4C4E-8C90-7FF26444AB77}">
  <sheetPr codeName="Sheet53">
    <tabColor rgb="FFDDE5F1"/>
    <pageSetUpPr fitToPage="1"/>
  </sheetPr>
  <dimension ref="A1:N16"/>
  <sheetViews>
    <sheetView zoomScaleNormal="100" workbookViewId="0"/>
  </sheetViews>
  <sheetFormatPr defaultColWidth="9.1796875" defaultRowHeight="15.5"/>
  <cols>
    <col min="1" max="1" width="45.81640625" style="9" customWidth="1"/>
    <col min="2" max="3" width="15.7265625" style="65" customWidth="1"/>
    <col min="4" max="4" width="20.7265625" style="5" customWidth="1"/>
    <col min="5" max="5" width="9.1796875" style="9"/>
    <col min="6" max="8" width="9.1796875" style="9" customWidth="1"/>
    <col min="9" max="16384" width="9.1796875" style="9"/>
  </cols>
  <sheetData>
    <row r="1" spans="1:14" ht="30" customHeight="1">
      <c r="A1" s="23" t="s">
        <v>799</v>
      </c>
    </row>
    <row r="2" spans="1:14" ht="20.149999999999999" customHeight="1">
      <c r="A2" s="7" t="s">
        <v>214</v>
      </c>
    </row>
    <row r="3" spans="1:14" ht="20.149999999999999" customHeight="1">
      <c r="A3" s="2" t="s">
        <v>219</v>
      </c>
    </row>
    <row r="4" spans="1:14" ht="20.149999999999999" customHeight="1">
      <c r="A4" s="15" t="s">
        <v>62</v>
      </c>
    </row>
    <row r="5" spans="1:14" ht="10" customHeight="1">
      <c r="E5" s="7"/>
    </row>
    <row r="6" spans="1:14" ht="40" customHeight="1">
      <c r="A6" s="98" t="s">
        <v>306</v>
      </c>
      <c r="B6" s="96" t="s">
        <v>197</v>
      </c>
      <c r="C6" s="96" t="s">
        <v>36</v>
      </c>
      <c r="D6" s="99" t="s">
        <v>38</v>
      </c>
      <c r="E6" s="18"/>
      <c r="F6" s="106"/>
      <c r="G6" s="170"/>
      <c r="H6" s="170"/>
      <c r="I6" s="172"/>
    </row>
    <row r="7" spans="1:14" ht="20.149999999999999" customHeight="1">
      <c r="A7" s="9" t="s">
        <v>165</v>
      </c>
      <c r="B7" s="130">
        <v>51.094999999999999</v>
      </c>
      <c r="C7" s="130">
        <v>18.05</v>
      </c>
      <c r="D7" s="35">
        <v>69.144999999999996</v>
      </c>
      <c r="E7" s="68"/>
      <c r="F7" s="107"/>
      <c r="G7" s="401"/>
      <c r="H7" s="263"/>
      <c r="I7" s="176"/>
    </row>
    <row r="8" spans="1:14" ht="20.149999999999999" customHeight="1">
      <c r="A8" s="95" t="s">
        <v>166</v>
      </c>
      <c r="B8" s="167">
        <v>24.469000000000001</v>
      </c>
      <c r="C8" s="167">
        <v>3.1E-2</v>
      </c>
      <c r="D8" s="118">
        <v>24.5</v>
      </c>
      <c r="E8" s="68"/>
      <c r="F8" s="107"/>
      <c r="G8" s="401"/>
      <c r="H8" s="171"/>
      <c r="I8" s="176"/>
    </row>
    <row r="9" spans="1:14" ht="20.149999999999999" customHeight="1">
      <c r="A9" s="9" t="s">
        <v>169</v>
      </c>
      <c r="B9" s="130">
        <v>0</v>
      </c>
      <c r="C9" s="130">
        <v>0</v>
      </c>
      <c r="D9" s="35">
        <v>0</v>
      </c>
      <c r="E9" s="21"/>
      <c r="F9" s="107"/>
      <c r="G9" s="401"/>
      <c r="H9" s="171"/>
      <c r="I9" s="176"/>
    </row>
    <row r="10" spans="1:14" ht="20.149999999999999" customHeight="1">
      <c r="A10" s="95" t="s">
        <v>167</v>
      </c>
      <c r="B10" s="167">
        <v>0</v>
      </c>
      <c r="C10" s="167">
        <v>0</v>
      </c>
      <c r="D10" s="118">
        <v>0</v>
      </c>
      <c r="F10" s="107"/>
      <c r="G10" s="171"/>
      <c r="H10" s="171"/>
      <c r="I10" s="176"/>
    </row>
    <row r="11" spans="1:14" ht="20.149999999999999" customHeight="1">
      <c r="A11" s="9" t="s">
        <v>168</v>
      </c>
      <c r="B11" s="130">
        <v>0</v>
      </c>
      <c r="C11" s="130">
        <v>0</v>
      </c>
      <c r="D11" s="35">
        <v>0</v>
      </c>
      <c r="E11" s="21"/>
      <c r="F11" s="107"/>
      <c r="G11" s="171"/>
      <c r="H11" s="171"/>
      <c r="I11" s="176"/>
    </row>
    <row r="12" spans="1:14" ht="20.149999999999999" customHeight="1">
      <c r="A12" s="101" t="s">
        <v>305</v>
      </c>
      <c r="B12" s="167">
        <v>0</v>
      </c>
      <c r="C12" s="167">
        <v>0</v>
      </c>
      <c r="D12" s="167">
        <v>0</v>
      </c>
      <c r="F12" s="107"/>
      <c r="G12" s="171"/>
      <c r="H12" s="171"/>
      <c r="I12" s="176"/>
    </row>
    <row r="13" spans="1:14" s="2" customFormat="1" ht="25" customHeight="1">
      <c r="A13" s="98" t="s">
        <v>170</v>
      </c>
      <c r="B13" s="126">
        <v>75.563999999999993</v>
      </c>
      <c r="C13" s="126">
        <v>18.081</v>
      </c>
      <c r="D13" s="126">
        <v>93.644999999999996</v>
      </c>
      <c r="E13" s="18"/>
      <c r="F13" s="106"/>
      <c r="G13" s="170"/>
      <c r="H13" s="106"/>
      <c r="I13" s="262"/>
      <c r="J13" s="9"/>
      <c r="K13" s="9"/>
      <c r="L13" s="9"/>
      <c r="M13" s="9"/>
      <c r="N13" s="9"/>
    </row>
    <row r="16" spans="1:14">
      <c r="D16" s="67"/>
    </row>
  </sheetData>
  <hyperlinks>
    <hyperlink ref="A4" location="Contents!A1" display="Return to Contents" xr:uid="{345932C3-D3D3-4403-BCC2-124C612D690D}"/>
  </hyperlinks>
  <pageMargins left="0.25" right="0.25" top="0.75" bottom="0.75" header="0.3" footer="0.3"/>
  <pageSetup paperSize="9" scale="72" orientation="landscape"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4A231-4CCC-4003-B713-FC509B335EEE}">
  <sheetPr codeName="Sheet55">
    <tabColor rgb="FFDDE5F1"/>
    <pageSetUpPr fitToPage="1"/>
  </sheetPr>
  <dimension ref="A1:J15"/>
  <sheetViews>
    <sheetView zoomScaleNormal="100" workbookViewId="0"/>
  </sheetViews>
  <sheetFormatPr defaultColWidth="9.1796875" defaultRowHeight="15.5"/>
  <cols>
    <col min="1" max="1" width="21.81640625" style="9" customWidth="1"/>
    <col min="2" max="2" width="39.7265625" style="5" customWidth="1"/>
    <col min="3" max="3" width="24.54296875" style="9" customWidth="1"/>
    <col min="4" max="4" width="9.1796875" style="9"/>
    <col min="5" max="5" width="9.1796875" style="9" customWidth="1"/>
    <col min="6" max="16384" width="9.1796875" style="9"/>
  </cols>
  <sheetData>
    <row r="1" spans="1:10" ht="30" customHeight="1">
      <c r="A1" s="22" t="s">
        <v>829</v>
      </c>
    </row>
    <row r="2" spans="1:10" ht="19.899999999999999" customHeight="1">
      <c r="A2" s="9" t="s">
        <v>236</v>
      </c>
    </row>
    <row r="3" spans="1:10" ht="19.899999999999999" customHeight="1">
      <c r="A3" s="7" t="s">
        <v>302</v>
      </c>
    </row>
    <row r="4" spans="1:10" ht="19.899999999999999" customHeight="1">
      <c r="A4" s="2" t="s">
        <v>220</v>
      </c>
    </row>
    <row r="5" spans="1:10" ht="19.899999999999999" customHeight="1">
      <c r="A5" s="15" t="s">
        <v>62</v>
      </c>
      <c r="B5" s="6"/>
      <c r="C5" s="7"/>
    </row>
    <row r="6" spans="1:10" ht="19.899999999999999" customHeight="1">
      <c r="B6" s="28"/>
      <c r="C6" s="7"/>
    </row>
    <row r="7" spans="1:10" ht="40" customHeight="1">
      <c r="A7" s="98" t="s">
        <v>129</v>
      </c>
      <c r="B7" s="98" t="s">
        <v>130</v>
      </c>
      <c r="C7" s="96" t="s">
        <v>425</v>
      </c>
      <c r="E7" s="106"/>
      <c r="F7" s="170"/>
      <c r="G7" s="262"/>
      <c r="I7" s="7"/>
      <c r="J7" s="7"/>
    </row>
    <row r="8" spans="1:10" ht="19.899999999999999" customHeight="1">
      <c r="A8" s="7" t="s">
        <v>108</v>
      </c>
      <c r="B8" s="7" t="s">
        <v>37</v>
      </c>
      <c r="C8" s="130">
        <v>2605.605</v>
      </c>
      <c r="E8" s="107"/>
      <c r="F8" s="263"/>
      <c r="G8" s="191"/>
      <c r="I8" s="7"/>
      <c r="J8" s="7"/>
    </row>
    <row r="9" spans="1:10" ht="19.899999999999999" customHeight="1">
      <c r="A9" s="101" t="s">
        <v>108</v>
      </c>
      <c r="B9" s="101" t="s">
        <v>36</v>
      </c>
      <c r="C9" s="167">
        <v>182.334</v>
      </c>
      <c r="E9" s="107"/>
      <c r="F9" s="263"/>
      <c r="G9" s="191"/>
      <c r="I9" s="7"/>
      <c r="J9" s="7"/>
    </row>
    <row r="10" spans="1:10" ht="19.899999999999999" customHeight="1">
      <c r="A10" s="7" t="s">
        <v>108</v>
      </c>
      <c r="B10" s="7" t="s">
        <v>71</v>
      </c>
      <c r="C10" s="130">
        <v>277.48700000000002</v>
      </c>
      <c r="E10" s="107"/>
      <c r="F10" s="263"/>
      <c r="G10" s="191"/>
      <c r="I10" s="7"/>
      <c r="J10" s="7"/>
    </row>
    <row r="11" spans="1:10" ht="19.899999999999999" customHeight="1">
      <c r="A11" s="101" t="s">
        <v>108</v>
      </c>
      <c r="B11" s="101" t="s">
        <v>72</v>
      </c>
      <c r="C11" s="167">
        <v>142.77699999999999</v>
      </c>
      <c r="E11" s="107"/>
      <c r="F11" s="263"/>
      <c r="G11" s="191"/>
      <c r="H11" s="18"/>
      <c r="I11" s="7"/>
      <c r="J11" s="7"/>
    </row>
    <row r="12" spans="1:10" ht="19.899999999999999" customHeight="1">
      <c r="A12" s="7" t="s">
        <v>108</v>
      </c>
      <c r="B12" s="7" t="s">
        <v>43</v>
      </c>
      <c r="C12" s="130">
        <v>89.173000000000002</v>
      </c>
      <c r="E12" s="107"/>
      <c r="F12" s="263"/>
      <c r="G12" s="191"/>
      <c r="I12" s="7"/>
      <c r="J12" s="7"/>
    </row>
    <row r="13" spans="1:10" ht="19.899999999999999" customHeight="1">
      <c r="A13" s="101" t="s">
        <v>109</v>
      </c>
      <c r="B13" s="101" t="s">
        <v>79</v>
      </c>
      <c r="C13" s="167">
        <v>482.20100000000002</v>
      </c>
      <c r="E13" s="107"/>
      <c r="F13" s="263"/>
      <c r="G13" s="191"/>
      <c r="I13" s="7"/>
      <c r="J13" s="7"/>
    </row>
    <row r="14" spans="1:10" ht="19.899999999999999" customHeight="1" thickBot="1">
      <c r="A14" s="152" t="s">
        <v>109</v>
      </c>
      <c r="B14" s="152" t="s">
        <v>80</v>
      </c>
      <c r="C14" s="153">
        <v>151.68600000000001</v>
      </c>
      <c r="E14" s="107"/>
      <c r="F14" s="263"/>
      <c r="G14" s="191"/>
      <c r="I14" s="7"/>
      <c r="J14" s="7"/>
    </row>
    <row r="15" spans="1:10">
      <c r="B15" s="18"/>
      <c r="C15" s="18"/>
      <c r="E15" s="172"/>
      <c r="F15" s="191"/>
      <c r="G15" s="191"/>
    </row>
  </sheetData>
  <hyperlinks>
    <hyperlink ref="A5" location="Contents!A1" display="Return to Contents" xr:uid="{B6222E0F-9370-4E18-B875-EE1A945724B7}"/>
  </hyperlinks>
  <pageMargins left="0.25" right="0.25" top="0.75" bottom="0.75" header="0.3" footer="0.3"/>
  <pageSetup paperSize="9" scale="80" orientation="landscape" r:id="rId1"/>
  <drawing r:id="rId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94920-103E-45E1-BA31-04F743CB5AFC}">
  <sheetPr codeName="Sheet56">
    <tabColor rgb="FFDDE5F1"/>
    <pageSetUpPr fitToPage="1"/>
  </sheetPr>
  <dimension ref="A1:P24"/>
  <sheetViews>
    <sheetView zoomScaleNormal="100" zoomScalePageLayoutView="87" workbookViewId="0"/>
  </sheetViews>
  <sheetFormatPr defaultColWidth="9.1796875" defaultRowHeight="15.5"/>
  <cols>
    <col min="1" max="1" width="41.81640625" style="9" customWidth="1"/>
    <col min="2" max="2" width="17.7265625" style="5" customWidth="1"/>
    <col min="3" max="5" width="27.7265625" style="5" customWidth="1"/>
    <col min="6" max="6" width="20.7265625" style="5" customWidth="1"/>
    <col min="7" max="7" width="17.7265625" style="5" customWidth="1"/>
    <col min="8" max="8" width="9.1796875" style="9"/>
    <col min="9" max="15" width="9.1796875" style="9" customWidth="1"/>
    <col min="16" max="16384" width="9.1796875" style="9"/>
  </cols>
  <sheetData>
    <row r="1" spans="1:16" ht="30" customHeight="1">
      <c r="A1" s="22" t="s">
        <v>800</v>
      </c>
    </row>
    <row r="2" spans="1:16" ht="20.149999999999999" customHeight="1">
      <c r="A2" s="7" t="s">
        <v>214</v>
      </c>
      <c r="B2" s="65"/>
      <c r="C2" s="65"/>
      <c r="E2" s="9"/>
      <c r="F2" s="9"/>
      <c r="G2" s="9"/>
    </row>
    <row r="3" spans="1:16" ht="20.149999999999999" customHeight="1">
      <c r="A3" s="9" t="s">
        <v>327</v>
      </c>
      <c r="C3" s="36"/>
      <c r="G3" s="9"/>
    </row>
    <row r="4" spans="1:16" ht="20.149999999999999" customHeight="1">
      <c r="A4" s="127" t="s">
        <v>433</v>
      </c>
      <c r="C4" s="36"/>
      <c r="G4" s="9"/>
    </row>
    <row r="5" spans="1:16" ht="20.149999999999999" customHeight="1">
      <c r="A5" s="127" t="s">
        <v>432</v>
      </c>
      <c r="C5" s="36"/>
      <c r="G5" s="9"/>
    </row>
    <row r="6" spans="1:16" ht="20.149999999999999" customHeight="1">
      <c r="A6" s="2" t="s">
        <v>220</v>
      </c>
    </row>
    <row r="7" spans="1:16" ht="20.149999999999999" customHeight="1">
      <c r="A7" s="15" t="s">
        <v>62</v>
      </c>
      <c r="G7" s="6"/>
      <c r="H7" s="7"/>
      <c r="I7" s="131"/>
      <c r="J7" s="113"/>
      <c r="K7" s="113"/>
      <c r="L7" s="113"/>
      <c r="M7" s="113"/>
      <c r="N7" s="113"/>
      <c r="O7" s="113"/>
    </row>
    <row r="8" spans="1:16" ht="10.15" customHeight="1">
      <c r="G8" s="28"/>
      <c r="H8" s="7"/>
      <c r="I8" s="107"/>
      <c r="J8" s="113"/>
      <c r="K8" s="113"/>
      <c r="L8" s="113"/>
      <c r="M8" s="113"/>
      <c r="N8" s="113"/>
      <c r="O8" s="113"/>
    </row>
    <row r="9" spans="1:16" ht="75" customHeight="1">
      <c r="A9" s="98" t="s">
        <v>409</v>
      </c>
      <c r="B9" s="129" t="s">
        <v>860</v>
      </c>
      <c r="C9" s="96" t="s">
        <v>280</v>
      </c>
      <c r="D9" s="96" t="s">
        <v>278</v>
      </c>
      <c r="E9" s="129" t="s">
        <v>279</v>
      </c>
      <c r="F9" s="96" t="s">
        <v>238</v>
      </c>
      <c r="G9" s="96" t="s">
        <v>861</v>
      </c>
      <c r="H9" s="18"/>
      <c r="I9" s="106"/>
      <c r="J9" s="265"/>
      <c r="K9" s="265"/>
      <c r="L9" s="265"/>
      <c r="M9" s="265"/>
      <c r="N9" s="266"/>
      <c r="O9" s="266"/>
    </row>
    <row r="10" spans="1:16" ht="20.149999999999999" customHeight="1">
      <c r="A10" s="9" t="s">
        <v>37</v>
      </c>
      <c r="B10" s="322">
        <v>2907.62</v>
      </c>
      <c r="C10" s="130">
        <v>-335.47800000000001</v>
      </c>
      <c r="D10" s="130">
        <v>34.683999999999997</v>
      </c>
      <c r="E10" s="323">
        <v>1.2210000000000001</v>
      </c>
      <c r="F10" s="35">
        <v>-302.01499999999999</v>
      </c>
      <c r="G10" s="87">
        <v>2605.605</v>
      </c>
      <c r="H10" s="130"/>
      <c r="I10" s="107"/>
      <c r="J10" s="263"/>
      <c r="K10" s="263"/>
      <c r="L10" s="263"/>
      <c r="M10" s="263"/>
      <c r="N10" s="191"/>
      <c r="O10" s="191"/>
      <c r="P10" s="7"/>
    </row>
    <row r="11" spans="1:16" ht="20.149999999999999" customHeight="1">
      <c r="A11" s="95" t="s">
        <v>36</v>
      </c>
      <c r="B11" s="324">
        <v>186.398</v>
      </c>
      <c r="C11" s="167">
        <v>0.90800000000000003</v>
      </c>
      <c r="D11" s="167">
        <v>-4.9720000000000004</v>
      </c>
      <c r="E11" s="325">
        <v>0</v>
      </c>
      <c r="F11" s="118">
        <v>-4.0640000000000001</v>
      </c>
      <c r="G11" s="257">
        <v>182.334</v>
      </c>
      <c r="H11" s="130"/>
      <c r="I11" s="107"/>
      <c r="J11" s="263"/>
      <c r="K11" s="263"/>
      <c r="L11" s="263"/>
      <c r="M11" s="263"/>
      <c r="N11" s="191"/>
      <c r="O11" s="191"/>
    </row>
    <row r="12" spans="1:16" ht="20.149999999999999" customHeight="1">
      <c r="A12" s="9" t="s">
        <v>71</v>
      </c>
      <c r="B12" s="322">
        <v>288.26</v>
      </c>
      <c r="C12" s="130">
        <v>16.565999999999999</v>
      </c>
      <c r="D12" s="130">
        <v>-27.338999999999999</v>
      </c>
      <c r="E12" s="323">
        <v>0</v>
      </c>
      <c r="F12" s="35">
        <v>-10.773</v>
      </c>
      <c r="G12" s="87">
        <v>277.48700000000002</v>
      </c>
      <c r="H12" s="130"/>
      <c r="I12" s="107"/>
      <c r="J12" s="380"/>
      <c r="K12" s="380"/>
      <c r="L12" s="380"/>
      <c r="M12" s="263"/>
      <c r="N12" s="191"/>
      <c r="O12" s="191"/>
    </row>
    <row r="13" spans="1:16" ht="20.149999999999999" customHeight="1">
      <c r="A13" s="95" t="s">
        <v>72</v>
      </c>
      <c r="B13" s="324">
        <v>152.86799999999999</v>
      </c>
      <c r="C13" s="167">
        <v>-2.069</v>
      </c>
      <c r="D13" s="167">
        <v>-8.0220000000000002</v>
      </c>
      <c r="E13" s="325">
        <v>0</v>
      </c>
      <c r="F13" s="118">
        <v>-10.090999999999999</v>
      </c>
      <c r="G13" s="257">
        <v>142.77699999999999</v>
      </c>
      <c r="H13" s="130"/>
      <c r="I13" s="107"/>
      <c r="J13" s="263"/>
      <c r="K13" s="263"/>
      <c r="L13" s="263"/>
      <c r="M13" s="263"/>
      <c r="N13" s="191"/>
      <c r="O13" s="191"/>
    </row>
    <row r="14" spans="1:16" ht="20.149999999999999" customHeight="1">
      <c r="A14" s="9" t="s">
        <v>73</v>
      </c>
      <c r="B14" s="322">
        <v>87.575000000000003</v>
      </c>
      <c r="C14" s="130">
        <v>0</v>
      </c>
      <c r="D14" s="130">
        <v>-2.4830000000000001</v>
      </c>
      <c r="E14" s="323">
        <v>0</v>
      </c>
      <c r="F14" s="35">
        <v>-2.4830000000000001</v>
      </c>
      <c r="G14" s="87">
        <v>85.091999999999999</v>
      </c>
      <c r="H14" s="130"/>
      <c r="I14" s="107"/>
      <c r="J14" s="263"/>
      <c r="K14" s="263"/>
      <c r="L14" s="263"/>
      <c r="M14" s="263"/>
      <c r="N14" s="191"/>
      <c r="O14" s="191"/>
    </row>
    <row r="15" spans="1:16" ht="20.149999999999999" customHeight="1">
      <c r="A15" s="95" t="s">
        <v>74</v>
      </c>
      <c r="B15" s="324">
        <v>2.1989999999999998</v>
      </c>
      <c r="C15" s="167">
        <v>0</v>
      </c>
      <c r="D15" s="167">
        <v>1.8819999999999999</v>
      </c>
      <c r="E15" s="325">
        <v>0</v>
      </c>
      <c r="F15" s="118">
        <v>1.8819999999999999</v>
      </c>
      <c r="G15" s="257">
        <v>4.0810000000000004</v>
      </c>
      <c r="H15" s="130"/>
      <c r="I15" s="107"/>
      <c r="J15" s="263"/>
      <c r="K15" s="263"/>
      <c r="L15" s="263"/>
      <c r="M15" s="263"/>
      <c r="N15" s="191"/>
      <c r="O15" s="191"/>
    </row>
    <row r="16" spans="1:16" s="2" customFormat="1" ht="22" customHeight="1">
      <c r="A16" s="250" t="s">
        <v>75</v>
      </c>
      <c r="B16" s="326">
        <v>3624.92</v>
      </c>
      <c r="C16" s="327">
        <v>-320.07299999999998</v>
      </c>
      <c r="D16" s="327">
        <v>-6.2500000000000098</v>
      </c>
      <c r="E16" s="326">
        <v>1.2210000000000001</v>
      </c>
      <c r="F16" s="327">
        <v>-327.54399999999998</v>
      </c>
      <c r="G16" s="327">
        <v>3297.3760000000002</v>
      </c>
      <c r="H16" s="130"/>
      <c r="I16" s="107"/>
      <c r="J16" s="170"/>
      <c r="K16" s="170"/>
      <c r="L16" s="170"/>
      <c r="M16" s="170"/>
      <c r="N16" s="170"/>
      <c r="O16" s="170"/>
    </row>
    <row r="17" spans="1:15" ht="20.149999999999999" customHeight="1">
      <c r="A17" s="9" t="s">
        <v>79</v>
      </c>
      <c r="B17" s="322">
        <v>504.50099999999998</v>
      </c>
      <c r="C17" s="130">
        <v>-28.55</v>
      </c>
      <c r="D17" s="130">
        <v>6.25</v>
      </c>
      <c r="E17" s="323">
        <v>0</v>
      </c>
      <c r="F17" s="35">
        <v>-22.3</v>
      </c>
      <c r="G17" s="87">
        <v>482.20100000000002</v>
      </c>
      <c r="H17" s="251"/>
      <c r="I17" s="107"/>
      <c r="J17" s="263"/>
      <c r="K17" s="263"/>
      <c r="L17" s="263"/>
      <c r="M17" s="263"/>
      <c r="N17" s="191"/>
      <c r="O17" s="191"/>
    </row>
    <row r="18" spans="1:15" ht="20.149999999999999" customHeight="1">
      <c r="A18" s="95" t="s">
        <v>80</v>
      </c>
      <c r="B18" s="324">
        <v>144.25700000000001</v>
      </c>
      <c r="C18" s="167">
        <v>7.4290000000000003</v>
      </c>
      <c r="D18" s="167">
        <v>0</v>
      </c>
      <c r="E18" s="325">
        <v>0</v>
      </c>
      <c r="F18" s="118">
        <v>7.4290000000000003</v>
      </c>
      <c r="G18" s="257">
        <v>151.68600000000001</v>
      </c>
      <c r="H18" s="251"/>
      <c r="I18" s="107"/>
      <c r="J18" s="263"/>
      <c r="K18" s="263"/>
      <c r="L18" s="263"/>
      <c r="M18" s="263"/>
      <c r="N18" s="191"/>
      <c r="O18" s="191"/>
    </row>
    <row r="19" spans="1:15" s="2" customFormat="1" ht="22" customHeight="1">
      <c r="A19" s="250" t="s">
        <v>77</v>
      </c>
      <c r="B19" s="326">
        <v>648.75800000000004</v>
      </c>
      <c r="C19" s="327">
        <v>-21.120999999999999</v>
      </c>
      <c r="D19" s="327">
        <v>6.25</v>
      </c>
      <c r="E19" s="328">
        <v>0</v>
      </c>
      <c r="F19" s="327">
        <v>-14.871</v>
      </c>
      <c r="G19" s="327">
        <v>633.88699999999994</v>
      </c>
      <c r="H19" s="252"/>
      <c r="I19" s="107"/>
      <c r="J19" s="170"/>
      <c r="K19" s="170"/>
      <c r="L19" s="170"/>
      <c r="M19" s="170"/>
      <c r="N19" s="170"/>
      <c r="O19" s="170"/>
    </row>
    <row r="20" spans="1:15" ht="25" customHeight="1">
      <c r="A20" s="98" t="s">
        <v>78</v>
      </c>
      <c r="B20" s="126">
        <v>4273.6779999999999</v>
      </c>
      <c r="C20" s="329">
        <v>-341.19400000000002</v>
      </c>
      <c r="D20" s="126">
        <v>-6.2172489379008798E-15</v>
      </c>
      <c r="E20" s="126">
        <v>1.2210000000000001</v>
      </c>
      <c r="F20" s="329">
        <v>-342.41500000000002</v>
      </c>
      <c r="G20" s="126">
        <v>3931.2629999999999</v>
      </c>
      <c r="H20" s="251"/>
      <c r="I20" s="172"/>
      <c r="J20" s="372"/>
      <c r="K20" s="284"/>
      <c r="L20" s="191"/>
      <c r="M20" s="191"/>
      <c r="N20" s="191"/>
      <c r="O20" s="191"/>
    </row>
    <row r="21" spans="1:15">
      <c r="B21" s="9"/>
      <c r="C21" s="9"/>
      <c r="D21" s="9"/>
      <c r="E21" s="9"/>
      <c r="F21" s="9"/>
      <c r="G21" s="18"/>
      <c r="H21" s="18"/>
      <c r="I21" s="18"/>
    </row>
    <row r="24" spans="1:15">
      <c r="I24" s="2"/>
    </row>
  </sheetData>
  <hyperlinks>
    <hyperlink ref="A7" location="Contents!A1" display="Return to Contents" xr:uid="{0C326670-B6EA-4349-9E78-CEE190007274}"/>
  </hyperlinks>
  <pageMargins left="0.25" right="0.25" top="0.75" bottom="0.75" header="0.3" footer="0.3"/>
  <pageSetup paperSize="9" scale="54" orientation="landscape"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F55C0-5BF2-49AE-8A17-D1DAB7CBB378}">
  <sheetPr codeName="Sheet57">
    <tabColor rgb="FFDDE5F1"/>
    <pageSetUpPr fitToPage="1"/>
  </sheetPr>
  <dimension ref="A1:P23"/>
  <sheetViews>
    <sheetView zoomScaleNormal="100" workbookViewId="0"/>
  </sheetViews>
  <sheetFormatPr defaultColWidth="9.1796875" defaultRowHeight="15.5"/>
  <cols>
    <col min="1" max="1" width="43" style="9" customWidth="1"/>
    <col min="2" max="6" width="14.7265625" style="5" customWidth="1"/>
    <col min="7" max="8" width="9.1796875" style="9" customWidth="1"/>
    <col min="9" max="16384" width="9.1796875" style="9"/>
  </cols>
  <sheetData>
    <row r="1" spans="1:16" ht="30" customHeight="1">
      <c r="A1" s="72" t="s">
        <v>772</v>
      </c>
      <c r="B1" s="36"/>
      <c r="C1" s="36"/>
      <c r="D1" s="36"/>
      <c r="E1" s="36"/>
      <c r="F1" s="37"/>
    </row>
    <row r="2" spans="1:16" ht="20.149999999999999" customHeight="1">
      <c r="A2" s="7" t="s">
        <v>255</v>
      </c>
      <c r="B2" s="36"/>
      <c r="C2" s="36"/>
      <c r="D2" s="36"/>
      <c r="E2" s="36"/>
      <c r="F2" s="37"/>
    </row>
    <row r="3" spans="1:16" ht="20.149999999999999" customHeight="1">
      <c r="A3" s="54" t="s">
        <v>267</v>
      </c>
      <c r="B3" s="36"/>
      <c r="C3" s="36"/>
      <c r="D3" s="36"/>
      <c r="E3" s="36"/>
      <c r="F3" s="37"/>
    </row>
    <row r="4" spans="1:16" ht="20.149999999999999" customHeight="1">
      <c r="A4" s="54" t="s">
        <v>616</v>
      </c>
      <c r="B4" s="36"/>
      <c r="C4" s="36"/>
      <c r="D4" s="36"/>
      <c r="E4" s="36"/>
      <c r="F4" s="37"/>
    </row>
    <row r="5" spans="1:16" ht="20.149999999999999" customHeight="1">
      <c r="A5" s="2" t="s">
        <v>220</v>
      </c>
      <c r="B5" s="36"/>
      <c r="C5" s="36"/>
      <c r="D5" s="36"/>
      <c r="E5" s="112"/>
      <c r="F5" s="37"/>
    </row>
    <row r="6" spans="1:16" ht="20.149999999999999" customHeight="1">
      <c r="A6" s="15" t="s">
        <v>62</v>
      </c>
    </row>
    <row r="7" spans="1:16" ht="10" customHeight="1">
      <c r="F7" s="28"/>
      <c r="G7" s="7"/>
      <c r="H7" s="7"/>
    </row>
    <row r="8" spans="1:16" ht="25" customHeight="1">
      <c r="A8" s="98" t="s">
        <v>409</v>
      </c>
      <c r="B8" s="330">
        <v>44286</v>
      </c>
      <c r="C8" s="330">
        <v>44651</v>
      </c>
      <c r="D8" s="330">
        <v>45016</v>
      </c>
      <c r="E8" s="330">
        <v>45382</v>
      </c>
      <c r="F8" s="330">
        <v>45747</v>
      </c>
      <c r="G8" s="18"/>
      <c r="H8" s="106"/>
      <c r="I8" s="170"/>
      <c r="J8" s="170"/>
      <c r="K8" s="170"/>
      <c r="L8" s="170"/>
      <c r="M8" s="170"/>
      <c r="N8" s="172"/>
    </row>
    <row r="9" spans="1:16" ht="20.149999999999999" customHeight="1">
      <c r="A9" s="9" t="s">
        <v>37</v>
      </c>
      <c r="B9" s="130">
        <v>2273.681</v>
      </c>
      <c r="C9" s="130">
        <v>2687.25231679534</v>
      </c>
      <c r="D9" s="273">
        <v>2873.2517579927098</v>
      </c>
      <c r="E9" s="130">
        <v>2892.5298400000001</v>
      </c>
      <c r="F9" s="130">
        <v>2605.605</v>
      </c>
      <c r="G9" s="71"/>
      <c r="H9" s="107"/>
      <c r="I9" s="263"/>
      <c r="J9" s="263"/>
      <c r="K9" s="263"/>
      <c r="L9" s="263"/>
      <c r="M9" s="263"/>
      <c r="N9" s="267"/>
      <c r="O9" s="223"/>
      <c r="P9" s="223"/>
    </row>
    <row r="10" spans="1:16" ht="20.149999999999999" customHeight="1">
      <c r="A10" s="95" t="s">
        <v>36</v>
      </c>
      <c r="B10" s="167">
        <v>248.38399999999999</v>
      </c>
      <c r="C10" s="167">
        <v>214.73500000000001</v>
      </c>
      <c r="D10" s="167">
        <v>208.779</v>
      </c>
      <c r="E10" s="167">
        <v>188.77600000000001</v>
      </c>
      <c r="F10" s="167">
        <v>182.334</v>
      </c>
      <c r="G10" s="71"/>
      <c r="H10" s="107"/>
      <c r="I10" s="263"/>
      <c r="J10" s="263"/>
      <c r="K10" s="263"/>
      <c r="L10" s="263"/>
      <c r="M10" s="263"/>
      <c r="N10" s="267"/>
      <c r="O10" s="223"/>
      <c r="P10" s="223"/>
    </row>
    <row r="11" spans="1:16" ht="20.149999999999999" customHeight="1">
      <c r="A11" s="9" t="s">
        <v>71</v>
      </c>
      <c r="B11" s="130">
        <v>328.34500000000003</v>
      </c>
      <c r="C11" s="130">
        <v>330.74900000000002</v>
      </c>
      <c r="D11" s="130">
        <v>307.33600000000001</v>
      </c>
      <c r="E11" s="130">
        <v>288.26</v>
      </c>
      <c r="F11" s="130">
        <v>277.48700000000002</v>
      </c>
      <c r="G11" s="71"/>
      <c r="H11" s="107"/>
      <c r="I11" s="263"/>
      <c r="J11" s="263"/>
      <c r="K11" s="263"/>
      <c r="L11" s="263"/>
      <c r="M11" s="263"/>
      <c r="N11" s="267"/>
      <c r="O11" s="223"/>
      <c r="P11" s="223"/>
    </row>
    <row r="12" spans="1:16" ht="20.149999999999999" customHeight="1">
      <c r="A12" s="95" t="s">
        <v>72</v>
      </c>
      <c r="B12" s="167">
        <v>177.327</v>
      </c>
      <c r="C12" s="167">
        <v>189.804</v>
      </c>
      <c r="D12" s="167">
        <v>165.86500000000001</v>
      </c>
      <c r="E12" s="167">
        <v>152.86799999999999</v>
      </c>
      <c r="F12" s="167">
        <v>142.77699999999999</v>
      </c>
      <c r="G12" s="71"/>
      <c r="H12" s="107"/>
      <c r="I12" s="263"/>
      <c r="J12" s="263"/>
      <c r="K12" s="263"/>
      <c r="L12" s="263"/>
      <c r="M12" s="263"/>
      <c r="N12" s="267"/>
      <c r="O12" s="223"/>
      <c r="P12" s="223"/>
    </row>
    <row r="13" spans="1:16" ht="20.149999999999999" customHeight="1">
      <c r="A13" s="9" t="s">
        <v>73</v>
      </c>
      <c r="B13" s="130">
        <v>98.873000000000005</v>
      </c>
      <c r="C13" s="130">
        <v>95.082999999999998</v>
      </c>
      <c r="D13" s="130">
        <v>91.096999999999994</v>
      </c>
      <c r="E13" s="130">
        <v>87.575000000000003</v>
      </c>
      <c r="F13" s="130">
        <v>85.091999999999999</v>
      </c>
      <c r="G13" s="71"/>
      <c r="H13" s="107"/>
      <c r="I13" s="263"/>
      <c r="J13" s="263"/>
      <c r="K13" s="263"/>
      <c r="L13" s="263"/>
      <c r="M13" s="263"/>
      <c r="N13" s="267"/>
      <c r="O13" s="223"/>
      <c r="P13" s="223"/>
    </row>
    <row r="14" spans="1:16" ht="20.149999999999999" customHeight="1">
      <c r="A14" s="95" t="s">
        <v>74</v>
      </c>
      <c r="B14" s="167">
        <v>14.444000000000001</v>
      </c>
      <c r="C14" s="167">
        <v>9.218</v>
      </c>
      <c r="D14" s="167">
        <v>5.5419999999999998</v>
      </c>
      <c r="E14" s="167">
        <v>1.6659999999999999</v>
      </c>
      <c r="F14" s="167">
        <v>4.0810000000000004</v>
      </c>
      <c r="G14" s="71"/>
      <c r="H14" s="107"/>
      <c r="I14" s="263"/>
      <c r="J14" s="263"/>
      <c r="K14" s="263"/>
      <c r="L14" s="263"/>
      <c r="M14" s="263"/>
      <c r="N14" s="267"/>
      <c r="O14" s="223"/>
      <c r="P14" s="223"/>
    </row>
    <row r="15" spans="1:16" ht="22" customHeight="1">
      <c r="A15" s="250" t="s">
        <v>75</v>
      </c>
      <c r="B15" s="119">
        <v>3141.0540000000001</v>
      </c>
      <c r="C15" s="119">
        <v>3526.8413167953399</v>
      </c>
      <c r="D15" s="119">
        <v>3651.87075799271</v>
      </c>
      <c r="E15" s="119">
        <v>3611.6748400000001</v>
      </c>
      <c r="F15" s="119">
        <v>3297.3760000000002</v>
      </c>
      <c r="G15" s="71"/>
      <c r="H15" s="107"/>
      <c r="I15" s="170"/>
      <c r="J15" s="170"/>
      <c r="K15" s="170"/>
      <c r="L15" s="170"/>
      <c r="M15" s="170"/>
      <c r="N15" s="267"/>
      <c r="O15" s="223"/>
      <c r="P15" s="223"/>
    </row>
    <row r="16" spans="1:16" ht="20.149999999999999" customHeight="1">
      <c r="A16" s="9" t="s">
        <v>79</v>
      </c>
      <c r="B16" s="130">
        <v>463.892</v>
      </c>
      <c r="C16" s="130">
        <v>460.81900000000002</v>
      </c>
      <c r="D16" s="130">
        <v>511.476</v>
      </c>
      <c r="E16" s="130">
        <v>503.94200000000001</v>
      </c>
      <c r="F16" s="130">
        <v>482.20100000000002</v>
      </c>
      <c r="G16" s="71"/>
      <c r="H16" s="107"/>
      <c r="I16" s="263"/>
      <c r="J16" s="263"/>
      <c r="K16" s="263"/>
      <c r="L16" s="263"/>
      <c r="M16" s="263"/>
      <c r="N16" s="267"/>
      <c r="O16" s="223"/>
      <c r="P16" s="223"/>
    </row>
    <row r="17" spans="1:16" ht="20.149999999999999" customHeight="1">
      <c r="A17" s="95" t="s">
        <v>80</v>
      </c>
      <c r="B17" s="167">
        <v>226.99700000000001</v>
      </c>
      <c r="C17" s="167">
        <v>175.422</v>
      </c>
      <c r="D17" s="167">
        <v>370.43099999999998</v>
      </c>
      <c r="E17" s="167">
        <v>144.78899999999999</v>
      </c>
      <c r="F17" s="167">
        <v>151.68600000000001</v>
      </c>
      <c r="G17" s="71"/>
      <c r="H17" s="107"/>
      <c r="I17" s="263"/>
      <c r="J17" s="263"/>
      <c r="K17" s="263"/>
      <c r="L17" s="263"/>
      <c r="M17" s="263"/>
      <c r="N17" s="267"/>
      <c r="O17" s="223"/>
      <c r="P17" s="223"/>
    </row>
    <row r="18" spans="1:16" ht="22" customHeight="1">
      <c r="A18" s="250" t="s">
        <v>77</v>
      </c>
      <c r="B18" s="327">
        <v>690.88900000000001</v>
      </c>
      <c r="C18" s="327">
        <v>636.24099999999999</v>
      </c>
      <c r="D18" s="327">
        <v>881.90700000000004</v>
      </c>
      <c r="E18" s="327">
        <v>648.73099999999999</v>
      </c>
      <c r="F18" s="327">
        <v>633.88699999999994</v>
      </c>
      <c r="G18" s="71"/>
      <c r="H18" s="107"/>
      <c r="I18" s="170"/>
      <c r="J18" s="170"/>
      <c r="K18" s="170"/>
      <c r="L18" s="170"/>
      <c r="M18" s="170"/>
      <c r="N18" s="267"/>
      <c r="O18" s="223"/>
      <c r="P18" s="223"/>
    </row>
    <row r="19" spans="1:16" ht="25" customHeight="1">
      <c r="A19" s="98" t="s">
        <v>78</v>
      </c>
      <c r="B19" s="126">
        <v>3831.9430000000002</v>
      </c>
      <c r="C19" s="126">
        <v>4163.0823167953404</v>
      </c>
      <c r="D19" s="126">
        <v>4533.7777579927097</v>
      </c>
      <c r="E19" s="126">
        <v>4260.4058400000004</v>
      </c>
      <c r="F19" s="126">
        <v>3931.2629999999999</v>
      </c>
      <c r="G19" s="71"/>
      <c r="H19" s="172"/>
      <c r="I19" s="176"/>
      <c r="J19" s="176"/>
      <c r="K19" s="176"/>
      <c r="L19" s="191"/>
      <c r="M19" s="191"/>
      <c r="N19" s="267"/>
      <c r="O19" s="223"/>
      <c r="P19" s="223"/>
    </row>
    <row r="23" spans="1:16">
      <c r="F23" s="35"/>
    </row>
  </sheetData>
  <hyperlinks>
    <hyperlink ref="A6" location="Contents!A1" display="Return to Contents" xr:uid="{C4860B6D-5EAE-48FA-84B5-FB1C320C6D51}"/>
  </hyperlinks>
  <pageMargins left="0.25" right="0.25" top="0.75" bottom="0.75" header="0.3" footer="0.3"/>
  <pageSetup paperSize="9" scale="63" orientation="landscape"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66884-19BC-484C-B5E2-8A5E029DA38C}">
  <sheetPr codeName="Sheet58">
    <tabColor rgb="FFDDE5F1"/>
    <pageSetUpPr fitToPage="1"/>
  </sheetPr>
  <dimension ref="A1:N17"/>
  <sheetViews>
    <sheetView zoomScaleNormal="100" workbookViewId="0"/>
  </sheetViews>
  <sheetFormatPr defaultColWidth="9.1796875" defaultRowHeight="15.5"/>
  <cols>
    <col min="1" max="1" width="27.54296875" style="9" customWidth="1"/>
    <col min="2" max="6" width="14.7265625" style="5" customWidth="1"/>
    <col min="7" max="7" width="26.7265625" style="9" customWidth="1"/>
    <col min="8" max="8" width="9.1796875" style="9"/>
    <col min="9" max="13" width="9.1796875" style="9" customWidth="1"/>
    <col min="14" max="14" width="13.26953125" style="9" customWidth="1"/>
    <col min="15" max="16384" width="9.1796875" style="9"/>
  </cols>
  <sheetData>
    <row r="1" spans="1:14" ht="30" customHeight="1">
      <c r="A1" s="22" t="s">
        <v>762</v>
      </c>
      <c r="F1" s="6"/>
    </row>
    <row r="2" spans="1:14" ht="20.149999999999999" customHeight="1">
      <c r="A2" s="7" t="s">
        <v>214</v>
      </c>
      <c r="F2" s="6"/>
    </row>
    <row r="3" spans="1:14" ht="20.149999999999999" customHeight="1">
      <c r="A3" s="9" t="s">
        <v>647</v>
      </c>
      <c r="B3" s="9"/>
      <c r="C3" s="9"/>
      <c r="D3" s="9"/>
      <c r="E3" s="9"/>
      <c r="F3" s="6"/>
    </row>
    <row r="4" spans="1:14" ht="20.149999999999999" customHeight="1">
      <c r="A4" s="15" t="s">
        <v>62</v>
      </c>
    </row>
    <row r="5" spans="1:14" ht="10" customHeight="1">
      <c r="F5" s="28"/>
      <c r="G5" s="7"/>
      <c r="H5" s="7"/>
      <c r="I5" s="107"/>
      <c r="J5" s="113"/>
      <c r="K5" s="113"/>
      <c r="L5" s="113"/>
      <c r="M5" s="113"/>
      <c r="N5" s="113"/>
    </row>
    <row r="6" spans="1:14" ht="46.5">
      <c r="A6" s="98" t="s">
        <v>268</v>
      </c>
      <c r="B6" s="330">
        <v>44286</v>
      </c>
      <c r="C6" s="330">
        <v>44651</v>
      </c>
      <c r="D6" s="330">
        <v>45016</v>
      </c>
      <c r="E6" s="330">
        <v>45382</v>
      </c>
      <c r="F6" s="330">
        <v>45747</v>
      </c>
      <c r="G6" s="96" t="s">
        <v>846</v>
      </c>
      <c r="H6" s="253"/>
      <c r="I6" s="106"/>
      <c r="J6" s="170"/>
      <c r="K6" s="170"/>
      <c r="L6" s="170"/>
      <c r="M6" s="170"/>
      <c r="N6" s="170"/>
    </row>
    <row r="7" spans="1:14" s="2" customFormat="1" ht="20.149999999999999" customHeight="1">
      <c r="A7" s="9" t="s">
        <v>177</v>
      </c>
      <c r="B7" s="71">
        <v>47765.565999999999</v>
      </c>
      <c r="C7" s="71">
        <v>50822.275999999998</v>
      </c>
      <c r="D7" s="71">
        <v>52331.834999999999</v>
      </c>
      <c r="E7" s="71">
        <v>53320.517999999996</v>
      </c>
      <c r="F7" s="71">
        <v>55289.036</v>
      </c>
      <c r="G7" s="30">
        <v>3.69185835741506E-2</v>
      </c>
      <c r="H7" s="73"/>
      <c r="I7" s="185"/>
      <c r="J7" s="275"/>
      <c r="K7" s="171"/>
      <c r="L7" s="171"/>
      <c r="M7" s="171"/>
      <c r="N7" s="171"/>
    </row>
    <row r="8" spans="1:14" s="2" customFormat="1" ht="20.149999999999999" customHeight="1">
      <c r="A8" s="95" t="s">
        <v>178</v>
      </c>
      <c r="B8" s="169">
        <v>2384.2820000000002</v>
      </c>
      <c r="C8" s="169">
        <v>2335.7869999999998</v>
      </c>
      <c r="D8" s="169">
        <v>2609.1779999999999</v>
      </c>
      <c r="E8" s="169">
        <v>2947.0920000000001</v>
      </c>
      <c r="F8" s="169">
        <v>3161.7919999999999</v>
      </c>
      <c r="G8" s="103">
        <v>7.2851475284789094E-2</v>
      </c>
      <c r="H8" s="74"/>
      <c r="I8" s="185"/>
      <c r="J8" s="275"/>
      <c r="K8" s="171"/>
      <c r="L8" s="171"/>
      <c r="M8" s="171"/>
      <c r="N8" s="171"/>
    </row>
    <row r="9" spans="1:14" s="2" customFormat="1" ht="20.149999999999999" customHeight="1">
      <c r="A9" s="9" t="s">
        <v>175</v>
      </c>
      <c r="B9" s="71">
        <v>84.566000000000003</v>
      </c>
      <c r="C9" s="71">
        <v>103.34099999999999</v>
      </c>
      <c r="D9" s="71">
        <v>114.998</v>
      </c>
      <c r="E9" s="71">
        <v>127.63500000000001</v>
      </c>
      <c r="F9" s="71">
        <v>146.52099999999999</v>
      </c>
      <c r="G9" s="30">
        <v>0.14796881733066899</v>
      </c>
      <c r="H9" s="74"/>
      <c r="I9" s="185"/>
      <c r="J9" s="275"/>
      <c r="K9" s="171"/>
      <c r="L9" s="171"/>
      <c r="M9" s="171"/>
      <c r="N9" s="171"/>
    </row>
    <row r="10" spans="1:14" ht="25" customHeight="1">
      <c r="A10" s="98" t="s">
        <v>82</v>
      </c>
      <c r="B10" s="126">
        <v>50234.413999999997</v>
      </c>
      <c r="C10" s="126">
        <v>53261.404000000002</v>
      </c>
      <c r="D10" s="126">
        <v>55056.010999999999</v>
      </c>
      <c r="E10" s="126">
        <v>56395.245000000003</v>
      </c>
      <c r="F10" s="126">
        <v>58597.349000000002</v>
      </c>
      <c r="G10" s="100">
        <v>3.9047689215642299E-2</v>
      </c>
      <c r="H10" s="74"/>
      <c r="I10" s="185"/>
      <c r="J10" s="275"/>
      <c r="K10" s="261"/>
      <c r="L10" s="261"/>
      <c r="M10" s="261"/>
      <c r="N10" s="261"/>
    </row>
    <row r="11" spans="1:14">
      <c r="A11" s="19"/>
      <c r="B11" s="9"/>
      <c r="C11" s="9"/>
      <c r="D11" s="9"/>
      <c r="E11" s="9"/>
      <c r="F11" s="18"/>
      <c r="G11" s="18"/>
      <c r="H11" s="18"/>
      <c r="I11" s="18"/>
    </row>
    <row r="12" spans="1:14">
      <c r="B12" s="30"/>
      <c r="C12" s="30"/>
      <c r="D12" s="30"/>
      <c r="E12" s="30"/>
      <c r="F12" s="30"/>
      <c r="H12" s="21"/>
    </row>
    <row r="13" spans="1:14">
      <c r="F13" s="276"/>
      <c r="H13" s="21"/>
    </row>
    <row r="14" spans="1:14">
      <c r="F14" s="276"/>
      <c r="H14" s="21"/>
    </row>
    <row r="15" spans="1:14">
      <c r="F15" s="276"/>
      <c r="I15" s="21"/>
    </row>
    <row r="16" spans="1:14">
      <c r="F16" s="276"/>
    </row>
    <row r="17" spans="6:6">
      <c r="F17" s="276"/>
    </row>
  </sheetData>
  <hyperlinks>
    <hyperlink ref="A4" location="Contents!A1" display="Return to Contents" xr:uid="{A97CECB1-A314-432B-8F2D-E2C27D513276}"/>
  </hyperlinks>
  <pageMargins left="0.25" right="0.25" top="0.75" bottom="0.75" header="0.3" footer="0.3"/>
  <pageSetup paperSize="9" scale="64" orientation="landscape"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AEA7A8-023E-4AA5-83F4-E70C21B1FF75}">
  <sheetPr codeName="Sheet59">
    <tabColor rgb="FFDDE5F1"/>
    <pageSetUpPr fitToPage="1"/>
  </sheetPr>
  <dimension ref="A1:R21"/>
  <sheetViews>
    <sheetView zoomScaleNormal="100" workbookViewId="0"/>
  </sheetViews>
  <sheetFormatPr defaultColWidth="9.1796875" defaultRowHeight="15.5"/>
  <cols>
    <col min="1" max="1" width="70.7265625" style="9" customWidth="1"/>
    <col min="2" max="6" width="14.7265625" style="5" customWidth="1"/>
    <col min="7" max="7" width="9.1796875" style="9"/>
    <col min="8" max="12" width="9.1796875" style="9" customWidth="1"/>
    <col min="13" max="14" width="9.1796875" style="9"/>
    <col min="15" max="15" width="12.1796875" style="9" customWidth="1"/>
    <col min="16" max="16" width="12.26953125" style="9" customWidth="1"/>
    <col min="17" max="17" width="14.81640625" style="9" customWidth="1"/>
    <col min="18" max="18" width="9.1796875" style="75"/>
    <col min="19" max="16384" width="9.1796875" style="9"/>
  </cols>
  <sheetData>
    <row r="1" spans="1:13" ht="30" customHeight="1">
      <c r="A1" s="23" t="s">
        <v>763</v>
      </c>
    </row>
    <row r="2" spans="1:13" ht="20.149999999999999" customHeight="1">
      <c r="A2" s="7" t="s">
        <v>214</v>
      </c>
    </row>
    <row r="3" spans="1:13" ht="20.149999999999999" customHeight="1">
      <c r="A3" s="9" t="s">
        <v>647</v>
      </c>
      <c r="B3" s="9"/>
    </row>
    <row r="4" spans="1:13" ht="20.149999999999999" customHeight="1">
      <c r="A4" s="15" t="s">
        <v>62</v>
      </c>
    </row>
    <row r="5" spans="1:13" ht="10" customHeight="1">
      <c r="F5" s="28"/>
      <c r="G5" s="7"/>
      <c r="H5" s="107"/>
      <c r="I5" s="113"/>
      <c r="J5" s="113"/>
      <c r="K5" s="113"/>
      <c r="L5" s="113"/>
      <c r="M5" s="113"/>
    </row>
    <row r="6" spans="1:13" ht="25" customHeight="1">
      <c r="A6" s="98" t="s">
        <v>268</v>
      </c>
      <c r="B6" s="330">
        <v>44286</v>
      </c>
      <c r="C6" s="330">
        <v>44651</v>
      </c>
      <c r="D6" s="330">
        <v>45016</v>
      </c>
      <c r="E6" s="330">
        <v>45382</v>
      </c>
      <c r="F6" s="330">
        <v>45747</v>
      </c>
      <c r="G6" s="253"/>
      <c r="H6" s="106"/>
      <c r="I6" s="170"/>
      <c r="J6" s="170"/>
      <c r="K6" s="170"/>
      <c r="L6" s="170"/>
      <c r="M6" s="170"/>
    </row>
    <row r="7" spans="1:13" ht="20.149999999999999" customHeight="1">
      <c r="A7" s="9" t="s">
        <v>90</v>
      </c>
      <c r="B7" s="130">
        <v>13185.107</v>
      </c>
      <c r="C7" s="130">
        <v>14029.758</v>
      </c>
      <c r="D7" s="130">
        <v>13913.884</v>
      </c>
      <c r="E7" s="130">
        <v>13805.61</v>
      </c>
      <c r="F7" s="130">
        <v>14074.465</v>
      </c>
      <c r="G7" s="30"/>
      <c r="H7" s="107"/>
      <c r="I7" s="171"/>
      <c r="J7" s="171"/>
      <c r="K7" s="171"/>
      <c r="L7" s="171"/>
      <c r="M7" s="171"/>
    </row>
    <row r="8" spans="1:13" ht="20.149999999999999" customHeight="1">
      <c r="A8" s="95" t="s">
        <v>91</v>
      </c>
      <c r="B8" s="167">
        <v>24805.518</v>
      </c>
      <c r="C8" s="167">
        <v>26583.917000000001</v>
      </c>
      <c r="D8" s="167">
        <v>28116.203000000001</v>
      </c>
      <c r="E8" s="167">
        <v>28966.728999999999</v>
      </c>
      <c r="F8" s="167">
        <v>29888.579000000002</v>
      </c>
      <c r="G8" s="30"/>
      <c r="H8" s="107"/>
      <c r="I8" s="171"/>
      <c r="J8" s="171"/>
      <c r="K8" s="171"/>
      <c r="L8" s="171"/>
      <c r="M8" s="171"/>
    </row>
    <row r="9" spans="1:13" ht="20.149999999999999" customHeight="1">
      <c r="A9" s="9" t="s">
        <v>92</v>
      </c>
      <c r="B9" s="130">
        <v>1189.954</v>
      </c>
      <c r="C9" s="130">
        <v>1294.2840000000001</v>
      </c>
      <c r="D9" s="130">
        <v>1300.3050000000001</v>
      </c>
      <c r="E9" s="130">
        <v>1358.6759999999999</v>
      </c>
      <c r="F9" s="130">
        <v>1439.127</v>
      </c>
      <c r="G9" s="30"/>
      <c r="H9" s="107"/>
      <c r="I9" s="171"/>
      <c r="J9" s="171"/>
      <c r="K9" s="171"/>
      <c r="L9" s="171"/>
      <c r="M9" s="171"/>
    </row>
    <row r="10" spans="1:13" ht="20.149999999999999" customHeight="1">
      <c r="A10" s="95" t="s">
        <v>93</v>
      </c>
      <c r="B10" s="167">
        <v>6494.9120000000003</v>
      </c>
      <c r="C10" s="167">
        <v>6803.8670000000002</v>
      </c>
      <c r="D10" s="167">
        <v>7167.8919999999998</v>
      </c>
      <c r="E10" s="167">
        <v>7306.8149999999996</v>
      </c>
      <c r="F10" s="167">
        <v>7930.8649999999998</v>
      </c>
      <c r="G10" s="30"/>
      <c r="H10" s="107"/>
      <c r="I10" s="171"/>
      <c r="J10" s="171"/>
      <c r="K10" s="171"/>
      <c r="L10" s="171"/>
      <c r="M10" s="171"/>
    </row>
    <row r="11" spans="1:13" ht="20.149999999999999" customHeight="1">
      <c r="A11" s="9" t="s">
        <v>94</v>
      </c>
      <c r="B11" s="130">
        <v>208.137</v>
      </c>
      <c r="C11" s="130">
        <v>222.52099999999999</v>
      </c>
      <c r="D11" s="130">
        <v>250.78899999999999</v>
      </c>
      <c r="E11" s="130">
        <v>253.88200000000001</v>
      </c>
      <c r="F11" s="130">
        <v>280.95100000000002</v>
      </c>
      <c r="G11" s="30"/>
      <c r="H11" s="107"/>
      <c r="I11" s="171"/>
      <c r="J11" s="171"/>
      <c r="K11" s="171"/>
      <c r="L11" s="171"/>
      <c r="M11" s="171"/>
    </row>
    <row r="12" spans="1:13" s="2" customFormat="1" ht="22" customHeight="1">
      <c r="A12" s="98" t="s">
        <v>199</v>
      </c>
      <c r="B12" s="125">
        <v>45883.627999999997</v>
      </c>
      <c r="C12" s="125">
        <v>48934.347000000002</v>
      </c>
      <c r="D12" s="125">
        <v>50749.072999999997</v>
      </c>
      <c r="E12" s="125">
        <v>51691.712</v>
      </c>
      <c r="F12" s="125">
        <v>53613.987000000001</v>
      </c>
      <c r="G12" s="30"/>
      <c r="H12" s="172"/>
      <c r="I12" s="261"/>
      <c r="J12" s="261"/>
      <c r="K12" s="261"/>
      <c r="L12" s="261"/>
      <c r="M12" s="261"/>
    </row>
    <row r="13" spans="1:13" ht="20.149999999999999" customHeight="1">
      <c r="A13" s="9" t="s">
        <v>96</v>
      </c>
      <c r="B13" s="130">
        <v>1779.2329999999999</v>
      </c>
      <c r="C13" s="130">
        <v>1776.636</v>
      </c>
      <c r="D13" s="130">
        <v>2043.912</v>
      </c>
      <c r="E13" s="130">
        <v>2237.3270000000002</v>
      </c>
      <c r="F13" s="130">
        <v>2594.0520000000001</v>
      </c>
      <c r="G13" s="30"/>
      <c r="H13" s="107"/>
      <c r="I13" s="171"/>
      <c r="J13" s="171"/>
      <c r="K13" s="171"/>
      <c r="L13" s="171"/>
      <c r="M13" s="171"/>
    </row>
    <row r="14" spans="1:13" ht="20.149999999999999" customHeight="1">
      <c r="A14" s="95" t="s">
        <v>97</v>
      </c>
      <c r="B14" s="167">
        <v>257.18799999999999</v>
      </c>
      <c r="C14" s="167">
        <v>256.51299999999998</v>
      </c>
      <c r="D14" s="167">
        <v>253.68799999999999</v>
      </c>
      <c r="E14" s="167">
        <v>241.07499999999999</v>
      </c>
      <c r="F14" s="167">
        <v>244.506</v>
      </c>
      <c r="G14" s="30"/>
      <c r="H14" s="107"/>
      <c r="I14" s="171"/>
      <c r="J14" s="171"/>
      <c r="K14" s="171"/>
      <c r="L14" s="171"/>
      <c r="M14" s="171"/>
    </row>
    <row r="15" spans="1:13" s="2" customFormat="1" ht="22" customHeight="1">
      <c r="A15" s="98" t="s">
        <v>200</v>
      </c>
      <c r="B15" s="125">
        <v>2036.421</v>
      </c>
      <c r="C15" s="125">
        <v>2033.1489999999999</v>
      </c>
      <c r="D15" s="125">
        <v>2297.6</v>
      </c>
      <c r="E15" s="125">
        <v>2478.402</v>
      </c>
      <c r="F15" s="125">
        <v>2838.558</v>
      </c>
      <c r="G15" s="30"/>
      <c r="H15" s="172"/>
      <c r="I15" s="261"/>
      <c r="J15" s="261"/>
      <c r="K15" s="261"/>
      <c r="L15" s="261"/>
      <c r="M15" s="261"/>
    </row>
    <row r="16" spans="1:13" ht="20.149999999999999" customHeight="1">
      <c r="A16" s="9" t="s">
        <v>95</v>
      </c>
      <c r="B16" s="130">
        <v>1881.9380000000001</v>
      </c>
      <c r="C16" s="130">
        <v>1887.9290000000001</v>
      </c>
      <c r="D16" s="130">
        <v>1582.7619999999999</v>
      </c>
      <c r="E16" s="130">
        <v>1628.806</v>
      </c>
      <c r="F16" s="130">
        <v>1675.049</v>
      </c>
      <c r="G16" s="30"/>
      <c r="H16" s="107"/>
      <c r="I16" s="171"/>
      <c r="J16" s="171"/>
      <c r="K16" s="171"/>
      <c r="L16" s="171"/>
      <c r="M16" s="171"/>
    </row>
    <row r="17" spans="1:13" ht="20.149999999999999" customHeight="1">
      <c r="A17" s="95" t="s">
        <v>98</v>
      </c>
      <c r="B17" s="167">
        <v>284.25</v>
      </c>
      <c r="C17" s="167">
        <v>243.51499999999999</v>
      </c>
      <c r="D17" s="167">
        <v>263.904</v>
      </c>
      <c r="E17" s="167">
        <v>408.60599999999999</v>
      </c>
      <c r="F17" s="167">
        <v>236.83500000000001</v>
      </c>
      <c r="G17" s="30"/>
      <c r="H17" s="107"/>
      <c r="I17" s="171"/>
      <c r="J17" s="171"/>
      <c r="K17" s="171"/>
      <c r="L17" s="171"/>
      <c r="M17" s="171"/>
    </row>
    <row r="18" spans="1:13" s="2" customFormat="1" ht="20.149999999999999" customHeight="1">
      <c r="A18" s="9" t="s">
        <v>81</v>
      </c>
      <c r="B18" s="130">
        <v>84.566000000000003</v>
      </c>
      <c r="C18" s="130">
        <v>103.34099999999999</v>
      </c>
      <c r="D18" s="130">
        <v>114.998</v>
      </c>
      <c r="E18" s="130">
        <v>127.63500000000001</v>
      </c>
      <c r="F18" s="130">
        <v>146.52099999999999</v>
      </c>
      <c r="G18" s="30"/>
      <c r="H18" s="107"/>
      <c r="I18" s="171"/>
      <c r="J18" s="171"/>
      <c r="K18" s="171"/>
      <c r="L18" s="171"/>
      <c r="M18" s="171"/>
    </row>
    <row r="19" spans="1:13" ht="20.149999999999999" customHeight="1">
      <c r="A19" s="95" t="s">
        <v>160</v>
      </c>
      <c r="B19" s="167">
        <v>63.610999999999997</v>
      </c>
      <c r="C19" s="167">
        <v>59.122999999999998</v>
      </c>
      <c r="D19" s="167">
        <v>47.673999999999999</v>
      </c>
      <c r="E19" s="167">
        <v>60.084000000000003</v>
      </c>
      <c r="F19" s="167">
        <v>86.399000000000001</v>
      </c>
      <c r="G19" s="30"/>
      <c r="H19" s="107"/>
      <c r="I19" s="171"/>
      <c r="J19" s="171"/>
      <c r="K19" s="171"/>
      <c r="L19" s="171"/>
      <c r="M19" s="171"/>
    </row>
    <row r="20" spans="1:13" s="2" customFormat="1" ht="22" customHeight="1">
      <c r="A20" s="98" t="s">
        <v>159</v>
      </c>
      <c r="B20" s="125">
        <v>2314.3649999999998</v>
      </c>
      <c r="C20" s="125">
        <v>2293.9079999999999</v>
      </c>
      <c r="D20" s="125">
        <v>2009.338</v>
      </c>
      <c r="E20" s="125">
        <v>2225.1309999999999</v>
      </c>
      <c r="F20" s="125">
        <v>2144.8040000000001</v>
      </c>
      <c r="G20" s="30"/>
      <c r="H20" s="172"/>
      <c r="I20" s="261"/>
      <c r="J20" s="261"/>
      <c r="K20" s="261"/>
      <c r="L20" s="261"/>
      <c r="M20" s="261"/>
    </row>
    <row r="21" spans="1:13" ht="25" customHeight="1">
      <c r="A21" s="98" t="s">
        <v>82</v>
      </c>
      <c r="B21" s="126">
        <v>50234.413999999997</v>
      </c>
      <c r="C21" s="126">
        <v>53261.404000000002</v>
      </c>
      <c r="D21" s="126">
        <v>55056.010999999999</v>
      </c>
      <c r="E21" s="126">
        <v>56395.245000000003</v>
      </c>
      <c r="F21" s="126">
        <v>58597.349000000002</v>
      </c>
      <c r="G21" s="30"/>
      <c r="H21" s="172"/>
      <c r="I21" s="261"/>
      <c r="J21" s="261"/>
      <c r="K21" s="261"/>
      <c r="L21" s="261"/>
      <c r="M21" s="261"/>
    </row>
  </sheetData>
  <hyperlinks>
    <hyperlink ref="A4" location="Contents!A1" display="Return to Contents" xr:uid="{02D519F7-FBDF-40B1-89CC-CCCC46ECE30A}"/>
  </hyperlinks>
  <pageMargins left="0.25" right="0.25" top="0.75" bottom="0.75" header="0.3" footer="0.3"/>
  <pageSetup paperSize="9" scale="68" orientation="landscape"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FD572-B7A3-4756-9C74-4A298A4D9C29}">
  <sheetPr codeName="Sheet61">
    <tabColor rgb="FFDDE5F1"/>
    <pageSetUpPr fitToPage="1"/>
  </sheetPr>
  <dimension ref="A1:I10"/>
  <sheetViews>
    <sheetView zoomScaleNormal="100" workbookViewId="0"/>
  </sheetViews>
  <sheetFormatPr defaultColWidth="9.1796875" defaultRowHeight="15.5"/>
  <cols>
    <col min="1" max="1" width="38.7265625" style="9" customWidth="1"/>
    <col min="2" max="3" width="15.7265625" style="65" customWidth="1"/>
    <col min="4" max="4" width="20.7265625" style="5" customWidth="1"/>
    <col min="5" max="5" width="9.1796875" style="9"/>
    <col min="6" max="6" width="9.1796875" style="9" customWidth="1"/>
    <col min="7" max="16384" width="9.1796875" style="9"/>
  </cols>
  <sheetData>
    <row r="1" spans="1:9" ht="30" customHeight="1">
      <c r="A1" s="23" t="s">
        <v>830</v>
      </c>
      <c r="B1" s="69"/>
      <c r="C1" s="69"/>
    </row>
    <row r="2" spans="1:9" ht="20.149999999999999" customHeight="1">
      <c r="A2" s="7" t="s">
        <v>214</v>
      </c>
      <c r="B2" s="69"/>
      <c r="C2" s="69"/>
    </row>
    <row r="3" spans="1:9" ht="20.149999999999999" customHeight="1">
      <c r="A3" s="7" t="s">
        <v>418</v>
      </c>
    </row>
    <row r="4" spans="1:9" ht="20.149999999999999" customHeight="1">
      <c r="A4" s="7" t="s">
        <v>241</v>
      </c>
      <c r="B4" s="69"/>
      <c r="C4" s="69"/>
    </row>
    <row r="5" spans="1:9" ht="20.149999999999999" customHeight="1">
      <c r="A5" s="15" t="s">
        <v>62</v>
      </c>
    </row>
    <row r="6" spans="1:9" ht="10" customHeight="1">
      <c r="E6" s="7"/>
      <c r="F6" s="107"/>
      <c r="G6" s="113"/>
      <c r="H6" s="113"/>
      <c r="I6" s="113"/>
    </row>
    <row r="7" spans="1:9" ht="40" customHeight="1">
      <c r="A7" s="98" t="s">
        <v>269</v>
      </c>
      <c r="B7" s="96" t="s">
        <v>197</v>
      </c>
      <c r="C7" s="96" t="s">
        <v>36</v>
      </c>
      <c r="D7" s="99" t="s">
        <v>38</v>
      </c>
      <c r="E7" s="18"/>
      <c r="F7" s="106"/>
      <c r="G7" s="170"/>
      <c r="H7" s="170"/>
      <c r="I7" s="172"/>
    </row>
    <row r="8" spans="1:9" ht="20.149999999999999" customHeight="1">
      <c r="A8" s="9" t="s">
        <v>179</v>
      </c>
      <c r="B8" s="35">
        <v>14745.638000000001</v>
      </c>
      <c r="C8" s="35">
        <v>6271.19</v>
      </c>
      <c r="D8" s="35">
        <v>21016.828000000001</v>
      </c>
      <c r="E8" s="68"/>
      <c r="F8" s="107"/>
      <c r="G8" s="171"/>
      <c r="H8" s="171"/>
      <c r="I8" s="172"/>
    </row>
    <row r="9" spans="1:9" ht="20.149999999999999" customHeight="1">
      <c r="A9" s="95" t="s">
        <v>69</v>
      </c>
      <c r="B9" s="118">
        <v>4278.1769999999997</v>
      </c>
      <c r="C9" s="118">
        <v>1.4359999999999999</v>
      </c>
      <c r="D9" s="118">
        <v>4279.6130000000003</v>
      </c>
      <c r="E9" s="68"/>
      <c r="F9" s="107"/>
      <c r="G9" s="263"/>
      <c r="H9" s="263"/>
      <c r="I9" s="176"/>
    </row>
    <row r="10" spans="1:9" ht="25" customHeight="1">
      <c r="A10" s="98" t="s">
        <v>83</v>
      </c>
      <c r="B10" s="126">
        <v>19023.814999999999</v>
      </c>
      <c r="C10" s="126">
        <v>6272.6260000000002</v>
      </c>
      <c r="D10" s="126">
        <v>25296.440999999999</v>
      </c>
      <c r="E10" s="68"/>
      <c r="F10" s="172"/>
      <c r="G10" s="106"/>
      <c r="H10" s="106"/>
      <c r="I10" s="106"/>
    </row>
  </sheetData>
  <hyperlinks>
    <hyperlink ref="A5" location="Contents!A1" display="Return to Contents" xr:uid="{E7936E5F-FEE8-4778-9249-8DACE06DFF9E}"/>
  </hyperlinks>
  <pageMargins left="0.25" right="0.25" top="0.75" bottom="0.75" header="0.3" footer="0.3"/>
  <pageSetup paperSize="9" orientation="landscape"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079C7-18A5-4C23-9FE5-F2DB110FF81A}">
  <sheetPr codeName="Sheet62">
    <tabColor rgb="FFDDE5F1"/>
    <pageSetUpPr fitToPage="1"/>
  </sheetPr>
  <dimension ref="A1:N14"/>
  <sheetViews>
    <sheetView zoomScaleNormal="100" workbookViewId="0"/>
  </sheetViews>
  <sheetFormatPr defaultColWidth="9.1796875" defaultRowHeight="15.5"/>
  <cols>
    <col min="1" max="1" width="52.7265625" style="9" customWidth="1"/>
    <col min="2" max="6" width="16.7265625" style="5" customWidth="1"/>
    <col min="7" max="7" width="9.1796875" style="9"/>
    <col min="8" max="8" width="9.1796875" style="9" customWidth="1"/>
    <col min="9" max="12" width="9.1796875" style="9"/>
    <col min="13" max="14" width="9.1796875" style="9" customWidth="1"/>
    <col min="15" max="16384" width="9.1796875" style="9"/>
  </cols>
  <sheetData>
    <row r="1" spans="1:14" ht="30" customHeight="1">
      <c r="A1" s="23" t="s">
        <v>773</v>
      </c>
      <c r="B1" s="13"/>
      <c r="C1" s="13"/>
      <c r="D1" s="13"/>
    </row>
    <row r="2" spans="1:14" ht="20.149999999999999" customHeight="1">
      <c r="A2" s="7" t="s">
        <v>214</v>
      </c>
      <c r="B2" s="9"/>
      <c r="C2" s="9"/>
      <c r="D2" s="9"/>
    </row>
    <row r="3" spans="1:14" ht="20.149999999999999" customHeight="1">
      <c r="A3" s="7" t="s">
        <v>418</v>
      </c>
      <c r="B3" s="65"/>
      <c r="C3" s="65"/>
      <c r="E3" s="9"/>
      <c r="F3" s="9"/>
    </row>
    <row r="4" spans="1:14" ht="20.149999999999999" customHeight="1">
      <c r="A4" s="7" t="s">
        <v>847</v>
      </c>
      <c r="B4" s="9"/>
      <c r="C4" s="9"/>
      <c r="D4" s="9"/>
    </row>
    <row r="5" spans="1:14" ht="20.149999999999999" customHeight="1">
      <c r="A5" s="15" t="s">
        <v>62</v>
      </c>
    </row>
    <row r="6" spans="1:14" ht="10" customHeight="1">
      <c r="B6" s="9"/>
      <c r="C6" s="9"/>
      <c r="D6" s="9"/>
      <c r="E6" s="9"/>
      <c r="F6" s="9"/>
    </row>
    <row r="7" spans="1:14" ht="25" customHeight="1">
      <c r="A7" s="98" t="s">
        <v>249</v>
      </c>
      <c r="B7" s="330">
        <v>44286</v>
      </c>
      <c r="C7" s="330">
        <v>44651</v>
      </c>
      <c r="D7" s="330">
        <v>45016</v>
      </c>
      <c r="E7" s="330">
        <v>45382</v>
      </c>
      <c r="F7" s="330">
        <v>45747</v>
      </c>
      <c r="G7" s="18"/>
      <c r="H7" s="106"/>
      <c r="I7" s="265"/>
      <c r="J7" s="265"/>
      <c r="K7" s="265"/>
      <c r="L7" s="265"/>
      <c r="M7" s="265"/>
      <c r="N7" s="266"/>
    </row>
    <row r="8" spans="1:14" ht="20.149999999999999" customHeight="1">
      <c r="A8" s="7" t="s">
        <v>201</v>
      </c>
      <c r="B8" s="130">
        <v>11798696</v>
      </c>
      <c r="C8" s="130">
        <v>12423609</v>
      </c>
      <c r="D8" s="130">
        <v>13114201</v>
      </c>
      <c r="E8" s="130">
        <v>13790979</v>
      </c>
      <c r="F8" s="130">
        <v>14745638</v>
      </c>
      <c r="G8" s="68"/>
      <c r="H8" s="107"/>
      <c r="I8" s="171"/>
      <c r="J8" s="171"/>
      <c r="K8" s="171"/>
      <c r="L8" s="171"/>
      <c r="M8" s="171"/>
      <c r="N8" s="261"/>
    </row>
    <row r="9" spans="1:14" ht="20.149999999999999" customHeight="1">
      <c r="A9" s="7" t="s">
        <v>202</v>
      </c>
      <c r="B9" s="130">
        <v>3732269</v>
      </c>
      <c r="C9" s="130">
        <v>3606587</v>
      </c>
      <c r="D9" s="130">
        <v>3712980</v>
      </c>
      <c r="E9" s="130">
        <v>3587604</v>
      </c>
      <c r="F9" s="130">
        <v>4278177</v>
      </c>
      <c r="G9" s="68"/>
      <c r="H9" s="107"/>
      <c r="I9" s="171"/>
      <c r="J9" s="171"/>
      <c r="K9" s="171"/>
      <c r="L9" s="263"/>
      <c r="M9" s="263"/>
      <c r="N9" s="261"/>
    </row>
    <row r="10" spans="1:14" ht="25" customHeight="1">
      <c r="A10" s="98" t="s">
        <v>161</v>
      </c>
      <c r="B10" s="126">
        <v>15530965</v>
      </c>
      <c r="C10" s="126">
        <v>16030196</v>
      </c>
      <c r="D10" s="126">
        <v>16827181</v>
      </c>
      <c r="E10" s="126">
        <v>17378583</v>
      </c>
      <c r="F10" s="126">
        <v>19023815</v>
      </c>
      <c r="G10" s="68"/>
      <c r="H10" s="107"/>
      <c r="I10" s="170"/>
      <c r="J10" s="170"/>
      <c r="K10" s="170"/>
      <c r="L10" s="170"/>
      <c r="M10" s="170"/>
      <c r="N10" s="262"/>
    </row>
    <row r="11" spans="1:14" s="18" customFormat="1" ht="20.149999999999999" customHeight="1">
      <c r="A11" s="254" t="s">
        <v>86</v>
      </c>
      <c r="B11" s="257">
        <v>5408900</v>
      </c>
      <c r="C11" s="257">
        <v>5412900</v>
      </c>
      <c r="D11" s="257">
        <v>5447000</v>
      </c>
      <c r="E11" s="257">
        <v>5506000</v>
      </c>
      <c r="F11" s="257">
        <v>5546900</v>
      </c>
      <c r="H11" s="107"/>
      <c r="I11" s="170"/>
      <c r="J11" s="170"/>
      <c r="K11" s="170"/>
      <c r="L11" s="170"/>
      <c r="M11" s="170"/>
      <c r="N11" s="262"/>
    </row>
    <row r="12" spans="1:14" s="18" customFormat="1" ht="20.149999999999999" customHeight="1">
      <c r="A12" s="7" t="s">
        <v>203</v>
      </c>
      <c r="B12" s="130">
        <v>2181.3485181829901</v>
      </c>
      <c r="C12" s="130">
        <v>2295.1853904561299</v>
      </c>
      <c r="D12" s="130">
        <v>2407.6006976317199</v>
      </c>
      <c r="E12" s="130">
        <v>2504.7183073011302</v>
      </c>
      <c r="F12" s="130">
        <v>2658.3565595197301</v>
      </c>
      <c r="G12" s="163"/>
      <c r="H12" s="107"/>
      <c r="I12" s="171"/>
      <c r="J12" s="171"/>
      <c r="K12" s="171"/>
      <c r="L12" s="171"/>
      <c r="M12" s="171"/>
      <c r="N12" s="171"/>
    </row>
    <row r="13" spans="1:14" s="18" customFormat="1" ht="20.149999999999999" customHeight="1">
      <c r="A13" s="7" t="s">
        <v>204</v>
      </c>
      <c r="B13" s="130">
        <v>690.02366470077095</v>
      </c>
      <c r="C13" s="130">
        <v>666.29477729128598</v>
      </c>
      <c r="D13" s="130">
        <v>681.655957407747</v>
      </c>
      <c r="E13" s="130">
        <v>651.58082092262998</v>
      </c>
      <c r="F13" s="130">
        <v>771.27350411941802</v>
      </c>
      <c r="G13" s="163"/>
      <c r="H13" s="107"/>
      <c r="I13" s="171"/>
      <c r="J13" s="171"/>
      <c r="K13" s="171"/>
      <c r="L13" s="171"/>
      <c r="M13" s="171"/>
      <c r="N13" s="171"/>
    </row>
    <row r="14" spans="1:14" s="2" customFormat="1" ht="25" customHeight="1">
      <c r="A14" s="98" t="s">
        <v>205</v>
      </c>
      <c r="B14" s="125">
        <v>2871.3721828837702</v>
      </c>
      <c r="C14" s="125">
        <v>2961.4801677474202</v>
      </c>
      <c r="D14" s="125">
        <v>3089.2566550394699</v>
      </c>
      <c r="E14" s="125">
        <v>3156.2991282237599</v>
      </c>
      <c r="F14" s="125">
        <v>3429.6300636391502</v>
      </c>
      <c r="G14" s="255"/>
      <c r="H14" s="402"/>
      <c r="I14" s="440"/>
      <c r="J14" s="278"/>
      <c r="K14" s="170"/>
      <c r="L14" s="170"/>
      <c r="M14" s="170"/>
      <c r="N14" s="170"/>
    </row>
  </sheetData>
  <hyperlinks>
    <hyperlink ref="A5" location="Contents!A1" display="Return to Contents" xr:uid="{DB78A34F-0B12-4BFA-BD21-1232A4589197}"/>
  </hyperlinks>
  <pageMargins left="0.25" right="0.25" top="0.75" bottom="0.75" header="0.3" footer="0.3"/>
  <pageSetup paperSize="9" scale="52" orientation="landscape"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BF038-021D-4473-B2F1-CAE3AF72E530}">
  <sheetPr codeName="Sheet63">
    <tabColor rgb="FFDDE5F1"/>
    <pageSetUpPr fitToPage="1"/>
  </sheetPr>
  <dimension ref="A1:N14"/>
  <sheetViews>
    <sheetView zoomScaleNormal="100" workbookViewId="0"/>
  </sheetViews>
  <sheetFormatPr defaultColWidth="9.1796875" defaultRowHeight="15.5"/>
  <cols>
    <col min="1" max="1" width="52.7265625" style="9" customWidth="1"/>
    <col min="2" max="6" width="16.7265625" style="5" customWidth="1"/>
    <col min="7" max="7" width="9.1796875" style="9"/>
    <col min="8" max="8" width="9.1796875" style="9" customWidth="1"/>
    <col min="9" max="9" width="9.81640625" style="9" bestFit="1" customWidth="1"/>
    <col min="10" max="11" width="9.1796875" style="9"/>
    <col min="12" max="14" width="9.1796875" style="9" customWidth="1"/>
    <col min="15" max="16384" width="9.1796875" style="9"/>
  </cols>
  <sheetData>
    <row r="1" spans="1:14" ht="30" customHeight="1">
      <c r="A1" s="23" t="s">
        <v>774</v>
      </c>
      <c r="B1" s="9"/>
      <c r="C1" s="9"/>
    </row>
    <row r="2" spans="1:14" ht="20.149999999999999" customHeight="1">
      <c r="A2" s="7" t="s">
        <v>214</v>
      </c>
      <c r="B2" s="9"/>
      <c r="C2" s="9"/>
    </row>
    <row r="3" spans="1:14" ht="20.149999999999999" customHeight="1">
      <c r="A3" s="7" t="s">
        <v>418</v>
      </c>
      <c r="B3" s="65"/>
      <c r="C3" s="65"/>
      <c r="E3" s="9"/>
      <c r="F3" s="9"/>
    </row>
    <row r="4" spans="1:14" ht="20.149999999999999" customHeight="1">
      <c r="A4" s="9" t="s">
        <v>645</v>
      </c>
      <c r="B4" s="9"/>
      <c r="C4" s="9"/>
      <c r="D4" s="9"/>
      <c r="E4" s="76"/>
    </row>
    <row r="5" spans="1:14" ht="20.149999999999999" customHeight="1">
      <c r="A5" s="15" t="s">
        <v>62</v>
      </c>
    </row>
    <row r="6" spans="1:14" ht="10" customHeight="1">
      <c r="B6" s="9"/>
      <c r="C6" s="9"/>
      <c r="D6" s="9"/>
      <c r="E6" s="9"/>
      <c r="F6" s="9"/>
    </row>
    <row r="7" spans="1:14" ht="25" customHeight="1">
      <c r="A7" s="98" t="s">
        <v>249</v>
      </c>
      <c r="B7" s="330">
        <v>44286</v>
      </c>
      <c r="C7" s="330">
        <v>44651</v>
      </c>
      <c r="D7" s="330">
        <v>45016</v>
      </c>
      <c r="E7" s="330">
        <v>45382</v>
      </c>
      <c r="F7" s="330">
        <v>45747</v>
      </c>
      <c r="G7" s="18"/>
      <c r="H7" s="106"/>
      <c r="I7" s="265"/>
      <c r="J7" s="265"/>
      <c r="K7" s="265"/>
      <c r="L7" s="265"/>
      <c r="M7" s="265"/>
      <c r="N7" s="266"/>
    </row>
    <row r="8" spans="1:14" ht="20.149999999999999" customHeight="1">
      <c r="A8" s="7" t="s">
        <v>201</v>
      </c>
      <c r="B8" s="130">
        <v>4173384</v>
      </c>
      <c r="C8" s="130">
        <v>4517104</v>
      </c>
      <c r="D8" s="130">
        <v>4971008</v>
      </c>
      <c r="E8" s="130">
        <v>5569767</v>
      </c>
      <c r="F8" s="130">
        <v>6271190</v>
      </c>
      <c r="G8" s="68"/>
      <c r="H8" s="107"/>
      <c r="I8" s="171"/>
      <c r="J8" s="171"/>
      <c r="K8" s="171"/>
      <c r="L8" s="171"/>
      <c r="M8" s="171"/>
      <c r="N8" s="261"/>
    </row>
    <row r="9" spans="1:14" ht="20.149999999999999" customHeight="1">
      <c r="A9" s="7" t="s">
        <v>202</v>
      </c>
      <c r="B9" s="130">
        <v>1901</v>
      </c>
      <c r="C9" s="130">
        <v>1764</v>
      </c>
      <c r="D9" s="130">
        <v>1507</v>
      </c>
      <c r="E9" s="130">
        <v>1288</v>
      </c>
      <c r="F9" s="130">
        <v>1436</v>
      </c>
      <c r="G9" s="68"/>
      <c r="H9" s="107"/>
      <c r="I9" s="171"/>
      <c r="J9" s="171"/>
      <c r="K9" s="263"/>
      <c r="L9" s="263"/>
      <c r="M9" s="263"/>
      <c r="N9" s="261"/>
    </row>
    <row r="10" spans="1:14" ht="25" customHeight="1">
      <c r="A10" s="98" t="s">
        <v>162</v>
      </c>
      <c r="B10" s="126">
        <v>4175285</v>
      </c>
      <c r="C10" s="126">
        <v>4518868</v>
      </c>
      <c r="D10" s="126">
        <v>4972515</v>
      </c>
      <c r="E10" s="126">
        <v>5571055</v>
      </c>
      <c r="F10" s="126">
        <v>6272626</v>
      </c>
      <c r="G10" s="68"/>
      <c r="H10" s="107"/>
      <c r="I10" s="170"/>
      <c r="J10" s="170"/>
      <c r="K10" s="170"/>
      <c r="L10" s="170"/>
      <c r="M10" s="170"/>
      <c r="N10" s="262"/>
    </row>
    <row r="11" spans="1:14" ht="20.149999999999999" customHeight="1">
      <c r="A11" s="256" t="s">
        <v>87</v>
      </c>
      <c r="B11" s="257">
        <v>314199</v>
      </c>
      <c r="C11" s="257">
        <v>316019</v>
      </c>
      <c r="D11" s="257">
        <v>317210</v>
      </c>
      <c r="E11" s="257">
        <v>319966</v>
      </c>
      <c r="F11" s="257">
        <v>323971</v>
      </c>
      <c r="H11" s="107"/>
      <c r="I11" s="170"/>
      <c r="J11" s="170"/>
      <c r="K11" s="170"/>
      <c r="L11" s="170"/>
      <c r="M11" s="170"/>
      <c r="N11" s="262"/>
    </row>
    <row r="12" spans="1:14" ht="20.149999999999999" customHeight="1">
      <c r="A12" s="7" t="s">
        <v>307</v>
      </c>
      <c r="B12" s="130">
        <v>13282.613884831</v>
      </c>
      <c r="C12" s="130">
        <v>14293.773475645499</v>
      </c>
      <c r="D12" s="130">
        <v>15671.0318085811</v>
      </c>
      <c r="E12" s="130">
        <v>17407.371408212101</v>
      </c>
      <c r="F12" s="130">
        <v>19357.2572853743</v>
      </c>
      <c r="G12" s="68"/>
      <c r="H12" s="107"/>
      <c r="I12" s="171"/>
      <c r="J12" s="171"/>
      <c r="K12" s="171"/>
      <c r="L12" s="171"/>
      <c r="M12" s="171"/>
      <c r="N12" s="261"/>
    </row>
    <row r="13" spans="1:14" ht="20.149999999999999" customHeight="1">
      <c r="A13" s="7" t="s">
        <v>308</v>
      </c>
      <c r="B13" s="130">
        <v>6.0503056979812202</v>
      </c>
      <c r="C13" s="130">
        <v>5.5819428578661396</v>
      </c>
      <c r="D13" s="130">
        <v>4.75079600264809</v>
      </c>
      <c r="E13" s="130">
        <v>4.0254277016933004</v>
      </c>
      <c r="F13" s="130">
        <v>4.4324955011405303</v>
      </c>
      <c r="G13" s="68"/>
      <c r="H13" s="107"/>
      <c r="I13" s="171"/>
      <c r="J13" s="171"/>
      <c r="K13" s="171"/>
      <c r="L13" s="171"/>
      <c r="M13" s="171"/>
      <c r="N13" s="261"/>
    </row>
    <row r="14" spans="1:14" s="2" customFormat="1" ht="25" customHeight="1">
      <c r="A14" s="98" t="s">
        <v>309</v>
      </c>
      <c r="B14" s="125">
        <v>13288.6641905289</v>
      </c>
      <c r="C14" s="125">
        <v>14299.355418503301</v>
      </c>
      <c r="D14" s="125">
        <v>15675.782604583699</v>
      </c>
      <c r="E14" s="125">
        <v>17411.396835913802</v>
      </c>
      <c r="F14" s="125">
        <v>19361.6897808754</v>
      </c>
      <c r="G14" s="255"/>
      <c r="H14" s="402"/>
      <c r="I14" s="440"/>
      <c r="J14" s="278"/>
      <c r="K14" s="170"/>
      <c r="L14" s="170"/>
      <c r="M14" s="170"/>
      <c r="N14" s="262"/>
    </row>
  </sheetData>
  <hyperlinks>
    <hyperlink ref="A5" location="Contents!A1" display="Return to Contents" xr:uid="{B1989E5C-AF6E-453A-830F-D610310610DE}"/>
  </hyperlinks>
  <pageMargins left="0.25" right="0.25" top="0.75" bottom="0.75" header="0.3" footer="0.3"/>
  <pageSetup paperSize="9" scale="52" orientation="landscape"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78DA9-7663-46EB-8C73-1123033C3808}">
  <sheetPr codeName="Sheet64">
    <tabColor rgb="FFDDE5F1"/>
    <pageSetUpPr fitToPage="1"/>
  </sheetPr>
  <dimension ref="A1:N56"/>
  <sheetViews>
    <sheetView zoomScaleNormal="100" workbookViewId="0"/>
  </sheetViews>
  <sheetFormatPr defaultColWidth="9.1796875" defaultRowHeight="15.5"/>
  <cols>
    <col min="1" max="1" width="51.1796875" style="9" customWidth="1"/>
    <col min="2" max="6" width="16.7265625" style="5" customWidth="1"/>
    <col min="7" max="7" width="9.1796875" style="9"/>
    <col min="8" max="14" width="9.1796875" style="9" customWidth="1"/>
    <col min="15" max="16384" width="9.1796875" style="9"/>
  </cols>
  <sheetData>
    <row r="1" spans="1:14" ht="30" customHeight="1">
      <c r="A1" s="23" t="s">
        <v>775</v>
      </c>
      <c r="B1" s="36"/>
      <c r="C1" s="36"/>
      <c r="D1" s="36"/>
    </row>
    <row r="2" spans="1:14" ht="20.149999999999999" customHeight="1">
      <c r="A2" s="7" t="s">
        <v>236</v>
      </c>
    </row>
    <row r="3" spans="1:14" ht="20.149999999999999" customHeight="1">
      <c r="A3" s="7" t="s">
        <v>418</v>
      </c>
      <c r="B3" s="65"/>
      <c r="C3" s="65"/>
      <c r="E3" s="9"/>
      <c r="F3" s="9"/>
    </row>
    <row r="4" spans="1:14" ht="20.149999999999999" customHeight="1">
      <c r="A4" s="9" t="s">
        <v>647</v>
      </c>
      <c r="B4" s="78"/>
      <c r="C4" s="78"/>
    </row>
    <row r="5" spans="1:14" ht="20.149999999999999" customHeight="1">
      <c r="A5" s="15" t="s">
        <v>62</v>
      </c>
    </row>
    <row r="6" spans="1:14" ht="10.15" customHeight="1">
      <c r="A6" s="15"/>
    </row>
    <row r="7" spans="1:14" ht="25" customHeight="1">
      <c r="A7" s="98" t="s">
        <v>269</v>
      </c>
      <c r="B7" s="330">
        <v>44286</v>
      </c>
      <c r="C7" s="330">
        <v>44651</v>
      </c>
      <c r="D7" s="330">
        <v>45016</v>
      </c>
      <c r="E7" s="330">
        <v>45382</v>
      </c>
      <c r="F7" s="330">
        <v>45747</v>
      </c>
      <c r="H7" s="106"/>
      <c r="I7" s="265"/>
      <c r="J7" s="265"/>
      <c r="K7" s="265"/>
      <c r="L7" s="265"/>
      <c r="M7" s="265"/>
      <c r="N7" s="266"/>
    </row>
    <row r="8" spans="1:14" ht="20.149999999999999" customHeight="1">
      <c r="A8" s="9" t="s">
        <v>206</v>
      </c>
      <c r="B8" s="130">
        <v>11798.696</v>
      </c>
      <c r="C8" s="130">
        <v>12423.609</v>
      </c>
      <c r="D8" s="35">
        <v>13114.200999999999</v>
      </c>
      <c r="E8" s="130">
        <v>13790.978999999999</v>
      </c>
      <c r="F8" s="130">
        <v>14745.638000000001</v>
      </c>
      <c r="H8" s="107"/>
      <c r="I8" s="279"/>
      <c r="J8" s="277"/>
      <c r="K8" s="171"/>
      <c r="L8" s="171"/>
      <c r="M8" s="171"/>
      <c r="N8" s="261"/>
    </row>
    <row r="9" spans="1:14" ht="20.149999999999999" customHeight="1">
      <c r="A9" s="95" t="s">
        <v>207</v>
      </c>
      <c r="B9" s="167">
        <v>3732.2689999999998</v>
      </c>
      <c r="C9" s="167">
        <v>3606.587</v>
      </c>
      <c r="D9" s="118">
        <v>3712.98</v>
      </c>
      <c r="E9" s="167">
        <v>3587.6039999999998</v>
      </c>
      <c r="F9" s="167">
        <v>4278.1769999999997</v>
      </c>
      <c r="H9" s="107"/>
      <c r="I9" s="279"/>
      <c r="J9" s="277"/>
      <c r="K9" s="171"/>
      <c r="L9" s="263"/>
      <c r="M9" s="263"/>
      <c r="N9" s="261"/>
    </row>
    <row r="10" spans="1:14" s="2" customFormat="1" ht="25" customHeight="1">
      <c r="A10" s="98" t="s">
        <v>84</v>
      </c>
      <c r="B10" s="125">
        <v>15530.965</v>
      </c>
      <c r="C10" s="125">
        <v>16030.196</v>
      </c>
      <c r="D10" s="125">
        <v>16827.181</v>
      </c>
      <c r="E10" s="125">
        <v>17378.582999999999</v>
      </c>
      <c r="F10" s="125">
        <v>19023.814999999999</v>
      </c>
      <c r="H10" s="106"/>
      <c r="I10" s="279"/>
      <c r="J10" s="277"/>
      <c r="K10" s="356"/>
      <c r="L10" s="170"/>
      <c r="M10" s="170"/>
      <c r="N10" s="262"/>
    </row>
    <row r="11" spans="1:14" ht="20.149999999999999" customHeight="1">
      <c r="A11" s="9" t="s">
        <v>208</v>
      </c>
      <c r="B11" s="130">
        <v>4173.384</v>
      </c>
      <c r="C11" s="130">
        <v>4517.1040000000003</v>
      </c>
      <c r="D11" s="35">
        <v>4971.0079999999998</v>
      </c>
      <c r="E11" s="130">
        <v>5569.7669999999998</v>
      </c>
      <c r="F11" s="130">
        <v>6271.19</v>
      </c>
      <c r="H11" s="107"/>
      <c r="I11" s="279"/>
      <c r="J11" s="277"/>
      <c r="K11" s="171"/>
      <c r="L11" s="171"/>
      <c r="M11" s="171"/>
      <c r="N11" s="261"/>
    </row>
    <row r="12" spans="1:14" ht="20.149999999999999" customHeight="1">
      <c r="A12" s="95" t="s">
        <v>209</v>
      </c>
      <c r="B12" s="167">
        <v>1.901</v>
      </c>
      <c r="C12" s="167">
        <v>1.764</v>
      </c>
      <c r="D12" s="118">
        <v>1.5069999999999999</v>
      </c>
      <c r="E12" s="167">
        <v>1.288</v>
      </c>
      <c r="F12" s="167">
        <v>1.4359999999999999</v>
      </c>
      <c r="H12" s="107"/>
      <c r="I12" s="279"/>
      <c r="J12" s="277"/>
      <c r="K12" s="171"/>
      <c r="L12" s="263"/>
      <c r="M12" s="263"/>
      <c r="N12" s="261"/>
    </row>
    <row r="13" spans="1:14" s="2" customFormat="1" ht="25" customHeight="1">
      <c r="A13" s="98" t="s">
        <v>85</v>
      </c>
      <c r="B13" s="125">
        <v>4175.2849999999999</v>
      </c>
      <c r="C13" s="125">
        <v>4518.8680000000004</v>
      </c>
      <c r="D13" s="125">
        <v>4972.5150000000003</v>
      </c>
      <c r="E13" s="125">
        <v>5571.0550000000003</v>
      </c>
      <c r="F13" s="125">
        <v>6272.6260000000002</v>
      </c>
      <c r="H13" s="106"/>
      <c r="I13" s="279"/>
      <c r="J13" s="277"/>
      <c r="K13" s="170"/>
      <c r="L13" s="170"/>
      <c r="M13" s="170"/>
      <c r="N13" s="262"/>
    </row>
    <row r="14" spans="1:14" ht="20.149999999999999" customHeight="1">
      <c r="A14" s="8" t="s">
        <v>210</v>
      </c>
      <c r="B14" s="87">
        <v>15972.08</v>
      </c>
      <c r="C14" s="87">
        <v>16940.713</v>
      </c>
      <c r="D14" s="87">
        <v>18085.208999999999</v>
      </c>
      <c r="E14" s="87">
        <v>19360.745999999999</v>
      </c>
      <c r="F14" s="87">
        <v>21016.828000000001</v>
      </c>
      <c r="H14" s="172"/>
      <c r="I14" s="279"/>
      <c r="J14" s="277"/>
      <c r="K14" s="170"/>
      <c r="L14" s="170"/>
      <c r="M14" s="170"/>
      <c r="N14" s="262"/>
    </row>
    <row r="15" spans="1:14" ht="20.149999999999999" customHeight="1">
      <c r="A15" s="254" t="s">
        <v>211</v>
      </c>
      <c r="B15" s="257">
        <v>3734.17</v>
      </c>
      <c r="C15" s="257">
        <v>3608.3510000000001</v>
      </c>
      <c r="D15" s="257">
        <v>3714.4870000000001</v>
      </c>
      <c r="E15" s="257">
        <v>3588.8919999999998</v>
      </c>
      <c r="F15" s="257">
        <v>4279.6130000000003</v>
      </c>
      <c r="H15" s="172"/>
      <c r="I15" s="279"/>
      <c r="J15" s="277"/>
      <c r="K15" s="170"/>
      <c r="L15" s="170"/>
      <c r="M15" s="170"/>
      <c r="N15" s="262"/>
    </row>
    <row r="16" spans="1:14" ht="25" customHeight="1">
      <c r="A16" s="98" t="s">
        <v>83</v>
      </c>
      <c r="B16" s="126">
        <v>19706.25</v>
      </c>
      <c r="C16" s="126">
        <v>20549.063999999998</v>
      </c>
      <c r="D16" s="126">
        <v>21799.696</v>
      </c>
      <c r="E16" s="126">
        <v>22949.637999999999</v>
      </c>
      <c r="F16" s="126">
        <v>25296.440999999999</v>
      </c>
      <c r="H16" s="185"/>
      <c r="I16" s="279"/>
      <c r="J16" s="279"/>
      <c r="K16" s="277"/>
      <c r="L16" s="355"/>
      <c r="M16" s="277"/>
      <c r="N16" s="261"/>
    </row>
    <row r="18" spans="2:9">
      <c r="B18" s="67"/>
      <c r="C18" s="67"/>
      <c r="D18" s="67"/>
      <c r="E18" s="67"/>
      <c r="F18" s="67"/>
    </row>
    <row r="19" spans="2:9">
      <c r="B19" s="67"/>
      <c r="C19" s="67"/>
      <c r="D19" s="67"/>
      <c r="E19" s="67"/>
      <c r="F19" s="67"/>
      <c r="I19" s="21"/>
    </row>
    <row r="20" spans="2:9">
      <c r="B20" s="67"/>
      <c r="C20" s="67"/>
      <c r="D20" s="67"/>
      <c r="E20" s="67"/>
      <c r="F20" s="67"/>
    </row>
    <row r="43" spans="2:7">
      <c r="B43" s="67"/>
      <c r="C43" s="67"/>
      <c r="D43" s="67"/>
      <c r="E43" s="67"/>
      <c r="F43" s="67"/>
    </row>
    <row r="44" spans="2:7">
      <c r="B44" s="67"/>
      <c r="C44" s="67"/>
      <c r="D44" s="67"/>
      <c r="E44" s="67"/>
      <c r="F44" s="67"/>
    </row>
    <row r="45" spans="2:7">
      <c r="B45" s="67"/>
      <c r="C45" s="67"/>
      <c r="D45" s="67"/>
      <c r="E45" s="67"/>
      <c r="F45" s="67"/>
      <c r="G45" s="67"/>
    </row>
    <row r="46" spans="2:7">
      <c r="B46" s="67"/>
      <c r="C46" s="67"/>
      <c r="D46" s="67"/>
      <c r="E46" s="67"/>
      <c r="F46" s="67"/>
    </row>
    <row r="47" spans="2:7">
      <c r="B47" s="67"/>
      <c r="C47" s="67"/>
      <c r="D47" s="67"/>
      <c r="E47" s="67"/>
      <c r="F47" s="67"/>
    </row>
    <row r="48" spans="2:7">
      <c r="B48" s="67"/>
      <c r="C48" s="67"/>
      <c r="D48" s="67"/>
      <c r="E48" s="67"/>
      <c r="F48" s="67"/>
    </row>
    <row r="49" spans="2:6">
      <c r="B49" s="67"/>
      <c r="C49" s="67"/>
      <c r="D49" s="67"/>
      <c r="E49" s="67"/>
      <c r="F49" s="67"/>
    </row>
    <row r="50" spans="2:6">
      <c r="B50" s="67"/>
      <c r="C50" s="67"/>
      <c r="D50" s="67"/>
      <c r="E50" s="67"/>
      <c r="F50" s="67"/>
    </row>
    <row r="51" spans="2:6">
      <c r="B51" s="67"/>
      <c r="C51" s="67"/>
      <c r="D51" s="67"/>
      <c r="E51" s="67"/>
      <c r="F51" s="67"/>
    </row>
    <row r="52" spans="2:6">
      <c r="B52" s="67"/>
      <c r="C52" s="67"/>
      <c r="D52" s="67"/>
      <c r="E52" s="67"/>
      <c r="F52" s="67"/>
    </row>
    <row r="53" spans="2:6">
      <c r="B53" s="67"/>
      <c r="C53" s="67"/>
      <c r="D53" s="67"/>
      <c r="E53" s="67"/>
      <c r="F53" s="67"/>
    </row>
    <row r="54" spans="2:6">
      <c r="B54" s="67"/>
      <c r="C54" s="67"/>
      <c r="D54" s="67"/>
      <c r="E54" s="67"/>
      <c r="F54" s="67"/>
    </row>
    <row r="55" spans="2:6">
      <c r="B55" s="67"/>
      <c r="C55" s="67"/>
      <c r="D55" s="67"/>
      <c r="E55" s="67"/>
      <c r="F55" s="67"/>
    </row>
    <row r="56" spans="2:6">
      <c r="B56" s="67"/>
      <c r="C56" s="67"/>
      <c r="D56" s="67"/>
      <c r="E56" s="67"/>
      <c r="F56" s="67"/>
    </row>
  </sheetData>
  <hyperlinks>
    <hyperlink ref="A5" location="Contents!A1" display="Return to Contents" xr:uid="{AFF5C5BA-F756-46DD-9498-CD8D3D7B0FBD}"/>
  </hyperlinks>
  <pageMargins left="0.25" right="0.25" top="0.75" bottom="0.75" header="0.3" footer="0.3"/>
  <pageSetup paperSize="9" scale="66" orientation="landscape" r:id="rId1"/>
  <drawing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B087F-9D4B-4BF8-A77F-C58F90808209}">
  <sheetPr codeName="Sheet65">
    <tabColor rgb="FFDDE5F1"/>
    <pageSetUpPr fitToPage="1"/>
  </sheetPr>
  <dimension ref="A1:H4"/>
  <sheetViews>
    <sheetView zoomScaleNormal="100" workbookViewId="0"/>
  </sheetViews>
  <sheetFormatPr defaultColWidth="9.1796875" defaultRowHeight="15.5"/>
  <cols>
    <col min="1" max="1" width="21" style="9" customWidth="1"/>
    <col min="2" max="6" width="16.7265625" style="5" customWidth="1"/>
    <col min="7" max="7" width="9.1796875" style="9"/>
    <col min="8" max="8" width="11.1796875" style="9" customWidth="1"/>
    <col min="9" max="16384" width="9.1796875" style="9"/>
  </cols>
  <sheetData>
    <row r="1" spans="1:8" ht="30" customHeight="1">
      <c r="A1" s="23" t="s">
        <v>303</v>
      </c>
      <c r="B1" s="36"/>
      <c r="C1" s="36"/>
      <c r="D1" s="36"/>
    </row>
    <row r="2" spans="1:8" ht="10.15" customHeight="1">
      <c r="A2" s="15"/>
    </row>
    <row r="3" spans="1:8" ht="25" customHeight="1">
      <c r="A3" s="98"/>
      <c r="B3" s="330">
        <v>44286</v>
      </c>
      <c r="C3" s="330">
        <v>44651</v>
      </c>
      <c r="D3" s="330">
        <v>45016</v>
      </c>
      <c r="E3" s="330">
        <v>45382</v>
      </c>
      <c r="F3" s="330">
        <v>45747</v>
      </c>
    </row>
    <row r="4" spans="1:8" ht="25" customHeight="1" thickBot="1">
      <c r="A4" s="152" t="s">
        <v>83</v>
      </c>
      <c r="B4" s="153">
        <f>'Chart 5.1'!B16</f>
        <v>19706.25</v>
      </c>
      <c r="C4" s="153">
        <f>'Chart 5.1'!C16</f>
        <v>20549.063999999998</v>
      </c>
      <c r="D4" s="153">
        <f>'Chart 5.1'!D16</f>
        <v>21799.696</v>
      </c>
      <c r="E4" s="153">
        <f>'Chart 5.1'!E16</f>
        <v>22949.637999999999</v>
      </c>
      <c r="F4" s="153">
        <f>'Chart 5.1'!F16</f>
        <v>25296.440999999999</v>
      </c>
      <c r="H4" s="21"/>
    </row>
  </sheetData>
  <pageMargins left="0.25" right="0.25" top="0.75" bottom="0.75" header="0.3" footer="0.3"/>
  <pageSetup paperSize="9" scale="66" orientation="landscape" r:id="rId1"/>
  <drawing r:id="rId2"/>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CFC3A-DD97-41CA-BB1F-F8E6E9812930}">
  <sheetPr codeName="Sheet66">
    <tabColor rgb="FFDDE5F1"/>
    <pageSetUpPr fitToPage="1"/>
  </sheetPr>
  <dimension ref="A1:K17"/>
  <sheetViews>
    <sheetView zoomScaleNormal="100" workbookViewId="0"/>
  </sheetViews>
  <sheetFormatPr defaultColWidth="9.1796875" defaultRowHeight="15.5"/>
  <cols>
    <col min="1" max="1" width="58.7265625" style="9" customWidth="1"/>
    <col min="2" max="3" width="14.26953125" style="65" customWidth="1"/>
    <col min="4" max="4" width="16.7265625" style="5" customWidth="1"/>
    <col min="5" max="5" width="9.1796875" style="9"/>
    <col min="6" max="9" width="9.1796875" style="9" customWidth="1"/>
    <col min="10" max="16384" width="9.1796875" style="9"/>
  </cols>
  <sheetData>
    <row r="1" spans="1:11" ht="30" customHeight="1">
      <c r="A1" s="72" t="s">
        <v>801</v>
      </c>
      <c r="B1" s="69"/>
      <c r="C1" s="69"/>
    </row>
    <row r="2" spans="1:11" ht="20.149999999999999" customHeight="1">
      <c r="A2" s="7" t="s">
        <v>214</v>
      </c>
    </row>
    <row r="3" spans="1:11" ht="20.149999999999999" customHeight="1">
      <c r="A3" s="7" t="s">
        <v>418</v>
      </c>
    </row>
    <row r="4" spans="1:11" ht="20.149999999999999" customHeight="1">
      <c r="A4" s="9" t="s">
        <v>218</v>
      </c>
    </row>
    <row r="5" spans="1:11" ht="20.149999999999999" customHeight="1">
      <c r="A5" s="15" t="s">
        <v>62</v>
      </c>
    </row>
    <row r="6" spans="1:11" ht="10" customHeight="1">
      <c r="E6" s="7"/>
      <c r="F6" s="7"/>
    </row>
    <row r="7" spans="1:11" ht="40" customHeight="1">
      <c r="A7" s="98" t="s">
        <v>259</v>
      </c>
      <c r="B7" s="96" t="s">
        <v>197</v>
      </c>
      <c r="C7" s="96" t="s">
        <v>36</v>
      </c>
      <c r="D7" s="99" t="s">
        <v>38</v>
      </c>
      <c r="E7" s="18"/>
      <c r="F7" s="106"/>
      <c r="G7" s="170"/>
      <c r="H7" s="170"/>
      <c r="I7" s="172"/>
    </row>
    <row r="8" spans="1:11" ht="20.149999999999999" customHeight="1">
      <c r="A8" s="9" t="s">
        <v>180</v>
      </c>
      <c r="B8" s="130">
        <v>13818.200999999999</v>
      </c>
      <c r="C8" s="130">
        <v>5569.7830000000004</v>
      </c>
      <c r="D8" s="188">
        <v>19387.984</v>
      </c>
      <c r="F8" s="107"/>
      <c r="G8" s="171"/>
      <c r="H8" s="171"/>
      <c r="I8" s="261"/>
    </row>
    <row r="9" spans="1:11" ht="20.149999999999999" customHeight="1">
      <c r="A9" s="258" t="s">
        <v>221</v>
      </c>
      <c r="B9" s="167">
        <v>1239.634</v>
      </c>
      <c r="C9" s="167">
        <v>861.71100000000001</v>
      </c>
      <c r="D9" s="268">
        <v>2101.3449999999998</v>
      </c>
      <c r="F9" s="107"/>
      <c r="G9" s="171"/>
      <c r="H9" s="171"/>
      <c r="I9" s="261"/>
    </row>
    <row r="10" spans="1:11" ht="20.149999999999999" customHeight="1">
      <c r="A10" s="19" t="s">
        <v>222</v>
      </c>
      <c r="B10" s="130">
        <v>312.197</v>
      </c>
      <c r="C10" s="130">
        <v>160.304</v>
      </c>
      <c r="D10" s="188">
        <v>472.50099999999998</v>
      </c>
      <c r="F10" s="107"/>
      <c r="G10" s="263"/>
      <c r="H10" s="263"/>
      <c r="I10" s="261"/>
      <c r="J10" s="51"/>
      <c r="K10" s="21"/>
    </row>
    <row r="11" spans="1:11" ht="20.149999999999999" customHeight="1">
      <c r="A11" s="258" t="s">
        <v>310</v>
      </c>
      <c r="B11" s="167">
        <v>0</v>
      </c>
      <c r="C11" s="167">
        <v>0</v>
      </c>
      <c r="D11" s="118">
        <v>0</v>
      </c>
      <c r="F11" s="107"/>
      <c r="G11" s="263"/>
      <c r="H11" s="263"/>
      <c r="I11" s="261"/>
    </row>
    <row r="12" spans="1:11" ht="25" customHeight="1">
      <c r="A12" s="125" t="s">
        <v>181</v>
      </c>
      <c r="B12" s="126">
        <v>14745.638000000001</v>
      </c>
      <c r="C12" s="126">
        <v>6271.19</v>
      </c>
      <c r="D12" s="126">
        <v>21016.828000000001</v>
      </c>
      <c r="F12" s="185"/>
      <c r="G12" s="357"/>
      <c r="H12" s="280"/>
      <c r="I12" s="261"/>
    </row>
    <row r="17" spans="4:4">
      <c r="D17" s="35"/>
    </row>
  </sheetData>
  <hyperlinks>
    <hyperlink ref="A5" location="Contents!A1" display="Return to Contents" xr:uid="{D79B85B2-D9FF-43B3-826F-373F78457534}"/>
  </hyperlinks>
  <pageMargins left="0.25" right="0.25" top="0.75" bottom="0.75" header="0.3" footer="0.3"/>
  <pageSetup paperSize="9" scale="87" orientation="landscape"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20C92-EC2A-452F-A72F-755EE698C837}">
  <sheetPr codeName="Sheet67">
    <tabColor rgb="FFDDE5F1"/>
    <pageSetUpPr fitToPage="1"/>
  </sheetPr>
  <dimension ref="A1:N19"/>
  <sheetViews>
    <sheetView zoomScaleNormal="100" workbookViewId="0"/>
  </sheetViews>
  <sheetFormatPr defaultColWidth="9.1796875" defaultRowHeight="15.5"/>
  <cols>
    <col min="1" max="1" width="58.7265625" style="9" customWidth="1"/>
    <col min="2" max="6" width="14.7265625" style="5" customWidth="1"/>
    <col min="7" max="7" width="9.1796875" style="9"/>
    <col min="8" max="11" width="9.1796875" style="9" customWidth="1"/>
    <col min="12" max="12" width="9.1796875" style="9"/>
    <col min="13" max="14" width="9.1796875" style="9" customWidth="1"/>
    <col min="15" max="16384" width="9.1796875" style="9"/>
  </cols>
  <sheetData>
    <row r="1" spans="1:14" ht="30" customHeight="1">
      <c r="A1" s="23" t="s">
        <v>817</v>
      </c>
      <c r="B1" s="36"/>
      <c r="C1" s="36"/>
      <c r="D1" s="36"/>
      <c r="E1" s="36"/>
    </row>
    <row r="2" spans="1:14" ht="20.149999999999999" customHeight="1">
      <c r="A2" s="7" t="s">
        <v>255</v>
      </c>
      <c r="B2" s="36"/>
      <c r="C2" s="36"/>
      <c r="D2" s="36"/>
      <c r="E2" s="36"/>
    </row>
    <row r="3" spans="1:14" ht="20.149999999999999" customHeight="1">
      <c r="A3" s="54" t="s">
        <v>297</v>
      </c>
      <c r="B3" s="65"/>
      <c r="C3" s="65"/>
      <c r="E3" s="9"/>
      <c r="F3" s="9"/>
    </row>
    <row r="4" spans="1:14" ht="20.149999999999999" customHeight="1">
      <c r="A4" s="127" t="s">
        <v>276</v>
      </c>
      <c r="B4" s="36"/>
      <c r="C4" s="36"/>
      <c r="D4" s="36"/>
      <c r="E4" s="36"/>
    </row>
    <row r="5" spans="1:14" ht="20.149999999999999" customHeight="1">
      <c r="A5" s="127" t="s">
        <v>417</v>
      </c>
      <c r="B5" s="36"/>
      <c r="C5" s="36"/>
      <c r="D5" s="36"/>
      <c r="E5" s="36"/>
    </row>
    <row r="6" spans="1:14" ht="20.149999999999999" customHeight="1">
      <c r="A6" s="9" t="s">
        <v>647</v>
      </c>
      <c r="B6" s="65"/>
      <c r="C6" s="36"/>
      <c r="D6" s="36"/>
      <c r="E6" s="36"/>
    </row>
    <row r="7" spans="1:14" ht="20.149999999999999" customHeight="1">
      <c r="A7" s="15" t="s">
        <v>62</v>
      </c>
    </row>
    <row r="8" spans="1:14" ht="10" customHeight="1">
      <c r="F8" s="28"/>
      <c r="G8" s="7"/>
      <c r="H8" s="107"/>
      <c r="I8" s="113"/>
      <c r="J8" s="113"/>
      <c r="K8" s="113"/>
      <c r="L8" s="113"/>
      <c r="M8" s="113"/>
      <c r="N8" s="113"/>
    </row>
    <row r="9" spans="1:14" ht="25" customHeight="1">
      <c r="A9" s="98" t="s">
        <v>259</v>
      </c>
      <c r="B9" s="96" t="s">
        <v>188</v>
      </c>
      <c r="C9" s="96" t="s">
        <v>424</v>
      </c>
      <c r="D9" s="96" t="s">
        <v>600</v>
      </c>
      <c r="E9" s="96" t="s">
        <v>636</v>
      </c>
      <c r="F9" s="96" t="s">
        <v>838</v>
      </c>
      <c r="G9" s="18"/>
      <c r="H9" s="106"/>
      <c r="I9" s="265"/>
      <c r="J9" s="265"/>
      <c r="K9" s="265"/>
      <c r="L9" s="265"/>
      <c r="M9" s="265"/>
      <c r="N9" s="266"/>
    </row>
    <row r="10" spans="1:14" ht="20.149999999999999" customHeight="1">
      <c r="A10" s="9" t="s">
        <v>180</v>
      </c>
      <c r="B10" s="130">
        <v>11564.726000000001</v>
      </c>
      <c r="C10" s="130">
        <v>11799.084999999999</v>
      </c>
      <c r="D10" s="130">
        <v>12397.976000000001</v>
      </c>
      <c r="E10" s="130">
        <v>13115.736000000001</v>
      </c>
      <c r="F10" s="130">
        <v>13818.200999999999</v>
      </c>
      <c r="H10" s="107"/>
      <c r="I10" s="171"/>
      <c r="J10" s="171"/>
      <c r="K10" s="171"/>
      <c r="L10" s="171"/>
      <c r="M10" s="171"/>
      <c r="N10" s="261"/>
    </row>
    <row r="11" spans="1:14" ht="20.149999999999999" customHeight="1">
      <c r="A11" s="258" t="s">
        <v>242</v>
      </c>
      <c r="B11" s="167">
        <v>558.18899999999996</v>
      </c>
      <c r="C11" s="167">
        <v>949.822</v>
      </c>
      <c r="D11" s="167">
        <v>931.68200000000002</v>
      </c>
      <c r="E11" s="167">
        <v>953.71900000000005</v>
      </c>
      <c r="F11" s="167">
        <v>1185.0940000000001</v>
      </c>
      <c r="H11" s="107"/>
      <c r="I11" s="171"/>
      <c r="J11" s="171"/>
      <c r="K11" s="171"/>
      <c r="L11" s="171"/>
      <c r="M11" s="263"/>
      <c r="N11" s="191"/>
    </row>
    <row r="12" spans="1:14" ht="20.149999999999999" customHeight="1">
      <c r="A12" s="19" t="s">
        <v>223</v>
      </c>
      <c r="B12" s="130">
        <v>19.312999999999999</v>
      </c>
      <c r="C12" s="130">
        <v>4.1680000000000001</v>
      </c>
      <c r="D12" s="130">
        <v>18.399999999999999</v>
      </c>
      <c r="E12" s="130">
        <v>8.5739999999999998</v>
      </c>
      <c r="F12" s="130">
        <v>54.54</v>
      </c>
      <c r="H12" s="107"/>
      <c r="I12" s="171"/>
      <c r="J12" s="171"/>
      <c r="K12" s="171"/>
      <c r="L12" s="171"/>
      <c r="M12" s="171"/>
      <c r="N12" s="261"/>
    </row>
    <row r="13" spans="1:14" ht="20.149999999999999" customHeight="1">
      <c r="A13" s="258" t="s">
        <v>222</v>
      </c>
      <c r="B13" s="167">
        <v>343.53199999999998</v>
      </c>
      <c r="C13" s="167">
        <v>329.46600000000001</v>
      </c>
      <c r="D13" s="167">
        <v>233.625</v>
      </c>
      <c r="E13" s="167">
        <v>287.05</v>
      </c>
      <c r="F13" s="167">
        <v>312.197</v>
      </c>
      <c r="H13" s="107"/>
      <c r="I13" s="171"/>
      <c r="J13" s="171"/>
      <c r="K13" s="171"/>
      <c r="L13" s="263"/>
      <c r="M13" s="263"/>
      <c r="N13" s="261"/>
    </row>
    <row r="14" spans="1:14" ht="20.149999999999999" customHeight="1">
      <c r="A14" s="19" t="s">
        <v>310</v>
      </c>
      <c r="B14" s="130">
        <v>0</v>
      </c>
      <c r="C14" s="130">
        <v>0</v>
      </c>
      <c r="D14" s="130">
        <v>0.23200000000000001</v>
      </c>
      <c r="E14" s="130">
        <v>0</v>
      </c>
      <c r="F14" s="130">
        <v>0</v>
      </c>
      <c r="H14" s="107"/>
      <c r="I14" s="263"/>
      <c r="J14" s="263"/>
      <c r="K14" s="263"/>
      <c r="L14" s="263"/>
      <c r="M14" s="263"/>
      <c r="N14" s="261"/>
    </row>
    <row r="15" spans="1:14" s="2" customFormat="1" ht="25" customHeight="1">
      <c r="A15" s="125" t="s">
        <v>181</v>
      </c>
      <c r="B15" s="125">
        <v>11798.696</v>
      </c>
      <c r="C15" s="125">
        <v>12423.609</v>
      </c>
      <c r="D15" s="125">
        <v>13114.200999999999</v>
      </c>
      <c r="E15" s="125">
        <v>13790.978999999999</v>
      </c>
      <c r="F15" s="125">
        <v>14745.638000000001</v>
      </c>
      <c r="H15" s="172"/>
      <c r="I15" s="261"/>
      <c r="J15" s="261"/>
      <c r="K15" s="261"/>
      <c r="L15" s="261"/>
      <c r="M15" s="261"/>
      <c r="N15" s="261"/>
    </row>
    <row r="17" spans="3:3">
      <c r="C17" s="142"/>
    </row>
    <row r="18" spans="3:3">
      <c r="C18" s="143"/>
    </row>
    <row r="19" spans="3:3">
      <c r="C19" s="35"/>
    </row>
  </sheetData>
  <hyperlinks>
    <hyperlink ref="A7" location="Contents!A1" display="Return to Contents" xr:uid="{84C56891-A6FC-48E8-9666-329CFED1E79C}"/>
  </hyperlinks>
  <pageMargins left="0.25" right="0.25" top="0.75" bottom="0.75" header="0.3" footer="0.3"/>
  <pageSetup paperSize="9" scale="50" orientation="landscape"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D12EF-5BD3-4AFF-953A-CAD42A43C11A}">
  <sheetPr codeName="Sheet68">
    <tabColor rgb="FFDDE5F1"/>
    <pageSetUpPr fitToPage="1"/>
  </sheetPr>
  <dimension ref="A1:N15"/>
  <sheetViews>
    <sheetView zoomScaleNormal="100" workbookViewId="0"/>
  </sheetViews>
  <sheetFormatPr defaultColWidth="9.1796875" defaultRowHeight="15.5"/>
  <cols>
    <col min="1" max="1" width="58.7265625" style="9" customWidth="1"/>
    <col min="2" max="6" width="14.7265625" style="5" customWidth="1"/>
    <col min="7" max="7" width="9.1796875" style="9"/>
    <col min="8" max="11" width="9.1796875" style="9" customWidth="1"/>
    <col min="12" max="12" width="9.1796875" style="9"/>
    <col min="13" max="14" width="9.1796875" style="9" customWidth="1"/>
    <col min="15" max="16384" width="9.1796875" style="9"/>
  </cols>
  <sheetData>
    <row r="1" spans="1:14" ht="30" customHeight="1">
      <c r="A1" s="23" t="s">
        <v>818</v>
      </c>
      <c r="B1" s="36"/>
      <c r="C1" s="36"/>
      <c r="D1" s="36"/>
    </row>
    <row r="2" spans="1:14" ht="20.149999999999999" customHeight="1">
      <c r="A2" s="7" t="s">
        <v>255</v>
      </c>
      <c r="B2" s="36"/>
      <c r="C2" s="36"/>
      <c r="D2" s="36"/>
      <c r="E2" s="36"/>
    </row>
    <row r="3" spans="1:14" ht="20.149999999999999" customHeight="1">
      <c r="A3" s="54" t="s">
        <v>297</v>
      </c>
      <c r="B3" s="65"/>
      <c r="C3" s="65"/>
      <c r="E3" s="9"/>
      <c r="F3" s="9"/>
    </row>
    <row r="4" spans="1:14" ht="20.149999999999999" customHeight="1">
      <c r="A4" s="127" t="s">
        <v>276</v>
      </c>
      <c r="B4" s="36"/>
      <c r="C4" s="36"/>
      <c r="D4" s="36"/>
      <c r="E4" s="36"/>
    </row>
    <row r="5" spans="1:14" ht="20.149999999999999" customHeight="1">
      <c r="A5" s="127" t="s">
        <v>417</v>
      </c>
      <c r="B5" s="36"/>
      <c r="C5" s="36"/>
      <c r="D5" s="36"/>
      <c r="E5" s="36"/>
    </row>
    <row r="6" spans="1:14" ht="20.149999999999999" customHeight="1">
      <c r="A6" s="9" t="s">
        <v>647</v>
      </c>
      <c r="B6" s="65"/>
    </row>
    <row r="7" spans="1:14" ht="20.149999999999999" customHeight="1">
      <c r="A7" s="15" t="s">
        <v>62</v>
      </c>
    </row>
    <row r="8" spans="1:14" ht="10" customHeight="1">
      <c r="F8" s="28"/>
      <c r="G8" s="7"/>
      <c r="H8" s="7"/>
      <c r="N8" s="113"/>
    </row>
    <row r="9" spans="1:14" ht="25" customHeight="1">
      <c r="A9" s="98" t="s">
        <v>259</v>
      </c>
      <c r="B9" s="96" t="s">
        <v>188</v>
      </c>
      <c r="C9" s="96" t="s">
        <v>424</v>
      </c>
      <c r="D9" s="96" t="s">
        <v>600</v>
      </c>
      <c r="E9" s="96" t="s">
        <v>636</v>
      </c>
      <c r="F9" s="96" t="s">
        <v>838</v>
      </c>
      <c r="G9" s="18"/>
      <c r="H9" s="106"/>
      <c r="I9" s="265"/>
      <c r="J9" s="265"/>
      <c r="K9" s="265"/>
      <c r="L9" s="265"/>
      <c r="M9" s="265"/>
      <c r="N9" s="266"/>
    </row>
    <row r="10" spans="1:14" ht="20.149999999999999" customHeight="1">
      <c r="A10" s="9" t="s">
        <v>180</v>
      </c>
      <c r="B10" s="130">
        <v>4082.5070000000001</v>
      </c>
      <c r="C10" s="130">
        <v>4173.384</v>
      </c>
      <c r="D10" s="130">
        <v>4515.0169999999998</v>
      </c>
      <c r="E10" s="130">
        <v>4969.2439999999997</v>
      </c>
      <c r="F10" s="130">
        <v>5569.7830000000004</v>
      </c>
      <c r="H10" s="107"/>
      <c r="I10" s="171"/>
      <c r="J10" s="171"/>
      <c r="K10" s="171"/>
      <c r="L10" s="171"/>
      <c r="M10" s="171"/>
      <c r="N10" s="261"/>
    </row>
    <row r="11" spans="1:14" ht="20.149999999999999" customHeight="1">
      <c r="A11" s="258" t="s">
        <v>242</v>
      </c>
      <c r="B11" s="167">
        <v>256.42200000000003</v>
      </c>
      <c r="C11" s="167">
        <v>487.17599999999999</v>
      </c>
      <c r="D11" s="167">
        <v>582.89499999999998</v>
      </c>
      <c r="E11" s="167">
        <v>742.78</v>
      </c>
      <c r="F11" s="167">
        <v>861.71100000000001</v>
      </c>
      <c r="H11" s="107"/>
      <c r="I11" s="171"/>
      <c r="J11" s="171"/>
      <c r="K11" s="171"/>
      <c r="L11" s="171"/>
      <c r="M11" s="171"/>
      <c r="N11" s="191"/>
    </row>
    <row r="12" spans="1:14" ht="20.149999999999999" customHeight="1">
      <c r="A12" s="19" t="s">
        <v>223</v>
      </c>
      <c r="B12" s="130">
        <v>0</v>
      </c>
      <c r="C12" s="130">
        <v>0</v>
      </c>
      <c r="D12" s="130">
        <v>0</v>
      </c>
      <c r="E12" s="130">
        <v>0</v>
      </c>
      <c r="F12" s="130">
        <v>0</v>
      </c>
      <c r="H12" s="107"/>
      <c r="I12" s="171"/>
      <c r="J12" s="171"/>
      <c r="K12" s="171"/>
      <c r="L12" s="171"/>
      <c r="M12" s="171"/>
      <c r="N12" s="261"/>
    </row>
    <row r="13" spans="1:14" ht="20.149999999999999" customHeight="1">
      <c r="A13" s="258" t="s">
        <v>222</v>
      </c>
      <c r="B13" s="167">
        <v>165.54499999999999</v>
      </c>
      <c r="C13" s="167">
        <v>143.45599999999999</v>
      </c>
      <c r="D13" s="167">
        <v>127.136</v>
      </c>
      <c r="E13" s="167">
        <v>142.25700000000001</v>
      </c>
      <c r="F13" s="167">
        <v>160.304</v>
      </c>
      <c r="H13" s="107"/>
      <c r="I13" s="171"/>
      <c r="J13" s="171"/>
      <c r="K13" s="171"/>
      <c r="L13" s="171"/>
      <c r="M13" s="263"/>
      <c r="N13" s="261"/>
    </row>
    <row r="14" spans="1:14" ht="20.149999999999999" customHeight="1">
      <c r="A14" s="19" t="s">
        <v>310</v>
      </c>
      <c r="B14" s="130">
        <v>0</v>
      </c>
      <c r="C14" s="130">
        <v>0</v>
      </c>
      <c r="D14" s="130">
        <v>-0.23200000000000001</v>
      </c>
      <c r="E14" s="130">
        <v>0</v>
      </c>
      <c r="F14" s="130">
        <v>0</v>
      </c>
      <c r="H14" s="107"/>
      <c r="I14" s="263"/>
      <c r="J14" s="263"/>
      <c r="K14" s="263"/>
      <c r="L14" s="171"/>
      <c r="M14" s="263"/>
      <c r="N14" s="261"/>
    </row>
    <row r="15" spans="1:14" s="2" customFormat="1" ht="25" customHeight="1">
      <c r="A15" s="125" t="s">
        <v>181</v>
      </c>
      <c r="B15" s="125">
        <v>4173.384</v>
      </c>
      <c r="C15" s="125">
        <v>4517.1040000000003</v>
      </c>
      <c r="D15" s="125">
        <v>4971.0079999999998</v>
      </c>
      <c r="E15" s="125">
        <v>5569.7669999999998</v>
      </c>
      <c r="F15" s="125">
        <v>6271.19</v>
      </c>
      <c r="H15" s="172"/>
      <c r="I15" s="261"/>
      <c r="J15" s="261"/>
      <c r="K15" s="261"/>
      <c r="L15" s="261"/>
      <c r="M15" s="261"/>
      <c r="N15" s="261"/>
    </row>
  </sheetData>
  <hyperlinks>
    <hyperlink ref="A7" location="Contents!A1" display="Return to Contents" xr:uid="{19716D54-3307-4DC4-B2FA-7B06790A3CFA}"/>
  </hyperlinks>
  <pageMargins left="0.25" right="0.25" top="0.75" bottom="0.75" header="0.3" footer="0.3"/>
  <pageSetup paperSize="9" scale="50" orientation="landscape"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A7EFE-1482-4760-9E07-6FE9BB21272E}">
  <sheetPr codeName="Sheet69">
    <tabColor rgb="FFDDE5F1"/>
    <pageSetUpPr fitToPage="1"/>
  </sheetPr>
  <dimension ref="A1:I13"/>
  <sheetViews>
    <sheetView zoomScaleNormal="100" workbookViewId="0"/>
  </sheetViews>
  <sheetFormatPr defaultColWidth="9.1796875" defaultRowHeight="15.5"/>
  <cols>
    <col min="1" max="1" width="53.7265625" style="9" customWidth="1"/>
    <col min="2" max="3" width="14.26953125" style="65" customWidth="1"/>
    <col min="4" max="4" width="16.7265625" style="5" customWidth="1"/>
    <col min="5" max="5" width="9.1796875" style="9"/>
    <col min="6" max="8" width="9.1796875" style="9" customWidth="1"/>
    <col min="9" max="16384" width="9.1796875" style="9"/>
  </cols>
  <sheetData>
    <row r="1" spans="1:9" ht="30" customHeight="1">
      <c r="A1" s="23" t="s">
        <v>802</v>
      </c>
      <c r="B1" s="69"/>
    </row>
    <row r="2" spans="1:9" ht="20.149999999999999" customHeight="1">
      <c r="A2" s="7" t="s">
        <v>214</v>
      </c>
    </row>
    <row r="3" spans="1:9" ht="20.149999999999999" customHeight="1">
      <c r="A3" s="2" t="s">
        <v>426</v>
      </c>
    </row>
    <row r="4" spans="1:9" ht="20.149999999999999" customHeight="1">
      <c r="A4" s="15" t="s">
        <v>62</v>
      </c>
    </row>
    <row r="5" spans="1:9" ht="10" customHeight="1"/>
    <row r="6" spans="1:9" ht="40" customHeight="1">
      <c r="A6" s="98" t="s">
        <v>259</v>
      </c>
      <c r="B6" s="96" t="s">
        <v>197</v>
      </c>
      <c r="C6" s="96" t="s">
        <v>36</v>
      </c>
      <c r="D6" s="99" t="s">
        <v>38</v>
      </c>
      <c r="E6" s="18"/>
      <c r="F6" s="106"/>
      <c r="G6" s="170"/>
      <c r="H6" s="170"/>
      <c r="I6" s="180"/>
    </row>
    <row r="7" spans="1:9" ht="20.149999999999999" customHeight="1">
      <c r="A7" s="9" t="s">
        <v>182</v>
      </c>
      <c r="B7" s="130">
        <v>3706.9859999999999</v>
      </c>
      <c r="C7" s="130">
        <v>1.409</v>
      </c>
      <c r="D7" s="130">
        <v>3708.395</v>
      </c>
      <c r="F7" s="172"/>
      <c r="G7" s="261"/>
      <c r="H7" s="261"/>
      <c r="I7" s="261"/>
    </row>
    <row r="8" spans="1:9" ht="20.149999999999999" customHeight="1">
      <c r="A8" s="259" t="s">
        <v>224</v>
      </c>
      <c r="B8" s="167">
        <v>691.93899999999996</v>
      </c>
      <c r="C8" s="167">
        <v>0.41899999999999998</v>
      </c>
      <c r="D8" s="167">
        <v>692.35799999999995</v>
      </c>
      <c r="F8" s="107"/>
      <c r="G8" s="263"/>
      <c r="H8" s="263"/>
      <c r="I8" s="172"/>
    </row>
    <row r="9" spans="1:9" ht="20.149999999999999" customHeight="1">
      <c r="A9" s="54" t="s">
        <v>225</v>
      </c>
      <c r="B9" s="130">
        <v>120.748</v>
      </c>
      <c r="C9" s="130">
        <v>0.39200000000000002</v>
      </c>
      <c r="D9" s="130">
        <v>121.14</v>
      </c>
      <c r="E9" s="21"/>
      <c r="F9" s="107"/>
      <c r="G9" s="263"/>
      <c r="H9" s="263"/>
      <c r="I9" s="172"/>
    </row>
    <row r="10" spans="1:9" ht="25" customHeight="1">
      <c r="A10" s="125" t="s">
        <v>163</v>
      </c>
      <c r="B10" s="126">
        <v>4278.1769999999997</v>
      </c>
      <c r="C10" s="126">
        <v>1.4359999999999999</v>
      </c>
      <c r="D10" s="126">
        <v>4279.6130000000003</v>
      </c>
      <c r="F10" s="281"/>
      <c r="G10" s="282"/>
      <c r="H10" s="269"/>
      <c r="I10" s="270"/>
    </row>
    <row r="13" spans="1:9">
      <c r="B13" s="154"/>
    </row>
  </sheetData>
  <hyperlinks>
    <hyperlink ref="A4" location="Contents!A1" display="Return to Contents" xr:uid="{C2EFB57D-BC2B-47D3-9E91-05ACDD3BEAE8}"/>
  </hyperlinks>
  <pageMargins left="0.25" right="0.25" top="0.75" bottom="0.75" header="0.3" footer="0.3"/>
  <pageSetup paperSize="9" scale="87" orientation="landscape"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E1744-F5E4-4EA6-A5E2-BD7E322D44D8}">
  <sheetPr codeName="Sheet70">
    <tabColor rgb="FFDDE5F1"/>
    <pageSetUpPr fitToPage="1"/>
  </sheetPr>
  <dimension ref="A1:N16"/>
  <sheetViews>
    <sheetView zoomScaleNormal="100" workbookViewId="0"/>
  </sheetViews>
  <sheetFormatPr defaultColWidth="9.1796875" defaultRowHeight="15.5"/>
  <cols>
    <col min="1" max="1" width="53.7265625" style="9" customWidth="1"/>
    <col min="2" max="6" width="14.7265625" style="5" customWidth="1"/>
    <col min="7" max="7" width="9.1796875" style="9"/>
    <col min="8" max="14" width="9.1796875" style="9" customWidth="1"/>
    <col min="15" max="16384" width="9.1796875" style="9"/>
  </cols>
  <sheetData>
    <row r="1" spans="1:14" ht="30" customHeight="1">
      <c r="A1" s="23" t="s">
        <v>819</v>
      </c>
      <c r="B1" s="36"/>
      <c r="C1" s="36"/>
    </row>
    <row r="2" spans="1:14" ht="20.149999999999999" customHeight="1">
      <c r="A2" s="7" t="s">
        <v>214</v>
      </c>
    </row>
    <row r="3" spans="1:14" ht="20.149999999999999" customHeight="1">
      <c r="A3" s="128" t="s">
        <v>416</v>
      </c>
      <c r="B3" s="36"/>
      <c r="C3" s="36"/>
      <c r="D3" s="36"/>
      <c r="E3" s="36"/>
    </row>
    <row r="4" spans="1:14" ht="20.149999999999999" customHeight="1">
      <c r="A4" s="9" t="s">
        <v>646</v>
      </c>
      <c r="B4" s="21"/>
    </row>
    <row r="5" spans="1:14" ht="20.149999999999999" customHeight="1">
      <c r="A5" s="15" t="s">
        <v>62</v>
      </c>
    </row>
    <row r="6" spans="1:14" ht="10" customHeight="1">
      <c r="E6" s="28"/>
      <c r="F6" s="28"/>
      <c r="G6" s="7"/>
      <c r="H6" s="107"/>
      <c r="I6" s="113"/>
      <c r="J6" s="113"/>
      <c r="K6" s="113"/>
      <c r="L6" s="113"/>
      <c r="M6" s="113"/>
      <c r="N6" s="113"/>
    </row>
    <row r="7" spans="1:14" ht="25" customHeight="1">
      <c r="A7" s="98" t="s">
        <v>259</v>
      </c>
      <c r="B7" s="96" t="s">
        <v>188</v>
      </c>
      <c r="C7" s="96" t="s">
        <v>424</v>
      </c>
      <c r="D7" s="96" t="s">
        <v>600</v>
      </c>
      <c r="E7" s="96" t="s">
        <v>636</v>
      </c>
      <c r="F7" s="96" t="s">
        <v>838</v>
      </c>
      <c r="G7" s="18"/>
      <c r="H7" s="106"/>
      <c r="I7" s="265"/>
      <c r="J7" s="265"/>
      <c r="K7" s="265"/>
      <c r="L7" s="265"/>
      <c r="M7" s="265"/>
      <c r="N7" s="266"/>
    </row>
    <row r="8" spans="1:14" ht="20.149999999999999" customHeight="1">
      <c r="A8" s="7" t="s">
        <v>182</v>
      </c>
      <c r="B8" s="130">
        <v>3767.2539999999999</v>
      </c>
      <c r="C8" s="130">
        <v>3684.904</v>
      </c>
      <c r="D8" s="130">
        <v>3575.6219999999998</v>
      </c>
      <c r="E8" s="130">
        <v>3711.4279999999999</v>
      </c>
      <c r="F8" s="130">
        <v>3706.9859999999999</v>
      </c>
      <c r="H8" s="107"/>
      <c r="I8" s="171"/>
      <c r="J8" s="171"/>
      <c r="K8" s="171"/>
      <c r="L8" s="171"/>
      <c r="M8" s="171"/>
      <c r="N8" s="261"/>
    </row>
    <row r="9" spans="1:14" ht="20.149999999999999" customHeight="1">
      <c r="A9" s="259" t="s">
        <v>224</v>
      </c>
      <c r="B9" s="167">
        <v>96.876999999999995</v>
      </c>
      <c r="C9" s="167">
        <v>59.058999999999997</v>
      </c>
      <c r="D9" s="167">
        <v>265.84100000000001</v>
      </c>
      <c r="E9" s="167">
        <v>1.7230000000000001</v>
      </c>
      <c r="F9" s="167">
        <v>691.93899999999996</v>
      </c>
      <c r="H9" s="107"/>
      <c r="I9" s="171"/>
      <c r="J9" s="171"/>
      <c r="K9" s="171"/>
      <c r="L9" s="263"/>
      <c r="M9" s="263"/>
      <c r="N9" s="261"/>
    </row>
    <row r="10" spans="1:14" ht="20.149999999999999" customHeight="1">
      <c r="A10" s="54" t="s">
        <v>225</v>
      </c>
      <c r="B10" s="130">
        <v>131.86199999999999</v>
      </c>
      <c r="C10" s="130">
        <v>137.376</v>
      </c>
      <c r="D10" s="130">
        <v>128.483</v>
      </c>
      <c r="E10" s="130">
        <v>125.547</v>
      </c>
      <c r="F10" s="130">
        <v>120.748</v>
      </c>
      <c r="H10" s="107"/>
      <c r="I10" s="171"/>
      <c r="J10" s="171"/>
      <c r="K10" s="171"/>
      <c r="L10" s="263"/>
      <c r="M10" s="263"/>
      <c r="N10" s="261"/>
    </row>
    <row r="11" spans="1:14" s="2" customFormat="1" ht="25" customHeight="1">
      <c r="A11" s="125" t="s">
        <v>163</v>
      </c>
      <c r="B11" s="125">
        <v>3732.2689999999998</v>
      </c>
      <c r="C11" s="125">
        <v>3606.587</v>
      </c>
      <c r="D11" s="125">
        <v>3712.98</v>
      </c>
      <c r="E11" s="125">
        <v>3587.6039999999998</v>
      </c>
      <c r="F11" s="125">
        <v>4278.1769999999997</v>
      </c>
      <c r="H11" s="106"/>
      <c r="I11" s="170"/>
      <c r="J11" s="170"/>
      <c r="K11" s="170"/>
      <c r="L11" s="269"/>
      <c r="M11" s="269"/>
      <c r="N11" s="261"/>
    </row>
    <row r="16" spans="1:14">
      <c r="E16" s="35"/>
      <c r="F16" s="35"/>
      <c r="H16" s="21"/>
      <c r="I16" s="48"/>
    </row>
  </sheetData>
  <hyperlinks>
    <hyperlink ref="A5" location="Contents!A1" display="Return to Contents" xr:uid="{E6BF4CA2-9088-439E-AD64-7624A1F73155}"/>
  </hyperlinks>
  <pageMargins left="0.25" right="0.25" top="0.75" bottom="0.75" header="0.3" footer="0.3"/>
  <pageSetup paperSize="9" scale="51" orientation="landscape"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F9C8D-B737-40D7-8960-6371650D7519}">
  <sheetPr codeName="Sheet71">
    <tabColor rgb="FFDDE5F1"/>
    <pageSetUpPr fitToPage="1"/>
  </sheetPr>
  <dimension ref="A1:N11"/>
  <sheetViews>
    <sheetView zoomScaleNormal="100" workbookViewId="0"/>
  </sheetViews>
  <sheetFormatPr defaultColWidth="9.1796875" defaultRowHeight="15.5"/>
  <cols>
    <col min="1" max="1" width="53.7265625" style="9" customWidth="1"/>
    <col min="2" max="6" width="14.7265625" style="5" customWidth="1"/>
    <col min="7" max="7" width="9.1796875" style="9"/>
    <col min="8" max="14" width="9.1796875" style="9" customWidth="1"/>
    <col min="15" max="16384" width="9.1796875" style="9"/>
  </cols>
  <sheetData>
    <row r="1" spans="1:14" ht="30" customHeight="1">
      <c r="A1" s="23" t="s">
        <v>820</v>
      </c>
      <c r="B1" s="36"/>
      <c r="C1" s="36"/>
    </row>
    <row r="2" spans="1:14" ht="20.149999999999999" customHeight="1">
      <c r="A2" s="7" t="s">
        <v>214</v>
      </c>
    </row>
    <row r="3" spans="1:14" ht="20.149999999999999" customHeight="1">
      <c r="A3" s="128" t="s">
        <v>416</v>
      </c>
      <c r="B3" s="36"/>
      <c r="C3" s="36"/>
      <c r="D3" s="36"/>
      <c r="E3" s="36"/>
    </row>
    <row r="4" spans="1:14" ht="20.149999999999999" customHeight="1">
      <c r="A4" s="9" t="s">
        <v>646</v>
      </c>
      <c r="B4" s="21"/>
    </row>
    <row r="5" spans="1:14" ht="20.149999999999999" customHeight="1">
      <c r="A5" s="15" t="s">
        <v>62</v>
      </c>
    </row>
    <row r="6" spans="1:14" ht="10" customHeight="1">
      <c r="E6" s="28"/>
      <c r="F6" s="28"/>
      <c r="G6" s="7"/>
      <c r="H6" s="7"/>
      <c r="N6" s="113"/>
    </row>
    <row r="7" spans="1:14" ht="25" customHeight="1">
      <c r="A7" s="98" t="s">
        <v>259</v>
      </c>
      <c r="B7" s="96" t="s">
        <v>188</v>
      </c>
      <c r="C7" s="96" t="s">
        <v>424</v>
      </c>
      <c r="D7" s="96" t="s">
        <v>600</v>
      </c>
      <c r="E7" s="96" t="s">
        <v>636</v>
      </c>
      <c r="F7" s="96" t="s">
        <v>838</v>
      </c>
      <c r="G7" s="18"/>
      <c r="H7" s="106"/>
      <c r="I7" s="265"/>
      <c r="J7" s="265"/>
      <c r="K7" s="265"/>
      <c r="L7" s="265"/>
      <c r="M7" s="265"/>
      <c r="N7" s="266"/>
    </row>
    <row r="8" spans="1:14" ht="20.149999999999999" customHeight="1">
      <c r="A8" s="7" t="s">
        <v>182</v>
      </c>
      <c r="B8" s="130">
        <v>2.0779999999999998</v>
      </c>
      <c r="C8" s="130">
        <v>1.954</v>
      </c>
      <c r="D8" s="130">
        <v>1.71</v>
      </c>
      <c r="E8" s="130">
        <v>1.506</v>
      </c>
      <c r="F8" s="130">
        <v>1.409</v>
      </c>
      <c r="H8" s="107"/>
      <c r="I8" s="171"/>
      <c r="J8" s="171"/>
      <c r="K8" s="171"/>
      <c r="L8" s="171"/>
      <c r="M8" s="171"/>
      <c r="N8" s="261"/>
    </row>
    <row r="9" spans="1:14" ht="20.149999999999999" customHeight="1">
      <c r="A9" s="259" t="s">
        <v>224</v>
      </c>
      <c r="B9" s="167">
        <v>0</v>
      </c>
      <c r="C9" s="167">
        <v>0</v>
      </c>
      <c r="D9" s="167">
        <v>0</v>
      </c>
      <c r="E9" s="167">
        <v>0</v>
      </c>
      <c r="F9" s="167">
        <v>0.41899999999999998</v>
      </c>
      <c r="H9" s="107"/>
      <c r="I9" s="171"/>
      <c r="J9" s="171"/>
      <c r="K9" s="171"/>
      <c r="L9" s="263"/>
      <c r="M9" s="263"/>
      <c r="N9" s="261"/>
    </row>
    <row r="10" spans="1:14" ht="20.149999999999999" customHeight="1">
      <c r="A10" s="54" t="s">
        <v>225</v>
      </c>
      <c r="B10" s="130">
        <v>0.17699999999999999</v>
      </c>
      <c r="C10" s="130">
        <v>0.19</v>
      </c>
      <c r="D10" s="130">
        <v>0.20300000000000001</v>
      </c>
      <c r="E10" s="130">
        <v>0.218</v>
      </c>
      <c r="F10" s="130">
        <v>0.39200000000000002</v>
      </c>
      <c r="H10" s="107"/>
      <c r="I10" s="171"/>
      <c r="J10" s="171"/>
      <c r="K10" s="171"/>
      <c r="L10" s="263"/>
      <c r="M10" s="263"/>
      <c r="N10" s="261"/>
    </row>
    <row r="11" spans="1:14" s="2" customFormat="1" ht="25" customHeight="1">
      <c r="A11" s="125" t="s">
        <v>163</v>
      </c>
      <c r="B11" s="125">
        <v>1.901</v>
      </c>
      <c r="C11" s="125">
        <v>1.764</v>
      </c>
      <c r="D11" s="125">
        <v>1.5069999999999999</v>
      </c>
      <c r="E11" s="125">
        <v>1.288</v>
      </c>
      <c r="F11" s="125">
        <v>1.4359999999999999</v>
      </c>
      <c r="H11" s="106"/>
      <c r="I11" s="170"/>
      <c r="J11" s="170"/>
      <c r="K11" s="170"/>
      <c r="L11" s="269"/>
      <c r="M11" s="269"/>
      <c r="N11" s="261"/>
    </row>
  </sheetData>
  <hyperlinks>
    <hyperlink ref="A5" location="Contents!A1" display="Return to Contents" xr:uid="{D75963F6-FC21-47B2-B671-104A72286647}"/>
  </hyperlinks>
  <pageMargins left="0.25" right="0.25" top="0.75" bottom="0.75" header="0.3" footer="0.3"/>
  <pageSetup paperSize="9" scale="51" orientation="landscape"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B418A-2FF8-446D-A2D2-7F963F20EFB1}">
  <sheetPr codeName="Sheet72">
    <tabColor rgb="FFDDE5F1"/>
    <pageSetUpPr fitToPage="1"/>
  </sheetPr>
  <dimension ref="A1:M15"/>
  <sheetViews>
    <sheetView zoomScaleNormal="100" workbookViewId="0"/>
  </sheetViews>
  <sheetFormatPr defaultColWidth="9.1796875" defaultRowHeight="15.5"/>
  <cols>
    <col min="1" max="1" width="42.7265625" style="9" customWidth="1"/>
    <col min="2" max="6" width="14.7265625" style="5" customWidth="1"/>
    <col min="7" max="7" width="9.1796875" style="9"/>
    <col min="8" max="8" width="9.1796875" style="9" customWidth="1"/>
    <col min="9" max="16384" width="9.1796875" style="9"/>
  </cols>
  <sheetData>
    <row r="1" spans="1:13" ht="30" customHeight="1">
      <c r="A1" s="72" t="s">
        <v>776</v>
      </c>
      <c r="B1" s="36"/>
      <c r="C1" s="36"/>
      <c r="D1" s="36"/>
      <c r="E1" s="36"/>
      <c r="F1" s="36"/>
      <c r="G1" s="13"/>
      <c r="H1" s="13"/>
      <c r="I1" s="13"/>
      <c r="J1" s="13"/>
    </row>
    <row r="2" spans="1:13" ht="20.149999999999999" customHeight="1">
      <c r="A2" s="7" t="s">
        <v>236</v>
      </c>
    </row>
    <row r="3" spans="1:13" ht="20.149999999999999" customHeight="1">
      <c r="A3" s="9" t="s">
        <v>647</v>
      </c>
      <c r="B3" s="36"/>
      <c r="C3" s="36"/>
      <c r="D3" s="36"/>
      <c r="E3" s="36"/>
    </row>
    <row r="4" spans="1:13" ht="20.149999999999999" customHeight="1">
      <c r="A4" s="128"/>
      <c r="B4" s="36"/>
      <c r="C4" s="36"/>
      <c r="D4" s="36"/>
      <c r="E4" s="36"/>
    </row>
    <row r="5" spans="1:13" ht="20.149999999999999" customHeight="1">
      <c r="B5" s="9"/>
      <c r="C5" s="78"/>
      <c r="D5" s="78"/>
    </row>
    <row r="6" spans="1:13" ht="20.149999999999999" customHeight="1">
      <c r="A6" s="15" t="s">
        <v>62</v>
      </c>
    </row>
    <row r="7" spans="1:13" ht="10" customHeight="1">
      <c r="F7" s="28"/>
      <c r="G7" s="7"/>
      <c r="H7" s="107"/>
      <c r="I7" s="113"/>
      <c r="J7" s="113"/>
      <c r="K7" s="113"/>
      <c r="L7" s="113"/>
      <c r="M7" s="113"/>
    </row>
    <row r="8" spans="1:13" ht="25" customHeight="1">
      <c r="A8" s="98" t="s">
        <v>277</v>
      </c>
      <c r="B8" s="330">
        <v>44286</v>
      </c>
      <c r="C8" s="330">
        <v>44651</v>
      </c>
      <c r="D8" s="330">
        <v>45016</v>
      </c>
      <c r="E8" s="330">
        <v>45382</v>
      </c>
      <c r="F8" s="330">
        <v>45747</v>
      </c>
      <c r="H8" s="106"/>
      <c r="I8" s="265"/>
      <c r="J8" s="265"/>
      <c r="K8" s="265"/>
      <c r="L8" s="265"/>
      <c r="M8" s="265"/>
    </row>
    <row r="9" spans="1:13" ht="20.149999999999999" customHeight="1">
      <c r="A9" s="9" t="s">
        <v>101</v>
      </c>
      <c r="B9" s="130">
        <v>22850.249</v>
      </c>
      <c r="C9" s="130">
        <v>23460.637999999999</v>
      </c>
      <c r="D9" s="130">
        <v>24607.597000000002</v>
      </c>
      <c r="E9" s="130">
        <v>26895.15</v>
      </c>
      <c r="F9" s="130">
        <v>29076.2</v>
      </c>
      <c r="H9" s="107"/>
      <c r="I9" s="171"/>
      <c r="J9" s="171"/>
      <c r="K9" s="171"/>
      <c r="L9" s="263"/>
      <c r="M9" s="263"/>
    </row>
    <row r="10" spans="1:13" ht="20.149999999999999" customHeight="1">
      <c r="A10" s="95" t="s">
        <v>100</v>
      </c>
      <c r="B10" s="167">
        <v>20893.924999999999</v>
      </c>
      <c r="C10" s="167">
        <v>22040.61</v>
      </c>
      <c r="D10" s="167">
        <v>23008.352999999999</v>
      </c>
      <c r="E10" s="167">
        <v>25277.733</v>
      </c>
      <c r="F10" s="167">
        <v>27377.498</v>
      </c>
      <c r="H10" s="107"/>
      <c r="I10" s="171"/>
      <c r="J10" s="171"/>
      <c r="K10" s="171"/>
      <c r="L10" s="263"/>
      <c r="M10" s="263"/>
    </row>
    <row r="11" spans="1:13" ht="20.149999999999999" customHeight="1">
      <c r="A11" s="9" t="s">
        <v>110</v>
      </c>
      <c r="B11" s="130">
        <v>19774.830999999998</v>
      </c>
      <c r="C11" s="130">
        <v>20706.785</v>
      </c>
      <c r="D11" s="130">
        <v>22456.203000000001</v>
      </c>
      <c r="E11" s="130">
        <v>24247.456999999999</v>
      </c>
      <c r="F11" s="130">
        <v>26667.602999999999</v>
      </c>
      <c r="H11" s="107"/>
      <c r="I11" s="171"/>
      <c r="J11" s="171"/>
      <c r="K11" s="171"/>
      <c r="L11" s="171"/>
      <c r="M11" s="171"/>
    </row>
    <row r="12" spans="1:13" ht="20.149999999999999" customHeight="1" thickBot="1">
      <c r="A12" s="97" t="s">
        <v>99</v>
      </c>
      <c r="B12" s="168">
        <v>18465.128000000001</v>
      </c>
      <c r="C12" s="168">
        <v>18684.05</v>
      </c>
      <c r="D12" s="168">
        <v>19050.501</v>
      </c>
      <c r="E12" s="168">
        <v>20730.519</v>
      </c>
      <c r="F12" s="168">
        <v>23448.43</v>
      </c>
      <c r="H12" s="107"/>
      <c r="I12" s="171"/>
      <c r="J12" s="171"/>
      <c r="K12" s="171"/>
      <c r="L12" s="263"/>
      <c r="M12" s="263"/>
    </row>
    <row r="13" spans="1:13">
      <c r="C13" s="78"/>
      <c r="D13" s="78"/>
      <c r="E13" s="78"/>
      <c r="F13" s="78"/>
    </row>
    <row r="14" spans="1:13">
      <c r="C14" s="78"/>
      <c r="D14" s="78"/>
      <c r="E14" s="78"/>
      <c r="F14" s="78"/>
    </row>
    <row r="15" spans="1:13">
      <c r="C15" s="78"/>
      <c r="D15" s="78"/>
      <c r="E15" s="78"/>
      <c r="F15" s="78"/>
    </row>
  </sheetData>
  <hyperlinks>
    <hyperlink ref="A6" location="Contents!A1" display="Return to Contents" xr:uid="{62D1AC1F-94C6-4BDD-B86E-94688219E356}"/>
  </hyperlinks>
  <pageMargins left="0.25" right="0.25" top="0.75" bottom="0.75" header="0.3" footer="0.3"/>
  <pageSetup paperSize="9" scale="68" orientation="landscape" r:id="rId1"/>
  <drawing r:id="rId2"/>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CEAA1-4030-4B7F-80A2-8D41DE0DC639}">
  <sheetPr codeName="Sheet73">
    <tabColor rgb="FFDDE5F1"/>
    <pageSetUpPr fitToPage="1"/>
  </sheetPr>
  <dimension ref="A1:I18"/>
  <sheetViews>
    <sheetView zoomScaleNormal="100" workbookViewId="0"/>
  </sheetViews>
  <sheetFormatPr defaultColWidth="9.1796875" defaultRowHeight="15.5"/>
  <cols>
    <col min="1" max="1" width="70.7265625" style="9" customWidth="1"/>
    <col min="2" max="3" width="14.7265625" style="65" customWidth="1"/>
    <col min="4" max="4" width="19.7265625" style="5" customWidth="1"/>
    <col min="5" max="5" width="9.1796875" style="9"/>
    <col min="6" max="6" width="9.1796875" style="9" customWidth="1"/>
    <col min="7" max="16384" width="9.1796875" style="9"/>
  </cols>
  <sheetData>
    <row r="1" spans="1:9" ht="30" customHeight="1">
      <c r="A1" s="72" t="s">
        <v>803</v>
      </c>
      <c r="B1" s="69"/>
    </row>
    <row r="2" spans="1:9" ht="20.149999999999999" customHeight="1">
      <c r="A2" s="7" t="s">
        <v>214</v>
      </c>
    </row>
    <row r="3" spans="1:9" ht="20.149999999999999" customHeight="1">
      <c r="A3" s="7" t="s">
        <v>293</v>
      </c>
    </row>
    <row r="4" spans="1:9" ht="20.149999999999999" customHeight="1">
      <c r="A4" s="9" t="s">
        <v>218</v>
      </c>
    </row>
    <row r="5" spans="1:9" ht="20.149999999999999" customHeight="1">
      <c r="A5" s="15" t="s">
        <v>62</v>
      </c>
    </row>
    <row r="6" spans="1:9" ht="10" customHeight="1">
      <c r="E6" s="7"/>
      <c r="F6" s="107"/>
      <c r="G6" s="113"/>
      <c r="H6" s="113"/>
      <c r="I6" s="113"/>
    </row>
    <row r="7" spans="1:9" ht="40" customHeight="1">
      <c r="A7" s="98" t="s">
        <v>259</v>
      </c>
      <c r="B7" s="96" t="s">
        <v>197</v>
      </c>
      <c r="C7" s="96" t="s">
        <v>36</v>
      </c>
      <c r="D7" s="99" t="s">
        <v>38</v>
      </c>
      <c r="E7" s="18"/>
      <c r="F7" s="106"/>
      <c r="G7" s="170"/>
      <c r="H7" s="170"/>
      <c r="I7" s="172"/>
    </row>
    <row r="8" spans="1:9" s="2" customFormat="1" ht="20.149999999999999" customHeight="1">
      <c r="A8" s="9" t="s">
        <v>88</v>
      </c>
      <c r="B8" s="130">
        <v>18808.72</v>
      </c>
      <c r="C8" s="130">
        <v>5658.8209999999999</v>
      </c>
      <c r="D8" s="35">
        <v>24467.541000000001</v>
      </c>
      <c r="F8" s="106"/>
      <c r="G8" s="170"/>
      <c r="H8" s="170"/>
      <c r="I8" s="262"/>
    </row>
    <row r="9" spans="1:9" ht="20.149999999999999" customHeight="1">
      <c r="A9" s="258" t="s">
        <v>414</v>
      </c>
      <c r="B9" s="167">
        <v>1239.634</v>
      </c>
      <c r="C9" s="167">
        <v>861.71100000000001</v>
      </c>
      <c r="D9" s="118">
        <v>2101.3449999999998</v>
      </c>
      <c r="F9" s="107"/>
      <c r="G9" s="171"/>
      <c r="H9" s="171"/>
      <c r="I9" s="261"/>
    </row>
    <row r="10" spans="1:9" ht="20.149999999999999" customHeight="1">
      <c r="A10" s="19" t="s">
        <v>415</v>
      </c>
      <c r="B10" s="130">
        <v>691.93899999999996</v>
      </c>
      <c r="C10" s="130">
        <v>0.41899999999999998</v>
      </c>
      <c r="D10" s="35">
        <v>692.35799999999995</v>
      </c>
      <c r="F10" s="107"/>
      <c r="G10" s="171"/>
      <c r="H10" s="171"/>
      <c r="I10" s="261"/>
    </row>
    <row r="11" spans="1:9" ht="20.149999999999999" customHeight="1">
      <c r="A11" s="258" t="s">
        <v>228</v>
      </c>
      <c r="B11" s="167">
        <v>312.197</v>
      </c>
      <c r="C11" s="167">
        <v>160.304</v>
      </c>
      <c r="D11" s="118">
        <v>472.50099999999998</v>
      </c>
      <c r="F11" s="107"/>
      <c r="G11" s="263"/>
      <c r="H11" s="263"/>
      <c r="I11" s="191"/>
    </row>
    <row r="12" spans="1:9" ht="20.149999999999999" customHeight="1">
      <c r="A12" s="19" t="s">
        <v>229</v>
      </c>
      <c r="B12" s="130">
        <v>120.748</v>
      </c>
      <c r="C12" s="130">
        <v>0.39200000000000002</v>
      </c>
      <c r="D12" s="35">
        <v>121.14</v>
      </c>
      <c r="F12" s="107"/>
      <c r="G12" s="263"/>
      <c r="H12" s="263"/>
      <c r="I12" s="191"/>
    </row>
    <row r="13" spans="1:9" ht="20.149999999999999" customHeight="1">
      <c r="A13" s="259" t="s">
        <v>427</v>
      </c>
      <c r="B13" s="167">
        <v>-59.881</v>
      </c>
      <c r="C13" s="167">
        <v>59.881</v>
      </c>
      <c r="D13" s="118">
        <v>0</v>
      </c>
      <c r="F13" s="107"/>
      <c r="G13" s="263"/>
      <c r="H13" s="263"/>
      <c r="I13" s="191"/>
    </row>
    <row r="14" spans="1:9" ht="25" customHeight="1">
      <c r="A14" s="98" t="s">
        <v>89</v>
      </c>
      <c r="B14" s="126">
        <v>20247.467000000001</v>
      </c>
      <c r="C14" s="126">
        <v>6420.1360000000004</v>
      </c>
      <c r="D14" s="126">
        <v>26667.602999999999</v>
      </c>
      <c r="F14" s="283"/>
      <c r="G14" s="284"/>
      <c r="H14" s="191"/>
      <c r="I14" s="191"/>
    </row>
    <row r="15" spans="1:9">
      <c r="A15" s="18"/>
    </row>
    <row r="17" spans="4:4">
      <c r="D17" s="35"/>
    </row>
    <row r="18" spans="4:4">
      <c r="D18" s="276"/>
    </row>
  </sheetData>
  <hyperlinks>
    <hyperlink ref="A5" location="Contents!A1" display="Return to Contents" xr:uid="{45891952-0EF2-4129-AFFC-2F981E7E02DC}"/>
  </hyperlinks>
  <pageMargins left="0.25" right="0.25" top="0.75" bottom="0.75" header="0.3" footer="0.3"/>
  <pageSetup paperSize="9" scale="61" orientation="landscape"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8BB70-3C29-4C24-AB22-A48B638889F7}">
  <sheetPr codeName="Sheet74">
    <tabColor rgb="FFDDE5F1"/>
    <pageSetUpPr fitToPage="1"/>
  </sheetPr>
  <dimension ref="A1:N22"/>
  <sheetViews>
    <sheetView zoomScaleNormal="100" workbookViewId="0"/>
  </sheetViews>
  <sheetFormatPr defaultColWidth="9.1796875" defaultRowHeight="15.5"/>
  <cols>
    <col min="1" max="1" width="70.7265625" style="9" customWidth="1"/>
    <col min="2" max="6" width="14.7265625" style="5" customWidth="1"/>
    <col min="7" max="7" width="9.1796875" style="9"/>
    <col min="8" max="11" width="9.1796875" style="9" customWidth="1"/>
    <col min="12" max="16384" width="9.1796875" style="9"/>
  </cols>
  <sheetData>
    <row r="1" spans="1:14" ht="30" customHeight="1">
      <c r="A1" s="23" t="s">
        <v>821</v>
      </c>
      <c r="B1" s="36"/>
      <c r="C1" s="36"/>
      <c r="D1" s="36"/>
      <c r="E1" s="36"/>
    </row>
    <row r="2" spans="1:14" ht="20.149999999999999" customHeight="1">
      <c r="A2" s="7" t="s">
        <v>255</v>
      </c>
      <c r="B2" s="36"/>
      <c r="C2" s="36"/>
    </row>
    <row r="3" spans="1:14" ht="20.149999999999999" customHeight="1">
      <c r="A3" s="127" t="s">
        <v>417</v>
      </c>
      <c r="B3" s="36"/>
      <c r="C3" s="36"/>
      <c r="D3" s="36"/>
      <c r="E3" s="36"/>
    </row>
    <row r="4" spans="1:14" ht="20.149999999999999" customHeight="1">
      <c r="A4" s="127" t="s">
        <v>294</v>
      </c>
      <c r="B4" s="36"/>
      <c r="C4" s="36"/>
      <c r="D4" s="36"/>
      <c r="E4" s="36"/>
    </row>
    <row r="5" spans="1:14" ht="20.149999999999999" customHeight="1">
      <c r="A5" s="9" t="s">
        <v>647</v>
      </c>
      <c r="B5" s="21"/>
      <c r="C5" s="36"/>
    </row>
    <row r="6" spans="1:14" ht="20.149999999999999" customHeight="1">
      <c r="A6" s="15" t="s">
        <v>62</v>
      </c>
    </row>
    <row r="7" spans="1:14" ht="10" customHeight="1"/>
    <row r="8" spans="1:14" ht="25" customHeight="1">
      <c r="A8" s="98" t="s">
        <v>259</v>
      </c>
      <c r="B8" s="96" t="s">
        <v>188</v>
      </c>
      <c r="C8" s="96" t="s">
        <v>424</v>
      </c>
      <c r="D8" s="96" t="s">
        <v>600</v>
      </c>
      <c r="E8" s="96" t="s">
        <v>636</v>
      </c>
      <c r="F8" s="96" t="s">
        <v>838</v>
      </c>
      <c r="G8" s="18"/>
      <c r="H8" s="106"/>
      <c r="I8" s="265"/>
      <c r="J8" s="265"/>
      <c r="K8" s="265"/>
      <c r="L8" s="265"/>
      <c r="M8" s="265"/>
      <c r="N8" s="266"/>
    </row>
    <row r="9" spans="1:14" ht="20.149999999999999" customHeight="1">
      <c r="A9" s="9" t="s">
        <v>88</v>
      </c>
      <c r="B9" s="130">
        <v>19485.146000000001</v>
      </c>
      <c r="C9" s="130">
        <v>19817.047999999999</v>
      </c>
      <c r="D9" s="130">
        <v>20725.666000000001</v>
      </c>
      <c r="E9" s="130">
        <v>22473.010999999999</v>
      </c>
      <c r="F9" s="130">
        <v>24467.541000000001</v>
      </c>
      <c r="H9" s="106"/>
      <c r="I9" s="170"/>
      <c r="J9" s="170"/>
      <c r="K9" s="170"/>
      <c r="L9" s="170"/>
      <c r="M9" s="170"/>
      <c r="N9" s="262"/>
    </row>
    <row r="10" spans="1:14" ht="20.149999999999999" customHeight="1">
      <c r="A10" s="258" t="s">
        <v>226</v>
      </c>
      <c r="B10" s="167">
        <v>833.92399999999998</v>
      </c>
      <c r="C10" s="167">
        <v>1441.1659999999999</v>
      </c>
      <c r="D10" s="167">
        <v>1532.9770000000001</v>
      </c>
      <c r="E10" s="167">
        <v>1705.0730000000001</v>
      </c>
      <c r="F10" s="167">
        <v>2101.3449999999998</v>
      </c>
      <c r="H10" s="107"/>
      <c r="I10" s="171"/>
      <c r="J10" s="171"/>
      <c r="K10" s="171"/>
      <c r="L10" s="171"/>
      <c r="M10" s="171"/>
      <c r="N10" s="261"/>
    </row>
    <row r="11" spans="1:14" ht="20.149999999999999" customHeight="1">
      <c r="A11" s="19" t="s">
        <v>227</v>
      </c>
      <c r="B11" s="130">
        <v>96.876999999999995</v>
      </c>
      <c r="C11" s="130">
        <v>59.058999999999997</v>
      </c>
      <c r="D11" s="130">
        <v>265.84100000000001</v>
      </c>
      <c r="E11" s="130">
        <v>1.7230000000000001</v>
      </c>
      <c r="F11" s="130">
        <v>692.35799999999995</v>
      </c>
      <c r="H11" s="107"/>
      <c r="I11" s="171"/>
      <c r="J11" s="171"/>
      <c r="K11" s="171"/>
      <c r="L11" s="171"/>
      <c r="M11" s="171"/>
      <c r="N11" s="261"/>
    </row>
    <row r="12" spans="1:14" ht="20.149999999999999" customHeight="1">
      <c r="A12" s="258" t="s">
        <v>228</v>
      </c>
      <c r="B12" s="167">
        <v>509.077</v>
      </c>
      <c r="C12" s="167">
        <v>472.92200000000003</v>
      </c>
      <c r="D12" s="167">
        <v>360.76100000000002</v>
      </c>
      <c r="E12" s="167">
        <v>429.30700000000002</v>
      </c>
      <c r="F12" s="167">
        <v>472.50099999999998</v>
      </c>
      <c r="H12" s="107"/>
      <c r="I12" s="171"/>
      <c r="J12" s="171"/>
      <c r="K12" s="171"/>
      <c r="L12" s="263"/>
      <c r="M12" s="263"/>
      <c r="N12" s="191"/>
    </row>
    <row r="13" spans="1:14" ht="20.149999999999999" customHeight="1">
      <c r="A13" s="19" t="s">
        <v>229</v>
      </c>
      <c r="B13" s="130">
        <v>132.03899999999999</v>
      </c>
      <c r="C13" s="130">
        <v>137.566</v>
      </c>
      <c r="D13" s="130">
        <v>-292.48</v>
      </c>
      <c r="E13" s="130">
        <v>-496.95699999999999</v>
      </c>
      <c r="F13" s="130">
        <v>121.14</v>
      </c>
      <c r="H13" s="107"/>
      <c r="I13" s="171"/>
      <c r="J13" s="171"/>
      <c r="K13" s="171"/>
      <c r="L13" s="171"/>
      <c r="M13" s="263"/>
      <c r="N13" s="191"/>
    </row>
    <row r="14" spans="1:14" ht="20.149999999999999" customHeight="1">
      <c r="A14" s="259" t="s">
        <v>427</v>
      </c>
      <c r="B14" s="167">
        <v>0</v>
      </c>
      <c r="C14" s="167">
        <v>0</v>
      </c>
      <c r="D14" s="167">
        <v>0</v>
      </c>
      <c r="E14" s="167">
        <v>0</v>
      </c>
      <c r="F14" s="167">
        <v>0</v>
      </c>
      <c r="H14" s="107"/>
      <c r="I14" s="171"/>
      <c r="J14" s="171"/>
      <c r="K14" s="171"/>
      <c r="L14" s="171"/>
      <c r="M14" s="263"/>
      <c r="N14" s="191"/>
    </row>
    <row r="15" spans="1:14" ht="25" customHeight="1">
      <c r="A15" s="98" t="s">
        <v>89</v>
      </c>
      <c r="B15" s="126">
        <v>19774.830999999998</v>
      </c>
      <c r="C15" s="126">
        <v>20706.785</v>
      </c>
      <c r="D15" s="126">
        <v>22456.203000000001</v>
      </c>
      <c r="E15" s="126">
        <v>24247.456999999999</v>
      </c>
      <c r="F15" s="126">
        <v>26667.602999999999</v>
      </c>
      <c r="H15" s="172"/>
      <c r="I15" s="261"/>
      <c r="J15" s="261"/>
      <c r="K15" s="261"/>
      <c r="L15" s="261"/>
      <c r="M15" s="261"/>
      <c r="N15" s="261"/>
    </row>
    <row r="16" spans="1:14">
      <c r="H16" s="172"/>
      <c r="I16" s="173"/>
      <c r="J16" s="173"/>
      <c r="K16" s="173"/>
      <c r="L16" s="173"/>
      <c r="M16" s="173"/>
    </row>
    <row r="17" spans="1:6">
      <c r="A17" s="131"/>
      <c r="B17" s="271"/>
      <c r="C17" s="271"/>
      <c r="D17" s="271"/>
      <c r="E17" s="271"/>
      <c r="F17" s="271"/>
    </row>
    <row r="18" spans="1:6">
      <c r="A18" s="113"/>
      <c r="B18" s="271"/>
      <c r="C18" s="271"/>
      <c r="D18" s="271"/>
      <c r="E18" s="271"/>
      <c r="F18" s="271"/>
    </row>
    <row r="19" spans="1:6">
      <c r="A19" s="113"/>
      <c r="B19" s="271"/>
      <c r="C19" s="271"/>
      <c r="D19" s="271"/>
      <c r="E19" s="271"/>
      <c r="F19" s="271"/>
    </row>
    <row r="20" spans="1:6">
      <c r="A20" s="113"/>
      <c r="B20" s="271"/>
      <c r="C20" s="271"/>
      <c r="D20" s="271"/>
      <c r="E20" s="271"/>
      <c r="F20" s="271"/>
    </row>
    <row r="21" spans="1:6">
      <c r="A21" s="113"/>
      <c r="B21" s="271"/>
      <c r="C21" s="271"/>
      <c r="D21" s="271"/>
      <c r="E21" s="271"/>
      <c r="F21" s="271"/>
    </row>
    <row r="22" spans="1:6">
      <c r="A22" s="172"/>
      <c r="B22" s="187"/>
      <c r="C22" s="187"/>
      <c r="D22" s="187"/>
      <c r="E22" s="187"/>
      <c r="F22" s="187"/>
    </row>
  </sheetData>
  <hyperlinks>
    <hyperlink ref="A6" location="Contents!A1" display="Return to Contents" xr:uid="{CF4F3372-9B0A-4686-A4E2-200ED12E6841}"/>
  </hyperlinks>
  <pageMargins left="0.25" right="0.25" top="0.75" bottom="0.75" header="0.3" footer="0.3"/>
  <pageSetup paperSize="9" scale="62" orientation="landscape"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8EA7D-7DBE-4733-806F-E5B92522A3B4}">
  <sheetPr codeName="Sheet76">
    <tabColor rgb="FFDDE5F1"/>
    <pageSetUpPr fitToPage="1"/>
  </sheetPr>
  <dimension ref="A1:N21"/>
  <sheetViews>
    <sheetView zoomScaleNormal="100" workbookViewId="0"/>
  </sheetViews>
  <sheetFormatPr defaultColWidth="9.1796875" defaultRowHeight="15.5"/>
  <cols>
    <col min="1" max="1" width="52.7265625" style="9" customWidth="1"/>
    <col min="2" max="6" width="14.7265625" style="5" customWidth="1"/>
    <col min="7" max="7" width="9.1796875" style="9"/>
    <col min="8" max="8" width="9.1796875" style="9" customWidth="1"/>
    <col min="9" max="16384" width="9.1796875" style="9"/>
  </cols>
  <sheetData>
    <row r="1" spans="1:14" ht="30" customHeight="1">
      <c r="A1" s="23" t="s">
        <v>831</v>
      </c>
    </row>
    <row r="2" spans="1:14" ht="20.149999999999999" customHeight="1">
      <c r="A2" s="7" t="s">
        <v>214</v>
      </c>
    </row>
    <row r="3" spans="1:14" ht="20.149999999999999" customHeight="1">
      <c r="A3" s="7" t="s">
        <v>298</v>
      </c>
    </row>
    <row r="4" spans="1:14" ht="20.149999999999999" customHeight="1">
      <c r="A4" s="54" t="s">
        <v>312</v>
      </c>
    </row>
    <row r="5" spans="1:14" ht="20.149999999999999" customHeight="1">
      <c r="A5" s="54" t="s">
        <v>313</v>
      </c>
    </row>
    <row r="6" spans="1:14" ht="20.149999999999999" customHeight="1">
      <c r="A6" s="54" t="s">
        <v>595</v>
      </c>
    </row>
    <row r="7" spans="1:14" ht="20.149999999999999" customHeight="1">
      <c r="A7" s="54" t="s">
        <v>617</v>
      </c>
    </row>
    <row r="8" spans="1:14" ht="20.149999999999999" customHeight="1">
      <c r="A8" s="378" t="s">
        <v>848</v>
      </c>
      <c r="B8" s="379"/>
      <c r="C8" s="379"/>
      <c r="D8" s="379"/>
      <c r="E8" s="379"/>
      <c r="F8" s="379"/>
      <c r="G8" s="26"/>
      <c r="H8" s="26"/>
    </row>
    <row r="9" spans="1:14" ht="20.149999999999999" customHeight="1">
      <c r="A9" s="378" t="s">
        <v>849</v>
      </c>
      <c r="B9" s="379"/>
      <c r="C9" s="379"/>
      <c r="D9" s="379"/>
      <c r="E9" s="379"/>
      <c r="F9" s="379"/>
      <c r="G9" s="26"/>
      <c r="H9" s="26"/>
    </row>
    <row r="10" spans="1:14" ht="20.149999999999999" customHeight="1">
      <c r="A10" s="9" t="s">
        <v>647</v>
      </c>
      <c r="B10" s="9"/>
      <c r="C10" s="9"/>
      <c r="D10" s="9"/>
    </row>
    <row r="11" spans="1:14" ht="20.149999999999999" customHeight="1">
      <c r="A11" s="15" t="s">
        <v>62</v>
      </c>
    </row>
    <row r="12" spans="1:14" ht="10" customHeight="1">
      <c r="F12" s="28"/>
      <c r="G12" s="7"/>
      <c r="H12" s="107"/>
      <c r="I12" s="113"/>
      <c r="J12" s="113"/>
      <c r="K12" s="113"/>
      <c r="L12" s="113"/>
      <c r="M12" s="113"/>
      <c r="N12" s="113"/>
    </row>
    <row r="13" spans="1:14" ht="25" customHeight="1">
      <c r="A13" s="98" t="s">
        <v>249</v>
      </c>
      <c r="B13" s="330">
        <v>44286</v>
      </c>
      <c r="C13" s="330">
        <v>44651</v>
      </c>
      <c r="D13" s="330">
        <v>45016</v>
      </c>
      <c r="E13" s="330">
        <v>45382</v>
      </c>
      <c r="F13" s="330">
        <v>45747</v>
      </c>
      <c r="G13" s="18"/>
      <c r="H13" s="106"/>
      <c r="I13" s="265"/>
      <c r="J13" s="265"/>
      <c r="K13" s="265"/>
      <c r="L13" s="265"/>
      <c r="M13" s="265"/>
      <c r="N13" s="266"/>
    </row>
    <row r="14" spans="1:14" ht="20.149999999999999" customHeight="1">
      <c r="A14" s="9" t="s">
        <v>164</v>
      </c>
      <c r="B14" s="130">
        <v>14730.958000000001</v>
      </c>
      <c r="C14" s="130">
        <v>15075.699000000001</v>
      </c>
      <c r="D14" s="130">
        <v>15336.013999999999</v>
      </c>
      <c r="E14" s="130">
        <v>17141.627</v>
      </c>
      <c r="F14" s="130">
        <v>19168.816999999999</v>
      </c>
      <c r="H14" s="107"/>
      <c r="I14" s="171"/>
      <c r="J14" s="171"/>
      <c r="K14" s="107"/>
      <c r="L14" s="174"/>
      <c r="M14" s="174"/>
      <c r="N14" s="176"/>
    </row>
    <row r="15" spans="1:14" ht="20.149999999999999" customHeight="1">
      <c r="A15" s="101" t="s">
        <v>183</v>
      </c>
      <c r="B15" s="167">
        <v>3734.17</v>
      </c>
      <c r="C15" s="167">
        <v>3608.3510000000001</v>
      </c>
      <c r="D15" s="167">
        <v>3714.4870000000001</v>
      </c>
      <c r="E15" s="167">
        <v>3588.8919999999998</v>
      </c>
      <c r="F15" s="167">
        <v>4279.6130000000003</v>
      </c>
      <c r="H15" s="107"/>
      <c r="I15" s="171"/>
      <c r="J15" s="171"/>
      <c r="K15" s="107"/>
      <c r="L15" s="174"/>
      <c r="M15" s="174"/>
      <c r="N15" s="176"/>
    </row>
    <row r="16" spans="1:14" s="2" customFormat="1" ht="25" customHeight="1">
      <c r="A16" s="98" t="s">
        <v>99</v>
      </c>
      <c r="B16" s="125">
        <v>18465.128000000001</v>
      </c>
      <c r="C16" s="125">
        <v>18684.05</v>
      </c>
      <c r="D16" s="125">
        <v>19050.501</v>
      </c>
      <c r="E16" s="125">
        <v>20730.519</v>
      </c>
      <c r="F16" s="125">
        <v>23448.43</v>
      </c>
      <c r="H16" s="172"/>
      <c r="I16" s="280"/>
      <c r="J16" s="261"/>
      <c r="K16" s="261"/>
      <c r="L16" s="191"/>
      <c r="M16" s="191"/>
      <c r="N16" s="176"/>
    </row>
    <row r="17" spans="1:14" ht="20.149999999999999" customHeight="1">
      <c r="A17" s="9" t="s">
        <v>102</v>
      </c>
      <c r="B17" s="130">
        <v>19774.830999999998</v>
      </c>
      <c r="C17" s="130">
        <v>20706.785</v>
      </c>
      <c r="D17" s="130">
        <v>22456.203000000001</v>
      </c>
      <c r="E17" s="130">
        <v>24247.456999999999</v>
      </c>
      <c r="F17" s="130">
        <v>26667.602999999999</v>
      </c>
      <c r="H17" s="107"/>
      <c r="I17" s="171"/>
      <c r="J17" s="171"/>
      <c r="K17" s="171"/>
      <c r="L17" s="107"/>
      <c r="M17" s="107"/>
      <c r="N17" s="172"/>
    </row>
    <row r="18" spans="1:14" ht="25" customHeight="1">
      <c r="A18" s="98" t="s">
        <v>103</v>
      </c>
      <c r="B18" s="108">
        <v>0.93376919377970902</v>
      </c>
      <c r="C18" s="108">
        <v>0.90231535219011505</v>
      </c>
      <c r="D18" s="108">
        <v>0.84834025591948903</v>
      </c>
      <c r="E18" s="108">
        <v>0.85495641872877604</v>
      </c>
      <c r="F18" s="108">
        <v>0.87928525109662103</v>
      </c>
      <c r="H18" s="172"/>
      <c r="I18" s="261"/>
      <c r="J18" s="261"/>
      <c r="K18" s="261"/>
      <c r="L18" s="261"/>
      <c r="M18" s="261"/>
      <c r="N18" s="261"/>
    </row>
    <row r="21" spans="1:14">
      <c r="B21" s="67"/>
      <c r="C21" s="67"/>
      <c r="D21" s="67"/>
      <c r="E21" s="67"/>
      <c r="F21" s="67"/>
    </row>
  </sheetData>
  <hyperlinks>
    <hyperlink ref="A11" location="Contents!A1" display="Return to Contents" xr:uid="{5FD39C4B-1CEA-44B7-94F8-F639CCE42938}"/>
  </hyperlinks>
  <pageMargins left="0.25" right="0.25" top="0.75" bottom="0.75" header="0.3" footer="0.3"/>
  <pageSetup paperSize="9" scale="70" orientation="landscape"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AF9114-6DF7-404F-89AC-E770116F8FF7}">
  <sheetPr codeName="Sheet78">
    <tabColor rgb="FFDDE5F1"/>
  </sheetPr>
  <dimension ref="A1:F21"/>
  <sheetViews>
    <sheetView showGridLines="0" zoomScaleNormal="100" workbookViewId="0"/>
  </sheetViews>
  <sheetFormatPr defaultColWidth="9.1796875" defaultRowHeight="15.5"/>
  <cols>
    <col min="1" max="1" width="72" style="77" customWidth="1"/>
    <col min="2" max="2" width="15.54296875" style="77" customWidth="1"/>
    <col min="3" max="4" width="9.1796875" style="77" customWidth="1"/>
    <col min="5" max="16384" width="9.1796875" style="77"/>
  </cols>
  <sheetData>
    <row r="1" spans="1:6" ht="30" customHeight="1">
      <c r="A1" s="72" t="s">
        <v>804</v>
      </c>
      <c r="B1" s="80"/>
      <c r="C1" s="80"/>
    </row>
    <row r="2" spans="1:6" ht="20.149999999999999" customHeight="1">
      <c r="A2" s="7" t="s">
        <v>214</v>
      </c>
      <c r="B2" s="80"/>
      <c r="C2" s="80"/>
    </row>
    <row r="3" spans="1:6" ht="20.149999999999999" customHeight="1">
      <c r="A3" s="7" t="s">
        <v>270</v>
      </c>
      <c r="B3" s="80"/>
      <c r="C3" s="80"/>
    </row>
    <row r="4" spans="1:6" s="9" customFormat="1" ht="20.149999999999999" customHeight="1">
      <c r="A4" s="15" t="s">
        <v>62</v>
      </c>
      <c r="B4" s="5"/>
      <c r="C4" s="5"/>
      <c r="D4" s="5"/>
      <c r="E4" s="5"/>
      <c r="F4" s="5"/>
    </row>
    <row r="5" spans="1:6" ht="10" customHeight="1">
      <c r="D5" s="107"/>
      <c r="E5" s="113"/>
    </row>
    <row r="6" spans="1:6" ht="25" customHeight="1">
      <c r="A6" s="116" t="s">
        <v>259</v>
      </c>
      <c r="B6" s="115" t="s">
        <v>838</v>
      </c>
      <c r="D6" s="106"/>
      <c r="E6" s="265"/>
    </row>
    <row r="7" spans="1:6" ht="20.149999999999999" customHeight="1">
      <c r="A7" s="120" t="s">
        <v>189</v>
      </c>
      <c r="B7" s="121">
        <v>65775.098120848896</v>
      </c>
      <c r="D7" s="107"/>
      <c r="E7" s="171"/>
    </row>
    <row r="8" spans="1:6" ht="20.149999999999999" customHeight="1">
      <c r="A8" s="138" t="s">
        <v>428</v>
      </c>
      <c r="B8" s="118">
        <v>1352.9160297599999</v>
      </c>
      <c r="D8" s="107"/>
      <c r="E8" s="171"/>
    </row>
    <row r="9" spans="1:6" ht="20.149999999999999" customHeight="1">
      <c r="A9" s="139" t="s">
        <v>324</v>
      </c>
      <c r="B9" s="79">
        <v>2104.4915211900002</v>
      </c>
      <c r="D9" s="107"/>
      <c r="E9" s="171"/>
    </row>
    <row r="10" spans="1:6" ht="20.149999999999999" customHeight="1">
      <c r="A10" s="138" t="s">
        <v>283</v>
      </c>
      <c r="B10" s="118">
        <v>19.730773939999999</v>
      </c>
      <c r="D10" s="107"/>
      <c r="E10" s="171"/>
    </row>
    <row r="11" spans="1:6" ht="22" customHeight="1">
      <c r="A11" s="141" t="s">
        <v>288</v>
      </c>
      <c r="B11" s="119">
        <v>-771.30626537000001</v>
      </c>
      <c r="D11" s="172"/>
      <c r="E11" s="261"/>
    </row>
    <row r="12" spans="1:6" ht="20.149999999999999" customHeight="1">
      <c r="A12" s="139" t="s">
        <v>284</v>
      </c>
      <c r="B12" s="79">
        <v>346.50200000000001</v>
      </c>
      <c r="D12" s="107"/>
      <c r="E12" s="171"/>
    </row>
    <row r="13" spans="1:6" ht="20.149999999999999" customHeight="1">
      <c r="A13" s="138" t="s">
        <v>285</v>
      </c>
      <c r="B13" s="118">
        <v>2421.5624592099998</v>
      </c>
      <c r="D13" s="107"/>
      <c r="E13" s="171"/>
    </row>
    <row r="14" spans="1:6" ht="20.149999999999999" customHeight="1">
      <c r="A14" s="140" t="s">
        <v>286</v>
      </c>
      <c r="B14" s="35">
        <v>-5.6989999999999998</v>
      </c>
      <c r="D14" s="107"/>
      <c r="E14" s="171"/>
    </row>
    <row r="15" spans="1:6" ht="22" customHeight="1">
      <c r="A15" s="135" t="s">
        <v>287</v>
      </c>
      <c r="B15" s="119">
        <v>1309.45319384</v>
      </c>
      <c r="D15" s="285"/>
      <c r="E15" s="261"/>
    </row>
    <row r="16" spans="1:6" ht="25" customHeight="1">
      <c r="A16" s="116" t="s">
        <v>190</v>
      </c>
      <c r="B16" s="117">
        <v>67084.551314688899</v>
      </c>
      <c r="D16" s="285"/>
      <c r="E16" s="357"/>
      <c r="F16" s="403"/>
    </row>
    <row r="21" spans="2:3">
      <c r="B21" s="425"/>
      <c r="C21" s="403"/>
    </row>
  </sheetData>
  <hyperlinks>
    <hyperlink ref="A4" location="Contents!A1" display="Return to Contents" xr:uid="{DEB47494-B0E6-40B3-8A36-4A9D70BEF193}"/>
  </hyperlinks>
  <pageMargins left="0.7" right="0.7" top="0.75" bottom="0.75" header="0.3" footer="0.3"/>
  <pageSetup paperSize="9" orientation="portrait" horizontalDpi="90" verticalDpi="90"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18622-C369-490A-A09E-98D61FE35899}">
  <sheetPr codeName="Sheet79">
    <tabColor rgb="FFDDE5F1"/>
    <pageSetUpPr fitToPage="1"/>
  </sheetPr>
  <dimension ref="A1:G19"/>
  <sheetViews>
    <sheetView zoomScaleNormal="100" workbookViewId="0"/>
  </sheetViews>
  <sheetFormatPr defaultColWidth="9.1796875" defaultRowHeight="15.5"/>
  <cols>
    <col min="1" max="1" width="26.26953125" style="9" customWidth="1"/>
    <col min="2" max="2" width="24.7265625" style="5" customWidth="1"/>
    <col min="3" max="6" width="9.1796875" style="5" customWidth="1"/>
    <col min="7" max="7" width="9.1796875" style="9"/>
    <col min="8" max="13" width="9.1796875" style="9" customWidth="1"/>
    <col min="14" max="16384" width="9.1796875" style="9"/>
  </cols>
  <sheetData>
    <row r="1" spans="1:7" ht="30" customHeight="1">
      <c r="A1" s="23" t="s">
        <v>777</v>
      </c>
      <c r="B1" s="36"/>
      <c r="C1" s="36"/>
      <c r="D1" s="36"/>
      <c r="E1" s="36"/>
      <c r="F1" s="37"/>
    </row>
    <row r="2" spans="1:7" ht="20.149999999999999" customHeight="1">
      <c r="A2" s="7" t="s">
        <v>236</v>
      </c>
      <c r="B2" s="36"/>
      <c r="C2" s="36"/>
      <c r="D2" s="36"/>
      <c r="E2" s="36"/>
      <c r="F2" s="37"/>
    </row>
    <row r="3" spans="1:7" ht="20.149999999999999" customHeight="1">
      <c r="A3" s="2" t="s">
        <v>230</v>
      </c>
      <c r="B3" s="36"/>
      <c r="C3" s="36"/>
      <c r="D3" s="36"/>
      <c r="E3" s="36"/>
      <c r="F3" s="37"/>
    </row>
    <row r="4" spans="1:7" ht="16" customHeight="1">
      <c r="A4" s="15" t="s">
        <v>62</v>
      </c>
    </row>
    <row r="5" spans="1:7" ht="10" customHeight="1">
      <c r="F5" s="28"/>
      <c r="G5" s="7"/>
    </row>
    <row r="6" spans="1:7" s="5" customFormat="1" ht="25" customHeight="1">
      <c r="A6" s="122" t="s">
        <v>258</v>
      </c>
      <c r="B6" s="99" t="s">
        <v>275</v>
      </c>
      <c r="C6" s="9"/>
      <c r="D6" s="131"/>
      <c r="E6" s="113"/>
      <c r="F6" s="9"/>
    </row>
    <row r="7" spans="1:7" s="5" customFormat="1" ht="20.149999999999999" customHeight="1">
      <c r="A7" s="337">
        <v>44286</v>
      </c>
      <c r="B7" s="130">
        <v>57653.6085805361</v>
      </c>
      <c r="C7" s="9"/>
      <c r="D7" s="113"/>
      <c r="E7" s="171"/>
      <c r="F7" s="9"/>
    </row>
    <row r="8" spans="1:7" ht="20.149999999999999" customHeight="1">
      <c r="A8" s="338">
        <v>44651</v>
      </c>
      <c r="B8" s="167">
        <v>61826.292731716101</v>
      </c>
      <c r="C8" s="9"/>
      <c r="D8" s="113"/>
      <c r="E8" s="171"/>
      <c r="F8" s="9"/>
    </row>
    <row r="9" spans="1:7" ht="20.149999999999999" customHeight="1">
      <c r="A9" s="337">
        <v>45016</v>
      </c>
      <c r="B9" s="130">
        <v>60363.1514256261</v>
      </c>
      <c r="C9" s="9"/>
      <c r="D9" s="113"/>
      <c r="E9" s="171"/>
      <c r="F9" s="9"/>
    </row>
    <row r="10" spans="1:7" ht="20.149999999999999" customHeight="1">
      <c r="A10" s="338">
        <v>45382</v>
      </c>
      <c r="B10" s="167">
        <v>65775.098121258896</v>
      </c>
      <c r="C10" s="9"/>
      <c r="D10" s="113"/>
      <c r="E10" s="263"/>
      <c r="F10" s="9"/>
    </row>
    <row r="11" spans="1:7" ht="20.149999999999999" customHeight="1" thickBot="1">
      <c r="A11" s="339">
        <f>A10+365</f>
        <v>45747</v>
      </c>
      <c r="B11" s="123">
        <v>67084.551314688899</v>
      </c>
      <c r="C11" s="35"/>
      <c r="D11" s="286"/>
      <c r="E11" s="263"/>
    </row>
    <row r="12" spans="1:7">
      <c r="D12" s="261"/>
      <c r="E12" s="261"/>
    </row>
    <row r="14" spans="1:7">
      <c r="B14" s="35"/>
    </row>
    <row r="15" spans="1:7">
      <c r="B15" s="276"/>
    </row>
    <row r="16" spans="1:7">
      <c r="B16" s="35"/>
    </row>
    <row r="18" spans="2:2">
      <c r="B18" s="35"/>
    </row>
    <row r="19" spans="2:2">
      <c r="B19" s="276"/>
    </row>
  </sheetData>
  <hyperlinks>
    <hyperlink ref="A4" location="Contents!A1" display="Return to Contents" xr:uid="{9F45AEC1-EE31-4308-91A1-C8AD6BA69672}"/>
  </hyperlinks>
  <pageMargins left="0.25" right="0.25" top="0.75" bottom="0.75" header="0.3" footer="0.3"/>
  <pageSetup paperSize="9" scale="67" orientation="landscape" r:id="rId1"/>
  <drawing r:id="rId2"/>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64041-2A3B-47F4-A636-47889F0CBDAC}">
  <sheetPr codeName="Sheet80">
    <tabColor rgb="FFDDE5F1"/>
  </sheetPr>
  <dimension ref="A1:O46"/>
  <sheetViews>
    <sheetView showGridLines="0" zoomScaleNormal="100" workbookViewId="0"/>
  </sheetViews>
  <sheetFormatPr defaultColWidth="9.1796875" defaultRowHeight="15.5"/>
  <cols>
    <col min="1" max="1" width="33.453125" style="81" customWidth="1"/>
    <col min="2" max="6" width="14.7265625" style="81" customWidth="1"/>
    <col min="7" max="7" width="9.1796875" style="81"/>
    <col min="8" max="13" width="9.1796875" style="81" customWidth="1"/>
    <col min="14" max="16384" width="9.1796875" style="81"/>
  </cols>
  <sheetData>
    <row r="1" spans="1:13" s="26" customFormat="1" ht="30" customHeight="1">
      <c r="A1" s="24" t="s">
        <v>778</v>
      </c>
      <c r="B1" s="24"/>
      <c r="C1" s="24"/>
      <c r="D1" s="24"/>
      <c r="E1" s="25"/>
      <c r="F1" s="25"/>
    </row>
    <row r="2" spans="1:13" ht="20.149999999999999" customHeight="1">
      <c r="A2" s="81" t="s">
        <v>236</v>
      </c>
      <c r="B2" s="82"/>
      <c r="C2" s="82"/>
      <c r="D2" s="82"/>
    </row>
    <row r="3" spans="1:13" ht="20.149999999999999" customHeight="1">
      <c r="A3" s="81" t="s">
        <v>231</v>
      </c>
      <c r="B3" s="82"/>
      <c r="C3" s="82"/>
      <c r="D3" s="82"/>
    </row>
    <row r="4" spans="1:13" s="9" customFormat="1" ht="20.149999999999999" customHeight="1">
      <c r="A4" s="15" t="s">
        <v>62</v>
      </c>
      <c r="B4" s="5"/>
      <c r="C4" s="5"/>
      <c r="D4" s="5"/>
      <c r="E4" s="5"/>
      <c r="F4" s="5"/>
    </row>
    <row r="5" spans="1:13" ht="10" customHeight="1">
      <c r="A5" s="9"/>
      <c r="B5" s="5"/>
      <c r="C5" s="5"/>
      <c r="D5" s="5"/>
      <c r="E5" s="5"/>
      <c r="F5" s="28"/>
      <c r="H5" s="7"/>
      <c r="I5" s="9"/>
      <c r="J5" s="9"/>
      <c r="K5" s="9"/>
      <c r="L5" s="9"/>
      <c r="M5" s="9"/>
    </row>
    <row r="6" spans="1:13" ht="25" customHeight="1">
      <c r="A6" s="98" t="s">
        <v>271</v>
      </c>
      <c r="B6" s="341" t="s">
        <v>620</v>
      </c>
      <c r="C6" s="341" t="s">
        <v>621</v>
      </c>
      <c r="D6" s="341" t="s">
        <v>622</v>
      </c>
      <c r="E6" s="341" t="s">
        <v>642</v>
      </c>
      <c r="F6" s="341" t="s">
        <v>839</v>
      </c>
      <c r="H6" s="106"/>
      <c r="I6" s="265"/>
      <c r="J6" s="265"/>
      <c r="K6" s="265"/>
      <c r="L6" s="265"/>
      <c r="M6" s="265"/>
    </row>
    <row r="7" spans="1:13" ht="20.149999999999999" customHeight="1">
      <c r="A7" s="9" t="s">
        <v>191</v>
      </c>
      <c r="B7" s="130">
        <v>251322</v>
      </c>
      <c r="C7" s="130">
        <v>256624</v>
      </c>
      <c r="D7" s="130">
        <v>262108</v>
      </c>
      <c r="E7" s="130">
        <v>263293</v>
      </c>
      <c r="F7" s="130">
        <v>258980</v>
      </c>
      <c r="G7" s="157"/>
      <c r="H7" s="185"/>
      <c r="I7" s="280"/>
      <c r="J7" s="171"/>
      <c r="K7" s="171"/>
      <c r="L7" s="171"/>
      <c r="M7" s="171"/>
    </row>
    <row r="8" spans="1:13" ht="20.149999999999999" customHeight="1">
      <c r="A8" s="95" t="s">
        <v>192</v>
      </c>
      <c r="B8" s="167">
        <v>154938</v>
      </c>
      <c r="C8" s="167">
        <v>159079</v>
      </c>
      <c r="D8" s="167">
        <v>167260</v>
      </c>
      <c r="E8" s="167">
        <v>173772</v>
      </c>
      <c r="F8" s="167">
        <v>179078</v>
      </c>
      <c r="G8" s="157"/>
      <c r="H8" s="185"/>
      <c r="I8" s="280"/>
      <c r="J8" s="272"/>
      <c r="K8" s="272"/>
      <c r="L8" s="272"/>
      <c r="M8" s="272"/>
    </row>
    <row r="9" spans="1:13" ht="20.149999999999999" customHeight="1">
      <c r="A9" s="9" t="s">
        <v>325</v>
      </c>
      <c r="B9" s="130">
        <v>177511</v>
      </c>
      <c r="C9" s="130">
        <v>185463</v>
      </c>
      <c r="D9" s="130">
        <v>192721</v>
      </c>
      <c r="E9" s="130">
        <v>201709</v>
      </c>
      <c r="F9" s="130">
        <v>211196</v>
      </c>
      <c r="G9" s="157"/>
      <c r="H9" s="185"/>
      <c r="I9" s="280"/>
      <c r="J9" s="171"/>
      <c r="K9" s="171"/>
      <c r="L9" s="171"/>
      <c r="M9" s="171"/>
    </row>
    <row r="10" spans="1:13" ht="20.149999999999999" customHeight="1">
      <c r="A10" s="95" t="s">
        <v>429</v>
      </c>
      <c r="B10" s="167">
        <v>29424</v>
      </c>
      <c r="C10" s="167">
        <v>30118</v>
      </c>
      <c r="D10" s="167">
        <v>30664</v>
      </c>
      <c r="E10" s="167">
        <v>31277</v>
      </c>
      <c r="F10" s="167">
        <v>31920</v>
      </c>
      <c r="G10" s="157"/>
      <c r="H10" s="185"/>
      <c r="I10" s="280"/>
      <c r="J10" s="171"/>
      <c r="K10" s="171"/>
      <c r="L10" s="171"/>
      <c r="M10" s="171"/>
    </row>
    <row r="11" spans="1:13" ht="25" customHeight="1">
      <c r="A11" s="98" t="s">
        <v>272</v>
      </c>
      <c r="B11" s="126">
        <v>613195</v>
      </c>
      <c r="C11" s="126">
        <v>631284</v>
      </c>
      <c r="D11" s="126">
        <v>652753</v>
      </c>
      <c r="E11" s="126">
        <v>670051</v>
      </c>
      <c r="F11" s="126">
        <v>681174</v>
      </c>
      <c r="H11" s="185"/>
      <c r="I11" s="357"/>
      <c r="J11" s="280"/>
      <c r="K11" s="173"/>
      <c r="L11" s="173"/>
      <c r="M11" s="261"/>
    </row>
    <row r="12" spans="1:13">
      <c r="B12" s="157"/>
      <c r="C12" s="157"/>
      <c r="D12" s="157"/>
      <c r="E12" s="157"/>
      <c r="F12" s="157"/>
    </row>
    <row r="13" spans="1:13">
      <c r="H13" s="157"/>
      <c r="I13" s="157"/>
    </row>
    <row r="14" spans="1:13">
      <c r="H14" s="157"/>
      <c r="I14" s="157"/>
    </row>
    <row r="15" spans="1:13">
      <c r="H15" s="157"/>
      <c r="I15" s="157"/>
    </row>
    <row r="16" spans="1:13">
      <c r="H16" s="157"/>
      <c r="I16" s="157"/>
    </row>
    <row r="24" spans="11:15">
      <c r="K24" s="340"/>
    </row>
    <row r="25" spans="11:15">
      <c r="K25" s="340"/>
    </row>
    <row r="26" spans="11:15">
      <c r="K26" s="340"/>
    </row>
    <row r="27" spans="11:15">
      <c r="K27" s="340"/>
    </row>
    <row r="28" spans="11:15">
      <c r="K28" s="340"/>
    </row>
    <row r="31" spans="11:15">
      <c r="K31" s="340"/>
      <c r="L31" s="340"/>
      <c r="M31" s="340"/>
      <c r="N31" s="340"/>
      <c r="O31" s="340"/>
    </row>
    <row r="38" spans="2:6">
      <c r="B38" s="157"/>
      <c r="C38" s="157"/>
      <c r="D38" s="157"/>
      <c r="E38" s="157"/>
      <c r="F38" s="157"/>
    </row>
    <row r="39" spans="2:6">
      <c r="B39" s="157"/>
      <c r="C39" s="157"/>
      <c r="D39" s="157"/>
      <c r="E39" s="157"/>
      <c r="F39" s="157"/>
    </row>
    <row r="40" spans="2:6">
      <c r="B40" s="157"/>
      <c r="C40" s="157"/>
      <c r="D40" s="157"/>
      <c r="E40" s="157"/>
      <c r="F40" s="157"/>
    </row>
    <row r="41" spans="2:6">
      <c r="B41" s="157"/>
      <c r="C41" s="157"/>
      <c r="D41" s="157"/>
      <c r="E41" s="157"/>
      <c r="F41" s="157"/>
    </row>
    <row r="42" spans="2:6">
      <c r="B42" s="157"/>
      <c r="C42" s="157"/>
      <c r="D42" s="157"/>
      <c r="E42" s="157"/>
      <c r="F42" s="157"/>
    </row>
    <row r="43" spans="2:6">
      <c r="B43" s="157"/>
      <c r="C43" s="157"/>
      <c r="D43" s="157"/>
      <c r="E43" s="157"/>
      <c r="F43" s="157"/>
    </row>
    <row r="44" spans="2:6">
      <c r="B44" s="157"/>
      <c r="C44" s="157"/>
      <c r="D44" s="157"/>
      <c r="E44" s="157"/>
      <c r="F44" s="157"/>
    </row>
    <row r="45" spans="2:6">
      <c r="B45" s="157"/>
      <c r="C45" s="157"/>
      <c r="D45" s="157"/>
      <c r="E45" s="157"/>
      <c r="F45" s="157"/>
    </row>
    <row r="46" spans="2:6">
      <c r="B46" s="157"/>
      <c r="C46" s="157"/>
      <c r="D46" s="157"/>
      <c r="E46" s="157"/>
      <c r="F46" s="157"/>
    </row>
  </sheetData>
  <hyperlinks>
    <hyperlink ref="A4" location="Contents!A1" display="Return to Contents" xr:uid="{A179F785-CE65-48EF-866A-B527FC0D5453}"/>
  </hyperlinks>
  <pageMargins left="0.7" right="0.7" top="0.75" bottom="0.75" header="0.3" footer="0.3"/>
  <pageSetup paperSize="9" orientation="portrait" horizontalDpi="90" verticalDpi="90" r:id="rId1"/>
  <drawing r:id="rId2"/>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FD238F-B115-4C6F-8A1B-EC38B56B5C26}">
  <sheetPr codeName="Sheet81">
    <tabColor rgb="FFDDE5F1"/>
    <pageSetUpPr fitToPage="1"/>
  </sheetPr>
  <dimension ref="A1:M40"/>
  <sheetViews>
    <sheetView zoomScale="90" zoomScaleNormal="90" workbookViewId="0"/>
  </sheetViews>
  <sheetFormatPr defaultColWidth="9.1796875" defaultRowHeight="15.5"/>
  <cols>
    <col min="1" max="1" width="36.54296875" style="9" customWidth="1"/>
    <col min="2" max="6" width="14.7265625" style="5" customWidth="1"/>
    <col min="7" max="7" width="9.1796875" style="9"/>
    <col min="8" max="11" width="9.1796875" style="9" customWidth="1"/>
    <col min="12" max="16384" width="9.1796875" style="9"/>
  </cols>
  <sheetData>
    <row r="1" spans="1:13" ht="30" customHeight="1">
      <c r="A1" s="23" t="s">
        <v>822</v>
      </c>
      <c r="B1" s="36"/>
      <c r="C1" s="36"/>
      <c r="D1" s="36"/>
      <c r="E1" s="36"/>
    </row>
    <row r="2" spans="1:13" ht="20.149999999999999" customHeight="1">
      <c r="A2" s="9" t="s">
        <v>236</v>
      </c>
      <c r="C2" s="36"/>
      <c r="D2" s="36"/>
      <c r="E2" s="36"/>
    </row>
    <row r="3" spans="1:13" ht="20.149999999999999" customHeight="1">
      <c r="A3" s="9" t="s">
        <v>274</v>
      </c>
      <c r="C3" s="36"/>
      <c r="D3" s="36"/>
      <c r="E3" s="36"/>
    </row>
    <row r="4" spans="1:13" ht="20.149999999999999" customHeight="1">
      <c r="A4" s="9" t="s">
        <v>231</v>
      </c>
      <c r="C4" s="36"/>
      <c r="D4" s="36"/>
      <c r="E4" s="36"/>
    </row>
    <row r="5" spans="1:13" ht="20.149999999999999" customHeight="1">
      <c r="A5" s="15" t="s">
        <v>62</v>
      </c>
    </row>
    <row r="6" spans="1:13" ht="10" customHeight="1"/>
    <row r="7" spans="1:13" ht="25" customHeight="1">
      <c r="A7" s="98" t="s">
        <v>273</v>
      </c>
      <c r="B7" s="96" t="s">
        <v>188</v>
      </c>
      <c r="C7" s="96" t="s">
        <v>424</v>
      </c>
      <c r="D7" s="96" t="s">
        <v>600</v>
      </c>
      <c r="E7" s="96" t="s">
        <v>636</v>
      </c>
      <c r="F7" s="96" t="s">
        <v>838</v>
      </c>
      <c r="G7" s="18"/>
      <c r="H7" s="106"/>
      <c r="I7" s="265"/>
      <c r="J7" s="265"/>
      <c r="K7" s="265"/>
      <c r="L7" s="265"/>
      <c r="M7" s="265"/>
    </row>
    <row r="8" spans="1:13" ht="20.149999999999999" customHeight="1">
      <c r="A8" s="9" t="s">
        <v>243</v>
      </c>
      <c r="B8" s="130">
        <v>335.46557984999998</v>
      </c>
      <c r="C8" s="130">
        <v>354.75398018999999</v>
      </c>
      <c r="D8" s="130">
        <v>379.40800000000002</v>
      </c>
      <c r="E8" s="130">
        <v>413.33531069999998</v>
      </c>
      <c r="F8" s="130">
        <v>419.07389535999999</v>
      </c>
      <c r="H8" s="182"/>
      <c r="I8" s="426"/>
      <c r="J8" s="427"/>
      <c r="K8" s="171"/>
      <c r="L8" s="171"/>
      <c r="M8" s="263"/>
    </row>
    <row r="9" spans="1:13" ht="20.149999999999999" customHeight="1">
      <c r="A9" s="202" t="s">
        <v>244</v>
      </c>
      <c r="B9" s="167">
        <v>1144.1794642499999</v>
      </c>
      <c r="C9" s="167">
        <v>1212.09689409</v>
      </c>
      <c r="D9" s="167">
        <v>1267.26523608</v>
      </c>
      <c r="E9" s="167">
        <v>1398.62676588</v>
      </c>
      <c r="F9" s="167">
        <v>933.84213439999996</v>
      </c>
      <c r="H9" s="182"/>
      <c r="I9" s="426"/>
      <c r="J9" s="427"/>
      <c r="K9" s="334"/>
      <c r="L9" s="334"/>
      <c r="M9" s="263"/>
    </row>
    <row r="10" spans="1:13" s="2" customFormat="1" ht="25" customHeight="1">
      <c r="A10" s="98" t="s">
        <v>291</v>
      </c>
      <c r="B10" s="126">
        <v>1479.6450441</v>
      </c>
      <c r="C10" s="126">
        <v>1566.85087428</v>
      </c>
      <c r="D10" s="126">
        <v>1646.6732360799999</v>
      </c>
      <c r="E10" s="126">
        <v>1811.96207658</v>
      </c>
      <c r="F10" s="126">
        <v>1352.9160297599999</v>
      </c>
      <c r="G10" s="260"/>
      <c r="H10" s="182"/>
      <c r="I10" s="426"/>
      <c r="J10" s="427"/>
      <c r="K10" s="261"/>
      <c r="L10" s="173"/>
      <c r="M10" s="261"/>
    </row>
    <row r="11" spans="1:13">
      <c r="B11" s="276"/>
      <c r="C11" s="276"/>
      <c r="D11" s="276"/>
      <c r="E11" s="276"/>
      <c r="F11" s="276"/>
      <c r="H11" s="48"/>
    </row>
    <row r="37" spans="2:6">
      <c r="B37" s="276"/>
      <c r="C37" s="276"/>
      <c r="D37" s="276"/>
      <c r="E37" s="276"/>
      <c r="F37" s="276"/>
    </row>
    <row r="40" spans="2:6">
      <c r="B40" s="67"/>
      <c r="C40" s="67"/>
      <c r="D40" s="67"/>
      <c r="E40" s="67"/>
      <c r="F40" s="67"/>
    </row>
  </sheetData>
  <hyperlinks>
    <hyperlink ref="A5" location="Contents!A1" display="Return to Contents" xr:uid="{FF133F02-1796-4CC7-BB9D-9E6315EEE9EC}"/>
  </hyperlinks>
  <pageMargins left="0.25" right="0.25" top="0.75" bottom="0.75" header="0.3" footer="0.3"/>
  <pageSetup paperSize="9" scale="71" orientation="landscape" r:id="rId1"/>
  <drawing r:id="rId2"/>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F0875-25BC-4D2B-9F5D-FED0C09ABCD6}">
  <sheetPr codeName="Sheet82">
    <tabColor rgb="FFDDE5F1"/>
    <pageSetUpPr fitToPage="1"/>
  </sheetPr>
  <dimension ref="A1:M15"/>
  <sheetViews>
    <sheetView zoomScale="80" zoomScaleNormal="80" workbookViewId="0"/>
  </sheetViews>
  <sheetFormatPr defaultColWidth="9.1796875" defaultRowHeight="15.5"/>
  <cols>
    <col min="1" max="1" width="32.1796875" style="9" customWidth="1"/>
    <col min="2" max="6" width="14.7265625" style="5" customWidth="1"/>
    <col min="7" max="7" width="9.1796875" style="9"/>
    <col min="8" max="13" width="9.1796875" style="9" customWidth="1"/>
    <col min="14" max="16384" width="9.1796875" style="9"/>
  </cols>
  <sheetData>
    <row r="1" spans="1:13" ht="30" customHeight="1">
      <c r="A1" s="23" t="s">
        <v>823</v>
      </c>
      <c r="B1" s="36"/>
      <c r="C1" s="36"/>
    </row>
    <row r="2" spans="1:13" ht="20.149999999999999" customHeight="1">
      <c r="A2" s="9" t="s">
        <v>236</v>
      </c>
      <c r="C2" s="36"/>
    </row>
    <row r="3" spans="1:13" ht="20.149999999999999" customHeight="1">
      <c r="A3" s="9" t="s">
        <v>430</v>
      </c>
      <c r="C3" s="36"/>
    </row>
    <row r="4" spans="1:13" ht="20.149999999999999" customHeight="1">
      <c r="A4" s="9" t="s">
        <v>231</v>
      </c>
      <c r="C4" s="36"/>
    </row>
    <row r="5" spans="1:13" ht="20.149999999999999" customHeight="1">
      <c r="A5" s="15" t="s">
        <v>62</v>
      </c>
    </row>
    <row r="6" spans="1:13" ht="10" customHeight="1">
      <c r="F6" s="28"/>
      <c r="G6" s="7"/>
      <c r="H6" s="7"/>
    </row>
    <row r="7" spans="1:13" ht="25" customHeight="1">
      <c r="A7" s="98" t="s">
        <v>289</v>
      </c>
      <c r="B7" s="96" t="s">
        <v>188</v>
      </c>
      <c r="C7" s="96" t="s">
        <v>424</v>
      </c>
      <c r="D7" s="96" t="s">
        <v>600</v>
      </c>
      <c r="E7" s="96" t="s">
        <v>636</v>
      </c>
      <c r="F7" s="96" t="s">
        <v>838</v>
      </c>
      <c r="G7" s="18"/>
      <c r="H7" s="106"/>
      <c r="I7" s="265"/>
      <c r="J7" s="265"/>
      <c r="K7" s="265"/>
      <c r="L7" s="265"/>
      <c r="M7" s="265"/>
    </row>
    <row r="8" spans="1:13" ht="20.149999999999999" customHeight="1">
      <c r="A8" s="9" t="s">
        <v>111</v>
      </c>
      <c r="B8" s="130">
        <v>1185.3910125899999</v>
      </c>
      <c r="C8" s="130">
        <v>1215.5909999999999</v>
      </c>
      <c r="D8" s="130">
        <v>1292.6489999999999</v>
      </c>
      <c r="E8" s="130">
        <v>1438.46112911</v>
      </c>
      <c r="F8" s="130">
        <v>1590.2929999999999</v>
      </c>
      <c r="H8" s="404"/>
      <c r="I8" s="405"/>
      <c r="J8" s="171"/>
      <c r="K8" s="171"/>
      <c r="L8" s="171"/>
      <c r="M8" s="171"/>
    </row>
    <row r="9" spans="1:13" ht="20.149999999999999" customHeight="1">
      <c r="A9" s="95" t="s">
        <v>112</v>
      </c>
      <c r="B9" s="167">
        <v>300.59897171</v>
      </c>
      <c r="C9" s="167">
        <v>350.60314786999999</v>
      </c>
      <c r="D9" s="167">
        <v>372.69914394</v>
      </c>
      <c r="E9" s="167">
        <v>446.53592166999999</v>
      </c>
      <c r="F9" s="167">
        <v>514.19852118999995</v>
      </c>
      <c r="H9" s="404"/>
      <c r="I9" s="405"/>
      <c r="J9" s="171"/>
      <c r="K9" s="171"/>
      <c r="L9" s="171"/>
      <c r="M9" s="171"/>
    </row>
    <row r="10" spans="1:13" ht="20.149999999999999" customHeight="1">
      <c r="A10" s="9" t="s">
        <v>193</v>
      </c>
      <c r="B10" s="273">
        <v>0.371</v>
      </c>
      <c r="C10" s="130">
        <v>0</v>
      </c>
      <c r="D10" s="130">
        <v>0</v>
      </c>
      <c r="E10" s="130">
        <v>0</v>
      </c>
      <c r="F10" s="130">
        <v>0</v>
      </c>
      <c r="H10" s="404"/>
      <c r="I10" s="405"/>
      <c r="J10" s="171"/>
      <c r="K10" s="171"/>
      <c r="L10" s="171"/>
      <c r="M10" s="171"/>
    </row>
    <row r="11" spans="1:13" s="2" customFormat="1" ht="25" customHeight="1">
      <c r="A11" s="98" t="s">
        <v>290</v>
      </c>
      <c r="B11" s="126">
        <v>1486.3609842999999</v>
      </c>
      <c r="C11" s="126">
        <v>1566.1941478700001</v>
      </c>
      <c r="D11" s="126">
        <v>1665.34814394</v>
      </c>
      <c r="E11" s="126">
        <v>1884.9970507800001</v>
      </c>
      <c r="F11" s="126">
        <v>2104.4915211900002</v>
      </c>
      <c r="G11" s="260"/>
      <c r="H11" s="404"/>
      <c r="I11" s="405"/>
      <c r="J11" s="261"/>
      <c r="K11" s="173"/>
      <c r="L11" s="173"/>
      <c r="M11" s="173"/>
    </row>
    <row r="12" spans="1:13" s="5" customFormat="1">
      <c r="A12" s="19"/>
      <c r="C12" s="9"/>
      <c r="D12" s="9"/>
      <c r="E12" s="9"/>
      <c r="F12" s="9"/>
    </row>
    <row r="13" spans="1:13">
      <c r="A13" s="19"/>
      <c r="C13" s="9"/>
      <c r="D13" s="9"/>
      <c r="E13" s="9"/>
      <c r="F13" s="51"/>
    </row>
    <row r="14" spans="1:13">
      <c r="A14" s="19"/>
      <c r="C14" s="9"/>
      <c r="D14" s="9"/>
      <c r="E14" s="9"/>
      <c r="F14" s="9"/>
    </row>
    <row r="15" spans="1:13">
      <c r="A15" s="19"/>
      <c r="C15" s="9"/>
      <c r="D15" s="9"/>
      <c r="E15" s="9"/>
      <c r="F15" s="9"/>
    </row>
  </sheetData>
  <hyperlinks>
    <hyperlink ref="A5" location="Contents!A1" display="Return to Contents" xr:uid="{0FF806EC-CA3F-4A9E-AEA0-C91B79E9F1FE}"/>
  </hyperlinks>
  <pageMargins left="0.25" right="0.25" top="0.75" bottom="0.75" header="0.3" footer="0.3"/>
  <pageSetup paperSize="9" scale="67" orientation="landscape" r:id="rId1"/>
  <drawing r:id="rId2"/>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6BA79-283C-4650-8976-AB996FFE5E06}">
  <sheetPr codeName="Sheet83">
    <tabColor rgb="FFDDE5F1"/>
  </sheetPr>
  <dimension ref="A1:P15"/>
  <sheetViews>
    <sheetView showGridLines="0" topLeftCell="A5" zoomScale="90" zoomScaleNormal="90" workbookViewId="0"/>
  </sheetViews>
  <sheetFormatPr defaultColWidth="9.1796875" defaultRowHeight="15.5"/>
  <cols>
    <col min="1" max="1" width="64.453125" style="81" customWidth="1"/>
    <col min="2" max="6" width="14.7265625" style="81" customWidth="1"/>
    <col min="7" max="7" width="9.1796875" style="81"/>
    <col min="8" max="13" width="9.1796875" style="81" customWidth="1"/>
    <col min="14" max="16384" width="9.1796875" style="81"/>
  </cols>
  <sheetData>
    <row r="1" spans="1:16" ht="30" customHeight="1">
      <c r="A1" s="23" t="s">
        <v>824</v>
      </c>
      <c r="B1" s="36"/>
    </row>
    <row r="2" spans="1:16" ht="20.149999999999999" customHeight="1">
      <c r="A2" s="9" t="s">
        <v>236</v>
      </c>
      <c r="B2" s="5"/>
    </row>
    <row r="3" spans="1:16" s="9" customFormat="1" ht="20.149999999999999" customHeight="1">
      <c r="A3" s="9" t="s">
        <v>327</v>
      </c>
      <c r="B3" s="5"/>
      <c r="C3" s="36"/>
      <c r="D3" s="5"/>
      <c r="E3" s="5"/>
      <c r="F3" s="5"/>
    </row>
    <row r="4" spans="1:16" s="9" customFormat="1" ht="20.149999999999999" customHeight="1">
      <c r="A4" s="127" t="s">
        <v>431</v>
      </c>
      <c r="B4" s="5"/>
      <c r="C4" s="36"/>
      <c r="D4" s="5"/>
      <c r="E4" s="5"/>
      <c r="F4" s="5"/>
    </row>
    <row r="5" spans="1:16" s="53" customFormat="1" ht="20.149999999999999" customHeight="1">
      <c r="A5" s="127" t="s">
        <v>434</v>
      </c>
      <c r="B5" s="5"/>
    </row>
    <row r="6" spans="1:16" ht="20.149999999999999" customHeight="1">
      <c r="A6" s="287" t="s">
        <v>435</v>
      </c>
      <c r="B6" s="5"/>
    </row>
    <row r="7" spans="1:16" ht="20.149999999999999" customHeight="1">
      <c r="A7" s="9" t="s">
        <v>231</v>
      </c>
      <c r="B7" s="5"/>
    </row>
    <row r="8" spans="1:16" s="9" customFormat="1" ht="20.149999999999999" customHeight="1">
      <c r="A8" s="15" t="s">
        <v>62</v>
      </c>
      <c r="B8" s="5"/>
      <c r="C8" s="5"/>
      <c r="D8" s="5"/>
      <c r="E8" s="5"/>
      <c r="F8" s="5"/>
      <c r="J8" s="81"/>
      <c r="K8" s="81"/>
      <c r="L8" s="81"/>
      <c r="M8" s="81"/>
      <c r="N8" s="81"/>
      <c r="O8" s="81"/>
      <c r="P8" s="81"/>
    </row>
    <row r="9" spans="1:16" ht="10" customHeight="1">
      <c r="A9" s="9"/>
      <c r="B9" s="5"/>
      <c r="C9" s="5"/>
      <c r="D9" s="5"/>
      <c r="E9" s="5"/>
      <c r="F9" s="28"/>
      <c r="H9" s="7"/>
      <c r="I9" s="9"/>
      <c r="J9" s="9"/>
      <c r="K9" s="9"/>
      <c r="L9" s="9"/>
      <c r="M9" s="9"/>
    </row>
    <row r="10" spans="1:16" ht="25" customHeight="1">
      <c r="A10" s="98" t="s">
        <v>249</v>
      </c>
      <c r="B10" s="96" t="s">
        <v>188</v>
      </c>
      <c r="C10" s="96" t="s">
        <v>424</v>
      </c>
      <c r="D10" s="96" t="s">
        <v>600</v>
      </c>
      <c r="E10" s="96" t="s">
        <v>636</v>
      </c>
      <c r="F10" s="96" t="s">
        <v>838</v>
      </c>
      <c r="H10" s="106"/>
      <c r="I10" s="265"/>
      <c r="J10" s="265"/>
      <c r="K10" s="265"/>
      <c r="L10" s="265"/>
      <c r="M10" s="265"/>
    </row>
    <row r="11" spans="1:16" ht="20.149999999999999" customHeight="1">
      <c r="A11" s="9" t="s">
        <v>194</v>
      </c>
      <c r="B11" s="130">
        <v>821.80399999999997</v>
      </c>
      <c r="C11" s="130">
        <v>984.29892055000005</v>
      </c>
      <c r="D11" s="130">
        <v>1129.35539963</v>
      </c>
      <c r="E11" s="130">
        <v>1230.10345977</v>
      </c>
      <c r="F11" s="130">
        <v>1292.5192638799999</v>
      </c>
      <c r="H11" s="107"/>
      <c r="I11" s="406"/>
      <c r="J11" s="171"/>
      <c r="K11" s="171"/>
      <c r="L11" s="263"/>
      <c r="M11" s="263"/>
    </row>
    <row r="12" spans="1:16" ht="20.149999999999999" customHeight="1">
      <c r="A12" s="95" t="s">
        <v>436</v>
      </c>
      <c r="B12" s="167">
        <v>11167.674999999999</v>
      </c>
      <c r="C12" s="167">
        <v>3521.4542980599999</v>
      </c>
      <c r="D12" s="167">
        <v>-2159.6972368400002</v>
      </c>
      <c r="E12" s="167">
        <v>4676.1640338069301</v>
      </c>
      <c r="F12" s="167">
        <v>1146.1500000000001</v>
      </c>
      <c r="H12" s="107"/>
      <c r="I12" s="406"/>
      <c r="J12" s="171"/>
      <c r="K12" s="171"/>
      <c r="L12" s="263"/>
      <c r="M12" s="263"/>
    </row>
    <row r="13" spans="1:16" ht="20.149999999999999" customHeight="1">
      <c r="A13" s="7" t="s">
        <v>618</v>
      </c>
      <c r="B13" s="130">
        <v>-12.297000000000001</v>
      </c>
      <c r="C13" s="130">
        <v>-18.480190329999999</v>
      </c>
      <c r="D13" s="130">
        <v>-23.281046150000002</v>
      </c>
      <c r="E13" s="130">
        <v>-15.39480816</v>
      </c>
      <c r="F13" s="130">
        <v>-17.106804669999999</v>
      </c>
      <c r="H13" s="107"/>
      <c r="I13" s="406"/>
      <c r="J13" s="171"/>
      <c r="K13" s="171"/>
      <c r="L13" s="171"/>
      <c r="M13" s="263"/>
    </row>
    <row r="14" spans="1:16" ht="20.149999999999999" customHeight="1">
      <c r="A14" s="95" t="s">
        <v>437</v>
      </c>
      <c r="B14" s="167">
        <v>0</v>
      </c>
      <c r="C14" s="167">
        <v>0</v>
      </c>
      <c r="D14" s="167">
        <v>0</v>
      </c>
      <c r="E14" s="167">
        <v>7.5502879800000002</v>
      </c>
      <c r="F14" s="167">
        <v>0</v>
      </c>
      <c r="H14" s="107"/>
      <c r="I14" s="406"/>
      <c r="J14" s="171"/>
      <c r="K14" s="171"/>
      <c r="L14" s="263"/>
      <c r="M14" s="263"/>
    </row>
    <row r="15" spans="1:16" ht="25" customHeight="1">
      <c r="A15" s="98" t="s">
        <v>292</v>
      </c>
      <c r="B15" s="126">
        <v>11977.182000000001</v>
      </c>
      <c r="C15" s="126">
        <v>4487.2730282800003</v>
      </c>
      <c r="D15" s="126">
        <v>-1053.6228833600001</v>
      </c>
      <c r="E15" s="126">
        <v>5898.4229733969296</v>
      </c>
      <c r="F15" s="126">
        <v>2421.5624592099998</v>
      </c>
      <c r="H15" s="185"/>
      <c r="I15" s="406"/>
      <c r="J15" s="173"/>
      <c r="K15" s="173"/>
      <c r="L15" s="173"/>
      <c r="M15" s="261"/>
    </row>
  </sheetData>
  <hyperlinks>
    <hyperlink ref="A8" location="Contents!A1" display="Return to Contents" xr:uid="{3C692E66-ADF4-4B86-9413-30B1CF4D40A4}"/>
  </hyperlinks>
  <pageMargins left="0.7" right="0.7" top="0.75" bottom="0.75" header="0.3" footer="0.3"/>
  <pageSetup paperSize="9" orientation="portrait" horizontalDpi="90" verticalDpi="90" r:id="rId1"/>
  <drawing r:id="rId2"/>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4385E-D13A-4614-8B7D-8497B7E4401A}">
  <sheetPr codeName="Sheet37">
    <tabColor rgb="FFDDE5F1"/>
  </sheetPr>
  <dimension ref="A1:I54"/>
  <sheetViews>
    <sheetView zoomScaleNormal="100" workbookViewId="0">
      <selection activeCell="C42" sqref="C42"/>
    </sheetView>
  </sheetViews>
  <sheetFormatPr defaultRowHeight="14.5"/>
  <cols>
    <col min="1" max="1" width="26.81640625" customWidth="1"/>
    <col min="2" max="2" width="14.1796875" customWidth="1"/>
    <col min="3" max="4" width="14.1796875" style="414" customWidth="1"/>
    <col min="5" max="5" width="14.1796875" customWidth="1"/>
    <col min="7" max="7" width="18.54296875" customWidth="1"/>
    <col min="8" max="9" width="16.26953125" customWidth="1"/>
    <col min="11" max="11" width="11.54296875" customWidth="1"/>
    <col min="12" max="12" width="14.81640625" customWidth="1"/>
    <col min="13" max="13" width="14.453125" customWidth="1"/>
    <col min="15" max="15" width="17.54296875" customWidth="1"/>
  </cols>
  <sheetData>
    <row r="1" spans="1:6" ht="18">
      <c r="A1" s="23" t="s">
        <v>832</v>
      </c>
    </row>
    <row r="2" spans="1:6" ht="15.5">
      <c r="A2" s="9" t="s">
        <v>236</v>
      </c>
    </row>
    <row r="3" spans="1:6" ht="15.5">
      <c r="A3" s="9"/>
    </row>
    <row r="4" spans="1:6" ht="15.5">
      <c r="A4" s="9" t="s">
        <v>833</v>
      </c>
    </row>
    <row r="5" spans="1:6" ht="15.5">
      <c r="A5" s="15" t="s">
        <v>62</v>
      </c>
    </row>
    <row r="7" spans="1:6" ht="46.5">
      <c r="A7" s="342" t="s">
        <v>623</v>
      </c>
      <c r="B7" s="343" t="s">
        <v>624</v>
      </c>
      <c r="C7" s="415" t="s">
        <v>643</v>
      </c>
      <c r="D7" s="415" t="s">
        <v>644</v>
      </c>
      <c r="E7" s="343" t="s">
        <v>625</v>
      </c>
      <c r="F7" s="344"/>
    </row>
    <row r="8" spans="1:6" ht="15.5">
      <c r="A8" s="7" t="s">
        <v>6</v>
      </c>
      <c r="B8" s="408">
        <v>-260849</v>
      </c>
      <c r="C8" s="416">
        <v>0</v>
      </c>
      <c r="D8" s="416">
        <v>0</v>
      </c>
      <c r="E8" s="409">
        <v>-260849</v>
      </c>
      <c r="F8" s="130"/>
    </row>
    <row r="9" spans="1:6" ht="15.5">
      <c r="A9" s="345" t="s">
        <v>7</v>
      </c>
      <c r="B9" s="410">
        <v>-470833</v>
      </c>
      <c r="C9" s="417">
        <v>0</v>
      </c>
      <c r="D9" s="417">
        <v>0</v>
      </c>
      <c r="E9" s="411">
        <v>-470833</v>
      </c>
      <c r="F9" s="130"/>
    </row>
    <row r="10" spans="1:6" ht="15.5">
      <c r="A10" s="7" t="s">
        <v>8</v>
      </c>
      <c r="B10" s="408">
        <v>-250286</v>
      </c>
      <c r="C10" s="416">
        <v>0</v>
      </c>
      <c r="D10" s="416">
        <v>0</v>
      </c>
      <c r="E10" s="409">
        <v>-250286</v>
      </c>
      <c r="F10" s="130"/>
    </row>
    <row r="11" spans="1:6" ht="15.5">
      <c r="A11" s="345" t="s">
        <v>127</v>
      </c>
      <c r="B11" s="410">
        <v>-210601</v>
      </c>
      <c r="C11" s="417">
        <v>0</v>
      </c>
      <c r="D11" s="417">
        <v>0</v>
      </c>
      <c r="E11" s="411">
        <v>-210601</v>
      </c>
      <c r="F11" s="130"/>
    </row>
    <row r="12" spans="1:6" ht="15.5">
      <c r="A12" s="345" t="s">
        <v>113</v>
      </c>
      <c r="B12" s="410">
        <v>-629278</v>
      </c>
      <c r="C12" s="417">
        <v>0</v>
      </c>
      <c r="D12" s="417">
        <v>0</v>
      </c>
      <c r="E12" s="411">
        <v>-629278</v>
      </c>
      <c r="F12" s="130"/>
    </row>
    <row r="13" spans="1:6" ht="15.5">
      <c r="A13" s="7" t="s">
        <v>9</v>
      </c>
      <c r="B13" s="408">
        <v>-110337</v>
      </c>
      <c r="C13" s="416">
        <v>0</v>
      </c>
      <c r="D13" s="416">
        <v>0</v>
      </c>
      <c r="E13" s="409">
        <v>-110337</v>
      </c>
      <c r="F13" s="130"/>
    </row>
    <row r="14" spans="1:6" ht="15.5">
      <c r="A14" s="7" t="s">
        <v>10</v>
      </c>
      <c r="B14" s="408">
        <v>-323774</v>
      </c>
      <c r="C14" s="416">
        <v>0</v>
      </c>
      <c r="D14" s="416">
        <v>0</v>
      </c>
      <c r="E14" s="409">
        <v>-323774</v>
      </c>
      <c r="F14" s="130"/>
    </row>
    <row r="15" spans="1:6" ht="15.5">
      <c r="A15" s="345" t="s">
        <v>11</v>
      </c>
      <c r="B15" s="410">
        <v>-319630</v>
      </c>
      <c r="C15" s="417">
        <v>0</v>
      </c>
      <c r="D15" s="417">
        <v>0</v>
      </c>
      <c r="E15" s="411">
        <v>-319630</v>
      </c>
      <c r="F15" s="130"/>
    </row>
    <row r="16" spans="1:6" ht="15.5">
      <c r="A16" s="7" t="s">
        <v>12</v>
      </c>
      <c r="B16" s="408">
        <v>-283947</v>
      </c>
      <c r="C16" s="416">
        <v>0</v>
      </c>
      <c r="D16" s="416">
        <v>0</v>
      </c>
      <c r="E16" s="409">
        <v>-283947</v>
      </c>
      <c r="F16" s="130"/>
    </row>
    <row r="17" spans="1:6" ht="15.5">
      <c r="A17" s="345" t="s">
        <v>13</v>
      </c>
      <c r="B17" s="410">
        <v>-239661</v>
      </c>
      <c r="C17" s="417">
        <v>0</v>
      </c>
      <c r="D17" s="417">
        <v>0</v>
      </c>
      <c r="E17" s="411">
        <v>-239661</v>
      </c>
      <c r="F17" s="130"/>
    </row>
    <row r="18" spans="1:6" ht="15.5">
      <c r="A18" s="7" t="s">
        <v>14</v>
      </c>
      <c r="B18" s="408">
        <v>-190641</v>
      </c>
      <c r="C18" s="416">
        <v>0</v>
      </c>
      <c r="D18" s="416">
        <v>0</v>
      </c>
      <c r="E18" s="409">
        <v>-190641</v>
      </c>
      <c r="F18" s="130"/>
    </row>
    <row r="19" spans="1:6" ht="15.5">
      <c r="A19" s="345" t="s">
        <v>15</v>
      </c>
      <c r="B19" s="410">
        <v>-238033</v>
      </c>
      <c r="C19" s="417">
        <v>0</v>
      </c>
      <c r="D19" s="417">
        <v>0</v>
      </c>
      <c r="E19" s="411">
        <v>-238033</v>
      </c>
      <c r="F19" s="130"/>
    </row>
    <row r="20" spans="1:6" ht="15.5">
      <c r="A20" s="7" t="s">
        <v>17</v>
      </c>
      <c r="B20" s="408">
        <v>-311948</v>
      </c>
      <c r="C20" s="416">
        <v>0</v>
      </c>
      <c r="D20" s="416">
        <v>0</v>
      </c>
      <c r="E20" s="409">
        <v>-311948</v>
      </c>
      <c r="F20" s="130"/>
    </row>
    <row r="21" spans="1:6" ht="15.5">
      <c r="A21" s="345" t="s">
        <v>18</v>
      </c>
      <c r="B21" s="410">
        <v>-749610</v>
      </c>
      <c r="C21" s="417">
        <v>0</v>
      </c>
      <c r="D21" s="417">
        <v>0</v>
      </c>
      <c r="E21" s="411">
        <v>-749610</v>
      </c>
      <c r="F21" s="130"/>
    </row>
    <row r="22" spans="1:6" ht="15.5">
      <c r="A22" s="7" t="s">
        <v>19</v>
      </c>
      <c r="B22" s="408">
        <v>-1266540</v>
      </c>
      <c r="C22" s="416">
        <v>0</v>
      </c>
      <c r="D22" s="416">
        <v>0</v>
      </c>
      <c r="E22" s="409">
        <v>-1266540</v>
      </c>
      <c r="F22" s="130"/>
    </row>
    <row r="23" spans="1:6" ht="15.5">
      <c r="A23" s="345" t="s">
        <v>20</v>
      </c>
      <c r="B23" s="410">
        <v>-444825</v>
      </c>
      <c r="C23" s="417">
        <v>0</v>
      </c>
      <c r="D23" s="417">
        <v>0</v>
      </c>
      <c r="E23" s="411">
        <v>-444825</v>
      </c>
      <c r="F23" s="130"/>
    </row>
    <row r="24" spans="1:6" ht="15.5">
      <c r="A24" s="7" t="s">
        <v>21</v>
      </c>
      <c r="B24" s="408">
        <v>-194963</v>
      </c>
      <c r="C24" s="416">
        <v>0</v>
      </c>
      <c r="D24" s="416">
        <v>0</v>
      </c>
      <c r="E24" s="409">
        <v>-194963</v>
      </c>
      <c r="F24" s="130"/>
    </row>
    <row r="25" spans="1:6" ht="15.5">
      <c r="A25" s="345" t="s">
        <v>22</v>
      </c>
      <c r="B25" s="410">
        <v>-195020</v>
      </c>
      <c r="C25" s="417">
        <v>0</v>
      </c>
      <c r="D25" s="417">
        <v>0</v>
      </c>
      <c r="E25" s="411">
        <v>-195020</v>
      </c>
      <c r="F25" s="130"/>
    </row>
    <row r="26" spans="1:6" ht="15.5">
      <c r="A26" s="7" t="s">
        <v>23</v>
      </c>
      <c r="B26" s="408">
        <v>-158434</v>
      </c>
      <c r="C26" s="416">
        <v>0</v>
      </c>
      <c r="D26" s="416">
        <v>0</v>
      </c>
      <c r="E26" s="409">
        <v>-158434</v>
      </c>
      <c r="F26" s="130"/>
    </row>
    <row r="27" spans="1:6" ht="15.5">
      <c r="A27" s="345" t="s">
        <v>114</v>
      </c>
      <c r="B27" s="410">
        <v>-106198</v>
      </c>
      <c r="C27" s="417">
        <v>0</v>
      </c>
      <c r="D27" s="417">
        <v>0</v>
      </c>
      <c r="E27" s="411">
        <v>-106198</v>
      </c>
      <c r="F27" s="130"/>
    </row>
    <row r="28" spans="1:6" ht="15.5">
      <c r="A28" s="7" t="s">
        <v>24</v>
      </c>
      <c r="B28" s="408">
        <v>-326134</v>
      </c>
      <c r="C28" s="416">
        <v>0</v>
      </c>
      <c r="D28" s="416">
        <v>0</v>
      </c>
      <c r="E28" s="409">
        <v>-326134</v>
      </c>
      <c r="F28" s="130"/>
    </row>
    <row r="29" spans="1:6" ht="15.5">
      <c r="A29" s="345" t="s">
        <v>25</v>
      </c>
      <c r="B29" s="410">
        <v>-713714</v>
      </c>
      <c r="C29" s="417">
        <v>0</v>
      </c>
      <c r="D29" s="417">
        <v>0</v>
      </c>
      <c r="E29" s="411">
        <v>-713714</v>
      </c>
      <c r="F29" s="130"/>
    </row>
    <row r="30" spans="1:6" ht="15.5">
      <c r="A30" s="7" t="s">
        <v>26</v>
      </c>
      <c r="B30" s="408">
        <v>-72194</v>
      </c>
      <c r="C30" s="416">
        <v>0</v>
      </c>
      <c r="D30" s="416">
        <v>0</v>
      </c>
      <c r="E30" s="409">
        <v>-72194</v>
      </c>
      <c r="F30" s="130"/>
    </row>
    <row r="31" spans="1:6" ht="15.5">
      <c r="A31" s="345" t="s">
        <v>27</v>
      </c>
      <c r="B31" s="410">
        <v>-291146</v>
      </c>
      <c r="C31" s="417">
        <v>0</v>
      </c>
      <c r="D31" s="417">
        <v>0</v>
      </c>
      <c r="E31" s="411">
        <v>-291146</v>
      </c>
      <c r="F31" s="130"/>
    </row>
    <row r="32" spans="1:6" ht="15.5">
      <c r="A32" s="7" t="s">
        <v>16</v>
      </c>
      <c r="B32" s="408">
        <v>-330084</v>
      </c>
      <c r="C32" s="416">
        <v>0</v>
      </c>
      <c r="D32" s="416">
        <v>0</v>
      </c>
      <c r="E32" s="409">
        <v>-330084</v>
      </c>
      <c r="F32" s="130"/>
    </row>
    <row r="33" spans="1:9" ht="15.5">
      <c r="A33" s="345" t="s">
        <v>28</v>
      </c>
      <c r="B33" s="410">
        <v>-245383</v>
      </c>
      <c r="C33" s="417">
        <v>0</v>
      </c>
      <c r="D33" s="417">
        <v>0</v>
      </c>
      <c r="E33" s="411">
        <v>-245383</v>
      </c>
      <c r="F33" s="130"/>
    </row>
    <row r="34" spans="1:9" ht="15.5">
      <c r="A34" s="7" t="s">
        <v>29</v>
      </c>
      <c r="B34" s="408">
        <v>-66037</v>
      </c>
      <c r="C34" s="416">
        <v>0</v>
      </c>
      <c r="D34" s="416">
        <v>0</v>
      </c>
      <c r="E34" s="409">
        <v>-66037</v>
      </c>
      <c r="F34" s="130"/>
    </row>
    <row r="35" spans="1:9" ht="15.5">
      <c r="A35" s="345" t="s">
        <v>30</v>
      </c>
      <c r="B35" s="410">
        <v>-238062</v>
      </c>
      <c r="C35" s="417">
        <v>0</v>
      </c>
      <c r="D35" s="417">
        <v>0</v>
      </c>
      <c r="E35" s="411">
        <v>-238062</v>
      </c>
      <c r="F35" s="130"/>
    </row>
    <row r="36" spans="1:9" ht="15.5">
      <c r="A36" s="7" t="s">
        <v>31</v>
      </c>
      <c r="B36" s="408">
        <v>-411592</v>
      </c>
      <c r="C36" s="416">
        <v>0</v>
      </c>
      <c r="D36" s="416">
        <v>0</v>
      </c>
      <c r="E36" s="409">
        <v>-411592</v>
      </c>
      <c r="F36" s="130"/>
    </row>
    <row r="37" spans="1:9" ht="15.5">
      <c r="A37" s="345" t="s">
        <v>32</v>
      </c>
      <c r="B37" s="410">
        <v>-182434</v>
      </c>
      <c r="C37" s="417">
        <v>0</v>
      </c>
      <c r="D37" s="417">
        <v>0</v>
      </c>
      <c r="E37" s="411">
        <v>-182434</v>
      </c>
      <c r="F37" s="130"/>
    </row>
    <row r="38" spans="1:9" ht="15.5">
      <c r="A38" s="7" t="s">
        <v>33</v>
      </c>
      <c r="B38" s="408">
        <v>-161736</v>
      </c>
      <c r="C38" s="416">
        <v>0</v>
      </c>
      <c r="D38" s="416">
        <v>0</v>
      </c>
      <c r="E38" s="409">
        <v>-161736</v>
      </c>
      <c r="F38" s="130"/>
    </row>
    <row r="39" spans="1:9" ht="16" thickBot="1">
      <c r="A39" s="346" t="s">
        <v>34</v>
      </c>
      <c r="B39" s="412">
        <v>-349430</v>
      </c>
      <c r="C39" s="418">
        <v>0</v>
      </c>
      <c r="D39" s="418">
        <v>0</v>
      </c>
      <c r="E39" s="413">
        <v>-349430</v>
      </c>
      <c r="F39" s="130"/>
    </row>
    <row r="40" spans="1:9" ht="15.5">
      <c r="A40" s="7"/>
      <c r="B40" s="409">
        <v>-10343354</v>
      </c>
      <c r="C40" s="419">
        <v>0</v>
      </c>
      <c r="D40" s="419">
        <v>0</v>
      </c>
      <c r="E40" s="409">
        <v>-10343354</v>
      </c>
      <c r="F40" s="28"/>
    </row>
    <row r="41" spans="1:9" ht="37.5">
      <c r="A41" s="347" t="s">
        <v>626</v>
      </c>
      <c r="B41" s="348" t="s">
        <v>834</v>
      </c>
      <c r="C41" s="348" t="s">
        <v>835</v>
      </c>
      <c r="D41" s="348" t="s">
        <v>836</v>
      </c>
      <c r="E41" s="348"/>
      <c r="F41" s="348"/>
      <c r="G41" s="348"/>
      <c r="H41" s="348"/>
      <c r="I41" s="348"/>
    </row>
    <row r="42" spans="1:9" ht="15.5">
      <c r="A42" s="347"/>
      <c r="B42" s="349" t="s">
        <v>837</v>
      </c>
      <c r="C42" s="350"/>
      <c r="D42" s="350"/>
      <c r="E42" s="350"/>
      <c r="F42" s="350"/>
      <c r="G42" s="351"/>
      <c r="H42" s="351"/>
      <c r="I42" s="350"/>
    </row>
    <row r="43" spans="1:9" ht="15.5">
      <c r="A43" s="7"/>
      <c r="B43" s="375"/>
      <c r="C43" s="420"/>
      <c r="D43" s="420"/>
      <c r="E43" s="28"/>
    </row>
    <row r="45" spans="1:9" ht="15.5">
      <c r="A45" s="468" t="s">
        <v>623</v>
      </c>
      <c r="B45" s="115" t="s">
        <v>588</v>
      </c>
      <c r="C45" s="469"/>
      <c r="D45" s="469" t="s">
        <v>630</v>
      </c>
    </row>
    <row r="46" spans="1:9" ht="15.5">
      <c r="A46" s="468"/>
      <c r="B46" s="115" t="s">
        <v>629</v>
      </c>
      <c r="C46" s="469"/>
      <c r="D46" s="469"/>
    </row>
    <row r="47" spans="1:9" ht="15.5">
      <c r="A47" s="360" t="s">
        <v>840</v>
      </c>
      <c r="B47" s="361"/>
      <c r="C47" s="421"/>
      <c r="D47" s="421"/>
    </row>
    <row r="48" spans="1:9" ht="31">
      <c r="A48" s="362" t="s">
        <v>631</v>
      </c>
      <c r="B48" s="367">
        <f>-1*B40/1000</f>
        <v>10343.353999999999</v>
      </c>
      <c r="C48" s="422"/>
      <c r="D48" s="423" t="s">
        <v>842</v>
      </c>
    </row>
    <row r="49" spans="1:4" ht="31">
      <c r="A49" s="359" t="s">
        <v>632</v>
      </c>
      <c r="B49" s="368">
        <f>-1*C40/1000</f>
        <v>0</v>
      </c>
      <c r="C49" s="421"/>
      <c r="D49" s="421" t="s">
        <v>843</v>
      </c>
    </row>
    <row r="50" spans="1:4" ht="31">
      <c r="A50" s="363" t="s">
        <v>633</v>
      </c>
      <c r="B50" s="364"/>
      <c r="C50" s="422"/>
      <c r="D50" s="423" t="s">
        <v>634</v>
      </c>
    </row>
    <row r="51" spans="1:4" ht="15.5">
      <c r="A51" s="359" t="s">
        <v>635</v>
      </c>
      <c r="B51" s="369">
        <f>SUM(B48:B50)</f>
        <v>10343.353999999999</v>
      </c>
      <c r="C51" s="421"/>
      <c r="D51" s="421"/>
    </row>
    <row r="52" spans="1:4" ht="15.5">
      <c r="A52" s="365"/>
      <c r="B52" s="364"/>
      <c r="C52" s="422"/>
      <c r="D52" s="422"/>
    </row>
    <row r="53" spans="1:4" ht="31.5" thickBot="1">
      <c r="A53" s="366" t="s">
        <v>841</v>
      </c>
      <c r="B53" s="370">
        <f>B51</f>
        <v>10343.353999999999</v>
      </c>
      <c r="C53" s="424"/>
      <c r="D53" s="424"/>
    </row>
    <row r="54" spans="1:4" ht="15" thickTop="1"/>
  </sheetData>
  <mergeCells count="3">
    <mergeCell ref="A45:A46"/>
    <mergeCell ref="C45:C46"/>
    <mergeCell ref="D45:D46"/>
  </mergeCells>
  <hyperlinks>
    <hyperlink ref="A5" location="Contents!A1" display="Return to Contents" xr:uid="{49731384-CFF1-4575-A530-56E0ABCE0735}"/>
    <hyperlink ref="I42" r:id="rId1" display="Finance Circular 5/2021" xr:uid="{7A8EA6D8-C06F-4664-9E84-CB391E4E9BEA}"/>
    <hyperlink ref="A47" r:id="rId2" xr:uid="{8BFBD390-2819-4F31-AA54-C9CA62583F15}"/>
    <hyperlink ref="E42" r:id="rId3" display="Finance Circular 5/2021" xr:uid="{EBBEEB4A-2BE0-41AE-874C-83BB49874435}"/>
    <hyperlink ref="B42" r:id="rId4" display="https://www.gov.scot/publications/local-government-finance-circular-1-2025-settlement-for-2025-to-2026/" xr:uid="{72540B87-7FC4-415B-8F1F-D4AEF703B44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77</vt:i4>
      </vt:variant>
    </vt:vector>
  </HeadingPairs>
  <TitlesOfParts>
    <vt:vector size="77" baseType="lpstr">
      <vt:lpstr>Notes</vt:lpstr>
      <vt:lpstr>Contents</vt:lpstr>
      <vt:lpstr>Table 2.1</vt:lpstr>
      <vt:lpstr>Chart 2.1</vt:lpstr>
      <vt:lpstr>Table 2.2</vt:lpstr>
      <vt:lpstr>Chart 2.2</vt:lpstr>
      <vt:lpstr>Table 2.3</vt:lpstr>
      <vt:lpstr>Chart 2.3</vt:lpstr>
      <vt:lpstr>Table 2.4</vt:lpstr>
      <vt:lpstr>Table 2.4a</vt:lpstr>
      <vt:lpstr>Chart 2.4</vt:lpstr>
      <vt:lpstr>Chart 2.5</vt:lpstr>
      <vt:lpstr>Table 2.5</vt:lpstr>
      <vt:lpstr>Chart 2.6</vt:lpstr>
      <vt:lpstr>Table 2.6</vt:lpstr>
      <vt:lpstr>Table 2.7</vt:lpstr>
      <vt:lpstr>Chart 2.7</vt:lpstr>
      <vt:lpstr>Table 2.8</vt:lpstr>
      <vt:lpstr>Table 2.9</vt:lpstr>
      <vt:lpstr>Chart 2.8</vt:lpstr>
      <vt:lpstr>Chart 2.9</vt:lpstr>
      <vt:lpstr>Table 2.10</vt:lpstr>
      <vt:lpstr>Table 2.11</vt:lpstr>
      <vt:lpstr>Table 2.12</vt:lpstr>
      <vt:lpstr>Table 2.13</vt:lpstr>
      <vt:lpstr>Table 2.14</vt:lpstr>
      <vt:lpstr>Table 2.14a</vt:lpstr>
      <vt:lpstr>Table 2.14b</vt:lpstr>
      <vt:lpstr>Table 2.15</vt:lpstr>
      <vt:lpstr>Table 2.15a</vt:lpstr>
      <vt:lpstr>Chart 2.10</vt:lpstr>
      <vt:lpstr>Chart 2.10a</vt:lpstr>
      <vt:lpstr>Table 2.16</vt:lpstr>
      <vt:lpstr>Table 2.17</vt:lpstr>
      <vt:lpstr>Table 2.17a</vt:lpstr>
      <vt:lpstr>Chart 2.11</vt:lpstr>
      <vt:lpstr>Table 2.18</vt:lpstr>
      <vt:lpstr>Chart 3.1</vt:lpstr>
      <vt:lpstr>Table 3.1</vt:lpstr>
      <vt:lpstr>Chart 3.2</vt:lpstr>
      <vt:lpstr>Chart 3.2 - Key Points</vt:lpstr>
      <vt:lpstr>Chart 3.3</vt:lpstr>
      <vt:lpstr>Chart 3.4</vt:lpstr>
      <vt:lpstr>Chart 3.4 - 2023-24 data</vt:lpstr>
      <vt:lpstr>Chart 3.5</vt:lpstr>
      <vt:lpstr>Chart 3.6</vt:lpstr>
      <vt:lpstr>Table 3.2</vt:lpstr>
      <vt:lpstr>Table 3.3</vt:lpstr>
      <vt:lpstr>Table 3.3a</vt:lpstr>
      <vt:lpstr>Table 3.4</vt:lpstr>
      <vt:lpstr>Chart 4.1</vt:lpstr>
      <vt:lpstr>Table 4.1</vt:lpstr>
      <vt:lpstr>Table 4.2</vt:lpstr>
      <vt:lpstr>Table 4.3</vt:lpstr>
      <vt:lpstr>Table 4.3a</vt:lpstr>
      <vt:lpstr>Table 5.1</vt:lpstr>
      <vt:lpstr>Table 5.1a</vt:lpstr>
      <vt:lpstr>Table 5.1b</vt:lpstr>
      <vt:lpstr>Chart 5.1</vt:lpstr>
      <vt:lpstr>Key Facts Chart</vt:lpstr>
      <vt:lpstr>Table 5.2</vt:lpstr>
      <vt:lpstr>Tables 5.2a</vt:lpstr>
      <vt:lpstr>Tables 5.2b</vt:lpstr>
      <vt:lpstr>Table 5.3</vt:lpstr>
      <vt:lpstr>Tables 5.3a</vt:lpstr>
      <vt:lpstr>Tables 5.3b</vt:lpstr>
      <vt:lpstr>Chart 5.2</vt:lpstr>
      <vt:lpstr>Table 5.4</vt:lpstr>
      <vt:lpstr>Table 5.4a</vt:lpstr>
      <vt:lpstr>Table 5.5</vt:lpstr>
      <vt:lpstr>Table 6.1</vt:lpstr>
      <vt:lpstr>Chart 6.1</vt:lpstr>
      <vt:lpstr>Chart 6.2</vt:lpstr>
      <vt:lpstr>Chart 6.3</vt:lpstr>
      <vt:lpstr>Chart 6.4</vt:lpstr>
      <vt:lpstr>Chart 6.5</vt:lpstr>
      <vt:lpstr>Annex C</vt:lpstr>
    </vt:vector>
  </TitlesOfParts>
  <Company>Scottish Government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u414167</dc:creator>
  <cp:lastModifiedBy>Andrew Waugh</cp:lastModifiedBy>
  <cp:lastPrinted>2020-02-13T16:06:57Z</cp:lastPrinted>
  <dcterms:created xsi:type="dcterms:W3CDTF">2019-12-20T16:02:18Z</dcterms:created>
  <dcterms:modified xsi:type="dcterms:W3CDTF">2026-02-05T15:13:30Z</dcterms:modified>
</cp:coreProperties>
</file>