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202042\Objective\Director\Cache\erdm.scotland.gov.uk uG557\A54284042\"/>
    </mc:Choice>
  </mc:AlternateContent>
  <xr:revisionPtr revIDLastSave="0" documentId="13_ncr:1_{ACE1A8A1-1FB6-4429-A114-569E61B82AB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nd D Equivalents" sheetId="5" r:id="rId1"/>
    <sheet name="Band D Equivalents after CTR" sheetId="6" r:id="rId2"/>
  </sheets>
  <definedNames>
    <definedName name="_xlnm.Print_Area" localSheetId="0">'Band D Equivalents'!$A$1:$S$38</definedName>
    <definedName name="_xlnm.Print_Area" localSheetId="1">'Band D Equivalents after CTR'!$A$1:$L$38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6" l="1"/>
  <c r="AE6" i="5"/>
  <c r="M6" i="6"/>
  <c r="AD6" i="5"/>
  <c r="L6" i="6"/>
  <c r="AC6" i="5"/>
</calcChain>
</file>

<file path=xl/sharedStrings.xml><?xml version="1.0" encoding="utf-8"?>
<sst xmlns="http://schemas.openxmlformats.org/spreadsheetml/2006/main" count="82" uniqueCount="42">
  <si>
    <t>Scotland</t>
  </si>
  <si>
    <t>Aberdeen City</t>
  </si>
  <si>
    <t>Aberdeenshire</t>
  </si>
  <si>
    <t>Angus</t>
  </si>
  <si>
    <t>Argyll &amp; Bute</t>
  </si>
  <si>
    <t>Clackmannanshire</t>
  </si>
  <si>
    <t>Dumfries &amp; Galloway</t>
  </si>
  <si>
    <t>Dundee City</t>
  </si>
  <si>
    <t>East Ayrshire</t>
  </si>
  <si>
    <t>East Dunbartonshire</t>
  </si>
  <si>
    <t>East Lothian</t>
  </si>
  <si>
    <t>East Renfrewshire</t>
  </si>
  <si>
    <t>Falkirk</t>
  </si>
  <si>
    <t>Fife</t>
  </si>
  <si>
    <t>Glasgow City</t>
  </si>
  <si>
    <t>Highland</t>
  </si>
  <si>
    <t>Inverclyde</t>
  </si>
  <si>
    <t>Midlothian</t>
  </si>
  <si>
    <t>Moray</t>
  </si>
  <si>
    <t>North Ayrshire</t>
  </si>
  <si>
    <t>North Lanarkshire</t>
  </si>
  <si>
    <t>Orkney Islands</t>
  </si>
  <si>
    <t>Perth &amp; Kinross</t>
  </si>
  <si>
    <t>Renfrewshire</t>
  </si>
  <si>
    <t>Scottish Borders</t>
  </si>
  <si>
    <t>Shetland Islands</t>
  </si>
  <si>
    <t>South Ayrshire</t>
  </si>
  <si>
    <t>South Lanarkshire</t>
  </si>
  <si>
    <t>Stirling</t>
  </si>
  <si>
    <t>West Dunbartonshire</t>
  </si>
  <si>
    <t>West Lothian</t>
  </si>
  <si>
    <t xml:space="preserve">An Official Statistics Publication for Scotland </t>
  </si>
  <si>
    <t>City of Edinburgh</t>
  </si>
  <si>
    <t>Na h-Eileanan Siar</t>
  </si>
  <si>
    <t>More information on Official Statistics can be found at:</t>
  </si>
  <si>
    <t>https://www.gov.scot/about/how-government-is-run/statistics-and-research/</t>
  </si>
  <si>
    <t xml:space="preserve">From 2017, new proportions were introduced in Band E-H, leading to a large increase in Band D Equivalents </t>
  </si>
  <si>
    <r>
      <rPr>
        <b/>
        <sz val="10"/>
        <rFont val="Arial"/>
        <family val="2"/>
      </rPr>
      <t>Source:</t>
    </r>
    <r>
      <rPr>
        <sz val="10"/>
        <rFont val="Arial"/>
        <family val="2"/>
      </rPr>
      <t xml:space="preserve"> As reported by local authorities in the statistical return 'Council Tax Base', as at September of the respective years</t>
    </r>
  </si>
  <si>
    <r>
      <t>2022</t>
    </r>
    <r>
      <rPr>
        <b/>
        <vertAlign val="superscript"/>
        <sz val="10"/>
        <color theme="0"/>
        <rFont val="Arial"/>
        <family val="2"/>
      </rPr>
      <t>a</t>
    </r>
  </si>
  <si>
    <t>a - Aberdeen City revised their 2022 return after the initial publication date</t>
  </si>
  <si>
    <t>Council Tax - Number Of Band D Equivalents (for Revenue Grant calculation purposes) - 1996 to 2025</t>
  </si>
  <si>
    <t>Council Tax - Number Of Band D Equivalents after Council Tax Reduction - 2013 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</si>
</sst>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11" x14ac:knownFonts="1"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8.5"/>
      <color indexed="12"/>
      <name val="Arial"/>
      <family val="2"/>
    </font>
    <font>
      <u/>
      <sz val="10"/>
      <color indexed="12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vertAlign val="superscript"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 style="mediumDashDot">
        <color theme="4" tint="-0.499984740745262"/>
      </right>
      <top/>
      <bottom style="medium">
        <color theme="4" tint="-0.499984740745262"/>
      </bottom>
      <diagonal/>
    </border>
    <border>
      <left/>
      <right style="mediumDashDot">
        <color theme="4" tint="-0.499984740745262"/>
      </right>
      <top/>
      <bottom/>
      <diagonal/>
    </border>
    <border>
      <left/>
      <right style="mediumDashDot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12">
    <xf numFmtId="0" fontId="0" fillId="0" borderId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</cellStyleXfs>
  <cellXfs count="52">
    <xf numFmtId="0" fontId="0" fillId="0" borderId="0" xfId="0"/>
    <xf numFmtId="0" fontId="0" fillId="2" borderId="0" xfId="0" applyFill="1"/>
    <xf numFmtId="3" fontId="0" fillId="2" borderId="0" xfId="0" applyNumberFormat="1" applyFill="1"/>
    <xf numFmtId="3" fontId="4" fillId="2" borderId="0" xfId="0" applyNumberFormat="1" applyFont="1" applyFill="1" applyProtection="1">
      <protection locked="0"/>
    </xf>
    <xf numFmtId="0" fontId="7" fillId="2" borderId="0" xfId="2" applyFont="1" applyFill="1" applyAlignment="1" applyProtection="1"/>
    <xf numFmtId="0" fontId="2" fillId="2" borderId="0" xfId="0" quotePrefix="1" applyFont="1" applyFill="1"/>
    <xf numFmtId="10" fontId="0" fillId="2" borderId="0" xfId="0" applyNumberFormat="1" applyFill="1"/>
    <xf numFmtId="164" fontId="4" fillId="0" borderId="0" xfId="0" applyNumberFormat="1" applyFont="1"/>
    <xf numFmtId="0" fontId="0" fillId="2" borderId="0" xfId="0" applyFill="1" applyAlignment="1">
      <alignment vertical="top"/>
    </xf>
    <xf numFmtId="0" fontId="0" fillId="2" borderId="0" xfId="0" applyFill="1" applyAlignment="1">
      <alignment horizontal="left" vertical="top"/>
    </xf>
    <xf numFmtId="3" fontId="0" fillId="2" borderId="0" xfId="0" applyNumberFormat="1" applyFill="1" applyAlignment="1">
      <alignment vertical="top"/>
    </xf>
    <xf numFmtId="0" fontId="0" fillId="2" borderId="0" xfId="0" applyFill="1" applyAlignment="1">
      <alignment vertical="center"/>
    </xf>
    <xf numFmtId="3" fontId="0" fillId="2" borderId="0" xfId="0" applyNumberForma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3" fontId="5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0" xfId="0" quotePrefix="1" applyFont="1" applyFill="1" applyAlignment="1">
      <alignment horizontal="left"/>
    </xf>
    <xf numFmtId="0" fontId="9" fillId="4" borderId="0" xfId="0" applyFont="1" applyFill="1" applyAlignment="1">
      <alignment vertical="center"/>
    </xf>
    <xf numFmtId="1" fontId="8" fillId="4" borderId="0" xfId="0" applyNumberFormat="1" applyFont="1" applyFill="1" applyAlignment="1">
      <alignment horizontal="right" vertical="center"/>
    </xf>
    <xf numFmtId="0" fontId="5" fillId="5" borderId="0" xfId="0" applyFont="1" applyFill="1" applyAlignment="1">
      <alignment horizontal="left" vertical="center"/>
    </xf>
    <xf numFmtId="3" fontId="5" fillId="5" borderId="0" xfId="0" applyNumberFormat="1" applyFont="1" applyFill="1" applyAlignment="1">
      <alignment vertical="center"/>
    </xf>
    <xf numFmtId="3" fontId="0" fillId="5" borderId="0" xfId="0" applyNumberFormat="1" applyFill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3" fontId="5" fillId="2" borderId="1" xfId="0" applyNumberFormat="1" applyFont="1" applyFill="1" applyBorder="1" applyAlignment="1">
      <alignment vertical="center"/>
    </xf>
    <xf numFmtId="3" fontId="4" fillId="2" borderId="0" xfId="1" applyNumberFormat="1" applyFont="1" applyFill="1" applyAlignment="1">
      <alignment vertical="center"/>
    </xf>
    <xf numFmtId="3" fontId="5" fillId="5" borderId="0" xfId="1" applyNumberFormat="1" applyFont="1" applyFill="1" applyAlignment="1">
      <alignment vertical="center"/>
    </xf>
    <xf numFmtId="3" fontId="5" fillId="2" borderId="0" xfId="1" applyNumberFormat="1" applyFont="1" applyFill="1" applyAlignment="1">
      <alignment vertical="center"/>
    </xf>
    <xf numFmtId="3" fontId="5" fillId="3" borderId="0" xfId="0" applyNumberFormat="1" applyFont="1" applyFill="1" applyAlignment="1">
      <alignment vertical="center"/>
    </xf>
    <xf numFmtId="3" fontId="5" fillId="2" borderId="1" xfId="1" applyNumberFormat="1" applyFont="1" applyFill="1" applyBorder="1" applyAlignment="1">
      <alignment vertical="center"/>
    </xf>
    <xf numFmtId="3" fontId="5" fillId="2" borderId="0" xfId="1" applyNumberFormat="1" applyFont="1" applyFill="1" applyAlignment="1">
      <alignment horizontal="right" vertical="center"/>
    </xf>
    <xf numFmtId="3" fontId="5" fillId="2" borderId="1" xfId="1" applyNumberFormat="1" applyFont="1" applyFill="1" applyBorder="1" applyAlignment="1">
      <alignment horizontal="right" vertical="center"/>
    </xf>
    <xf numFmtId="1" fontId="8" fillId="4" borderId="4" xfId="0" applyNumberFormat="1" applyFont="1" applyFill="1" applyBorder="1" applyAlignment="1">
      <alignment horizontal="right" vertical="center"/>
    </xf>
    <xf numFmtId="0" fontId="2" fillId="2" borderId="0" xfId="0" applyFont="1" applyFill="1"/>
    <xf numFmtId="3" fontId="2" fillId="5" borderId="0" xfId="0" applyNumberFormat="1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3" fontId="4" fillId="2" borderId="0" xfId="1" applyNumberFormat="1" applyFont="1" applyFill="1" applyBorder="1" applyAlignment="1">
      <alignment vertical="center"/>
    </xf>
    <xf numFmtId="3" fontId="2" fillId="2" borderId="0" xfId="0" quotePrefix="1" applyNumberFormat="1" applyFont="1" applyFill="1" applyProtection="1">
      <protection locked="0"/>
    </xf>
    <xf numFmtId="0" fontId="2" fillId="3" borderId="0" xfId="0" quotePrefix="1" applyFont="1" applyFill="1" applyAlignment="1">
      <alignment horizontal="left" vertical="center"/>
    </xf>
    <xf numFmtId="0" fontId="2" fillId="3" borderId="0" xfId="0" quotePrefix="1" applyFont="1" applyFill="1"/>
    <xf numFmtId="0" fontId="2" fillId="3" borderId="0" xfId="0" applyFont="1" applyFill="1"/>
    <xf numFmtId="0" fontId="0" fillId="3" borderId="0" xfId="0" applyFill="1"/>
    <xf numFmtId="0" fontId="4" fillId="2" borderId="0" xfId="0" quotePrefix="1" applyFont="1" applyFill="1"/>
    <xf numFmtId="0" fontId="2" fillId="2" borderId="0" xfId="8" applyFill="1"/>
    <xf numFmtId="0" fontId="7" fillId="0" borderId="0" xfId="2" applyFont="1" applyAlignment="1" applyProtection="1"/>
    <xf numFmtId="0" fontId="0" fillId="2" borderId="5" xfId="0" applyFill="1" applyBorder="1" applyAlignment="1">
      <alignment vertical="center"/>
    </xf>
    <xf numFmtId="0" fontId="0" fillId="2" borderId="5" xfId="0" applyFill="1" applyBorder="1"/>
    <xf numFmtId="3" fontId="4" fillId="2" borderId="3" xfId="1" applyNumberFormat="1" applyFont="1" applyFill="1" applyBorder="1" applyAlignment="1">
      <alignment vertical="center"/>
    </xf>
    <xf numFmtId="3" fontId="5" fillId="5" borderId="3" xfId="0" applyNumberFormat="1" applyFont="1" applyFill="1" applyBorder="1" applyAlignment="1">
      <alignment vertical="center"/>
    </xf>
    <xf numFmtId="3" fontId="5" fillId="3" borderId="3" xfId="0" applyNumberFormat="1" applyFont="1" applyFill="1" applyBorder="1" applyAlignment="1">
      <alignment vertical="center"/>
    </xf>
    <xf numFmtId="3" fontId="5" fillId="2" borderId="2" xfId="0" applyNumberFormat="1" applyFont="1" applyFill="1" applyBorder="1" applyAlignment="1">
      <alignment vertical="center"/>
    </xf>
  </cellXfs>
  <cellStyles count="12">
    <cellStyle name="%" xfId="4" xr:uid="{00000000-0005-0000-0000-000000000000}"/>
    <cellStyle name="Comma" xfId="1" builtinId="3"/>
    <cellStyle name="Comma 2" xfId="5" xr:uid="{00000000-0005-0000-0000-000002000000}"/>
    <cellStyle name="Hyperlink" xfId="2" builtinId="8"/>
    <cellStyle name="Hyperlink 2" xfId="7" xr:uid="{00000000-0005-0000-0000-000004000000}"/>
    <cellStyle name="Hyperlink 3" xfId="6" xr:uid="{00000000-0005-0000-0000-000005000000}"/>
    <cellStyle name="Normal" xfId="0" builtinId="0"/>
    <cellStyle name="Normal 2" xfId="8" xr:uid="{00000000-0005-0000-0000-000007000000}"/>
    <cellStyle name="Normal 2 2" xfId="9" xr:uid="{00000000-0005-0000-0000-000008000000}"/>
    <cellStyle name="Normal 3" xfId="10" xr:uid="{00000000-0005-0000-0000-000009000000}"/>
    <cellStyle name="Normal 4" xfId="3" xr:uid="{00000000-0005-0000-0000-00000A000000}"/>
    <cellStyle name="Percent 2" xfId="11" xr:uid="{00000000-0005-0000-0000-00000B000000}"/>
  </cellStyles>
  <dxfs count="0"/>
  <tableStyles count="0" defaultTableStyle="TableStyleMedium2" defaultPivotStyle="PivotStyleLight16"/>
  <colors>
    <mruColors>
      <color rgb="FF2440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6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customXml" Target="/customXML/item2.xml" Id="R75713748a8f54cf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v.scot/about/how-government-is-run/statistics-and-researc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gov.scot/about/how-government-is-run/statistics-and-resear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06"/>
  <sheetViews>
    <sheetView tabSelected="1" zoomScaleNormal="100" workbookViewId="0"/>
  </sheetViews>
  <sheetFormatPr defaultColWidth="9.1796875" defaultRowHeight="12.5" x14ac:dyDescent="0.25"/>
  <cols>
    <col min="1" max="1" width="22.453125" style="1" customWidth="1"/>
    <col min="2" max="2" width="9.81640625" style="1" customWidth="1"/>
    <col min="3" max="3" width="11.26953125" style="1" customWidth="1"/>
    <col min="4" max="28" width="9.81640625" style="1" customWidth="1"/>
    <col min="29" max="16384" width="9.1796875" style="1"/>
  </cols>
  <sheetData>
    <row r="1" spans="1:31" s="11" customFormat="1" ht="20.149999999999999" customHeight="1" x14ac:dyDescent="0.25">
      <c r="A1" s="13" t="s">
        <v>40</v>
      </c>
      <c r="B1" s="46"/>
      <c r="M1" s="12"/>
      <c r="N1" s="12"/>
    </row>
    <row r="2" spans="1:31" ht="18" customHeight="1" x14ac:dyDescent="0.3">
      <c r="A2" s="3" t="s">
        <v>31</v>
      </c>
      <c r="B2" s="47"/>
      <c r="M2" s="2"/>
      <c r="N2" s="2"/>
      <c r="W2" s="33"/>
      <c r="X2" s="33"/>
      <c r="Y2" s="33"/>
      <c r="Z2" s="41"/>
      <c r="AA2" s="41"/>
      <c r="AB2" s="42"/>
    </row>
    <row r="3" spans="1:31" ht="13" x14ac:dyDescent="0.25">
      <c r="A3" s="44" t="s">
        <v>34</v>
      </c>
      <c r="B3" s="47"/>
      <c r="D3" s="45" t="s">
        <v>35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40"/>
      <c r="Y3" s="5"/>
      <c r="Z3" s="37"/>
      <c r="AA3" s="37"/>
      <c r="AB3" s="5"/>
    </row>
    <row r="4" spans="1:31" ht="13" x14ac:dyDescent="0.25">
      <c r="A4" s="44"/>
      <c r="B4" s="47"/>
      <c r="D4" s="4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40"/>
      <c r="Y4" s="5"/>
      <c r="Z4" s="37"/>
      <c r="AA4" s="37"/>
      <c r="AB4" s="5"/>
    </row>
    <row r="5" spans="1:31" s="11" customFormat="1" ht="20.149999999999999" customHeight="1" x14ac:dyDescent="0.25">
      <c r="A5" s="18"/>
      <c r="B5" s="19">
        <v>1996</v>
      </c>
      <c r="C5" s="19">
        <v>1997</v>
      </c>
      <c r="D5" s="19">
        <v>1998</v>
      </c>
      <c r="E5" s="19">
        <v>1999</v>
      </c>
      <c r="F5" s="19">
        <v>2000</v>
      </c>
      <c r="G5" s="19">
        <v>2001</v>
      </c>
      <c r="H5" s="19">
        <v>2002</v>
      </c>
      <c r="I5" s="19">
        <v>2003</v>
      </c>
      <c r="J5" s="19">
        <v>2004</v>
      </c>
      <c r="K5" s="19">
        <v>2005</v>
      </c>
      <c r="L5" s="19">
        <v>2006</v>
      </c>
      <c r="M5" s="19">
        <v>2007</v>
      </c>
      <c r="N5" s="19">
        <v>2008</v>
      </c>
      <c r="O5" s="19">
        <v>2009</v>
      </c>
      <c r="P5" s="19">
        <v>2010</v>
      </c>
      <c r="Q5" s="19">
        <v>2011</v>
      </c>
      <c r="R5" s="19">
        <v>2012</v>
      </c>
      <c r="S5" s="19">
        <v>2013</v>
      </c>
      <c r="T5" s="19">
        <v>2014</v>
      </c>
      <c r="U5" s="19">
        <v>2015</v>
      </c>
      <c r="V5" s="32">
        <v>2016</v>
      </c>
      <c r="W5" s="19">
        <v>2017</v>
      </c>
      <c r="X5" s="19">
        <v>2018</v>
      </c>
      <c r="Y5" s="19">
        <v>2019</v>
      </c>
      <c r="Z5" s="19">
        <v>2020</v>
      </c>
      <c r="AA5" s="19">
        <v>2021</v>
      </c>
      <c r="AB5" s="19" t="s">
        <v>38</v>
      </c>
      <c r="AC5" s="19">
        <v>2023</v>
      </c>
      <c r="AD5" s="19">
        <v>2024</v>
      </c>
      <c r="AE5" s="19">
        <v>2025</v>
      </c>
    </row>
    <row r="6" spans="1:31" s="11" customFormat="1" ht="13" x14ac:dyDescent="0.25">
      <c r="A6" s="16" t="s">
        <v>0</v>
      </c>
      <c r="B6" s="25">
        <v>1793759.12</v>
      </c>
      <c r="C6" s="25">
        <v>1807484.82</v>
      </c>
      <c r="D6" s="25">
        <v>1819395.26</v>
      </c>
      <c r="E6" s="25">
        <v>1837147.04</v>
      </c>
      <c r="F6" s="25">
        <v>1851169.38</v>
      </c>
      <c r="G6" s="25">
        <v>1867638.59</v>
      </c>
      <c r="H6" s="25">
        <v>1884257.92</v>
      </c>
      <c r="I6" s="25">
        <v>1901330.12</v>
      </c>
      <c r="J6" s="25">
        <v>1921528.17</v>
      </c>
      <c r="K6" s="25">
        <v>1942932.58</v>
      </c>
      <c r="L6" s="25">
        <v>1964720.32</v>
      </c>
      <c r="M6" s="25">
        <v>1988112</v>
      </c>
      <c r="N6" s="25">
        <v>2005946.97</v>
      </c>
      <c r="O6" s="25">
        <v>2021896.37</v>
      </c>
      <c r="P6" s="25">
        <v>2034028.16</v>
      </c>
      <c r="Q6" s="25">
        <v>2046575.28</v>
      </c>
      <c r="R6" s="25">
        <v>2060964.12</v>
      </c>
      <c r="S6" s="25">
        <v>2073957.66</v>
      </c>
      <c r="T6" s="25">
        <v>2095499.6600000001</v>
      </c>
      <c r="U6" s="25">
        <v>2109893.2699999996</v>
      </c>
      <c r="V6" s="48">
        <v>2127053.3899999997</v>
      </c>
      <c r="W6" s="37">
        <v>2248718.4700000002</v>
      </c>
      <c r="X6" s="37">
        <v>2263906.23</v>
      </c>
      <c r="Y6" s="37">
        <v>2284886.4500000007</v>
      </c>
      <c r="Z6" s="37">
        <v>2300402.2599999998</v>
      </c>
      <c r="AA6" s="37">
        <v>2321724.0299999998</v>
      </c>
      <c r="AB6" s="37">
        <v>2345648.2699999996</v>
      </c>
      <c r="AC6" s="37">
        <f>SUM(AC7:AC38)</f>
        <v>2366651.65</v>
      </c>
      <c r="AD6" s="37">
        <f>SUM(AD7:AD38)</f>
        <v>2392464.71</v>
      </c>
      <c r="AE6" s="37">
        <f>SUM(AE7:AE38)</f>
        <v>2413244.5699999994</v>
      </c>
    </row>
    <row r="7" spans="1:31" s="11" customFormat="1" x14ac:dyDescent="0.25">
      <c r="A7" s="20" t="s">
        <v>1</v>
      </c>
      <c r="B7" s="26">
        <v>82033.22</v>
      </c>
      <c r="C7" s="26">
        <v>82983.77</v>
      </c>
      <c r="D7" s="26">
        <v>83811.899999999994</v>
      </c>
      <c r="E7" s="26">
        <v>84132.22</v>
      </c>
      <c r="F7" s="26">
        <v>83805.67</v>
      </c>
      <c r="G7" s="26">
        <v>84391.42</v>
      </c>
      <c r="H7" s="26">
        <v>84500.77</v>
      </c>
      <c r="I7" s="26">
        <v>84055.22</v>
      </c>
      <c r="J7" s="26">
        <v>84452.78</v>
      </c>
      <c r="K7" s="26">
        <v>85328.21</v>
      </c>
      <c r="L7" s="26">
        <v>86370.78</v>
      </c>
      <c r="M7" s="21">
        <v>87191</v>
      </c>
      <c r="N7" s="21">
        <v>87994.66</v>
      </c>
      <c r="O7" s="22">
        <v>88199.22</v>
      </c>
      <c r="P7" s="22">
        <v>88797.2</v>
      </c>
      <c r="Q7" s="22">
        <v>89288.67</v>
      </c>
      <c r="R7" s="22">
        <v>90310.89</v>
      </c>
      <c r="S7" s="21">
        <v>91938.78</v>
      </c>
      <c r="T7" s="21">
        <v>93802.11</v>
      </c>
      <c r="U7" s="21">
        <v>93046.44</v>
      </c>
      <c r="V7" s="49">
        <v>93807.32</v>
      </c>
      <c r="W7" s="21">
        <v>99495.45</v>
      </c>
      <c r="X7" s="34">
        <v>99377.590000000011</v>
      </c>
      <c r="Y7" s="34">
        <v>101040.15000000001</v>
      </c>
      <c r="Z7" s="34">
        <v>102249.25</v>
      </c>
      <c r="AA7" s="34">
        <v>101940.93</v>
      </c>
      <c r="AB7" s="34">
        <v>103185.02000000002</v>
      </c>
      <c r="AC7" s="34">
        <v>104091.22000000002</v>
      </c>
      <c r="AD7" s="34">
        <v>106078.64</v>
      </c>
      <c r="AE7" s="34">
        <v>107185.03000000001</v>
      </c>
    </row>
    <row r="8" spans="1:31" s="11" customFormat="1" x14ac:dyDescent="0.25">
      <c r="A8" s="14" t="s">
        <v>2</v>
      </c>
      <c r="B8" s="27">
        <v>82104.34</v>
      </c>
      <c r="C8" s="27">
        <v>83028.899999999994</v>
      </c>
      <c r="D8" s="27">
        <v>84413.34</v>
      </c>
      <c r="E8" s="27">
        <v>84911.66</v>
      </c>
      <c r="F8" s="27">
        <v>86446.13</v>
      </c>
      <c r="G8" s="27">
        <v>87853.89</v>
      </c>
      <c r="H8" s="30">
        <v>89440.67</v>
      </c>
      <c r="I8" s="27">
        <v>91117.8</v>
      </c>
      <c r="J8" s="27">
        <v>93140.23</v>
      </c>
      <c r="K8" s="27">
        <v>95198.88</v>
      </c>
      <c r="L8" s="27">
        <v>97157.77</v>
      </c>
      <c r="M8" s="15">
        <v>98806.56</v>
      </c>
      <c r="N8" s="15">
        <v>100458.57</v>
      </c>
      <c r="O8" s="12">
        <v>101869.44</v>
      </c>
      <c r="P8" s="12">
        <v>103242</v>
      </c>
      <c r="Q8" s="12">
        <v>104350.77</v>
      </c>
      <c r="R8" s="12">
        <v>105470.55</v>
      </c>
      <c r="S8" s="28">
        <v>106928.11</v>
      </c>
      <c r="T8" s="28">
        <v>108557.98</v>
      </c>
      <c r="U8" s="28">
        <v>109936.57</v>
      </c>
      <c r="V8" s="50">
        <v>110452.09999999999</v>
      </c>
      <c r="W8" s="28">
        <v>119016.01000000001</v>
      </c>
      <c r="X8" s="35">
        <v>119584.22</v>
      </c>
      <c r="Y8" s="35">
        <v>120583.35</v>
      </c>
      <c r="Z8" s="35">
        <v>121374.6</v>
      </c>
      <c r="AA8" s="35">
        <v>122849.53</v>
      </c>
      <c r="AB8" s="35">
        <v>123853.61</v>
      </c>
      <c r="AC8" s="35">
        <v>124747.23</v>
      </c>
      <c r="AD8" s="35">
        <v>125700.13</v>
      </c>
      <c r="AE8" s="35">
        <v>126627.17000000001</v>
      </c>
    </row>
    <row r="9" spans="1:31" s="11" customFormat="1" x14ac:dyDescent="0.25">
      <c r="A9" s="20" t="s">
        <v>3</v>
      </c>
      <c r="B9" s="26">
        <v>37703.79</v>
      </c>
      <c r="C9" s="26">
        <v>38059.01</v>
      </c>
      <c r="D9" s="26">
        <v>38302.449999999997</v>
      </c>
      <c r="E9" s="26">
        <v>38519.22</v>
      </c>
      <c r="F9" s="26">
        <v>38898.449999999997</v>
      </c>
      <c r="G9" s="26">
        <v>39216.89</v>
      </c>
      <c r="H9" s="26">
        <v>39547.449999999997</v>
      </c>
      <c r="I9" s="26">
        <v>40068.660000000003</v>
      </c>
      <c r="J9" s="26">
        <v>40635.550000000003</v>
      </c>
      <c r="K9" s="26">
        <v>41124.660000000003</v>
      </c>
      <c r="L9" s="26">
        <v>41690.57</v>
      </c>
      <c r="M9" s="21">
        <v>42272.44</v>
      </c>
      <c r="N9" s="21">
        <v>42713.21</v>
      </c>
      <c r="O9" s="22">
        <v>43011.56</v>
      </c>
      <c r="P9" s="22">
        <v>43254</v>
      </c>
      <c r="Q9" s="22">
        <v>43523.12</v>
      </c>
      <c r="R9" s="22">
        <v>43790.67</v>
      </c>
      <c r="S9" s="21">
        <v>44068.22</v>
      </c>
      <c r="T9" s="21">
        <v>44511.11</v>
      </c>
      <c r="U9" s="21">
        <v>44779.22</v>
      </c>
      <c r="V9" s="49">
        <v>44975.56</v>
      </c>
      <c r="W9" s="21">
        <v>46901.93</v>
      </c>
      <c r="X9" s="34">
        <v>47236.39</v>
      </c>
      <c r="Y9" s="34">
        <v>47574.23</v>
      </c>
      <c r="Z9" s="34">
        <v>47881.029999999992</v>
      </c>
      <c r="AA9" s="34">
        <v>48244.72</v>
      </c>
      <c r="AB9" s="34">
        <v>48674.27</v>
      </c>
      <c r="AC9" s="34">
        <v>48903.64</v>
      </c>
      <c r="AD9" s="34">
        <v>48989.759999999995</v>
      </c>
      <c r="AE9" s="34">
        <v>49288.1</v>
      </c>
    </row>
    <row r="10" spans="1:31" s="11" customFormat="1" x14ac:dyDescent="0.25">
      <c r="A10" s="14" t="s">
        <v>4</v>
      </c>
      <c r="B10" s="27">
        <v>35418.550000000003</v>
      </c>
      <c r="C10" s="27">
        <v>35701.22</v>
      </c>
      <c r="D10" s="27">
        <v>36005</v>
      </c>
      <c r="E10" s="27">
        <v>36154.559999999998</v>
      </c>
      <c r="F10" s="27">
        <v>36189.79</v>
      </c>
      <c r="G10" s="27">
        <v>36397.089999999997</v>
      </c>
      <c r="H10" s="30">
        <v>36728.879999999997</v>
      </c>
      <c r="I10" s="27">
        <v>37041.760000000002</v>
      </c>
      <c r="J10" s="27">
        <v>37261.440000000002</v>
      </c>
      <c r="K10" s="27">
        <v>37624.9</v>
      </c>
      <c r="L10" s="27">
        <v>37904.21</v>
      </c>
      <c r="M10" s="15">
        <v>38155.230000000003</v>
      </c>
      <c r="N10" s="15">
        <v>38484.550000000003</v>
      </c>
      <c r="O10" s="12">
        <v>38546.230000000003</v>
      </c>
      <c r="P10" s="12">
        <v>38704.550000000003</v>
      </c>
      <c r="Q10" s="12">
        <v>39031.33</v>
      </c>
      <c r="R10" s="12">
        <v>39048.33</v>
      </c>
      <c r="S10" s="28">
        <v>39447</v>
      </c>
      <c r="T10" s="28">
        <v>39351.21</v>
      </c>
      <c r="U10" s="28">
        <v>39618.449999999997</v>
      </c>
      <c r="V10" s="50">
        <v>39754.339999999997</v>
      </c>
      <c r="W10" s="28">
        <v>42200.84</v>
      </c>
      <c r="X10" s="35">
        <v>42360.83</v>
      </c>
      <c r="Y10" s="35">
        <v>42549.88</v>
      </c>
      <c r="Z10" s="35">
        <v>42644.79</v>
      </c>
      <c r="AA10" s="35">
        <v>43168.12</v>
      </c>
      <c r="AB10" s="35">
        <v>43513.75</v>
      </c>
      <c r="AC10" s="35">
        <v>43461.189999999995</v>
      </c>
      <c r="AD10" s="35">
        <v>43795.560000000005</v>
      </c>
      <c r="AE10" s="35">
        <v>43818.49</v>
      </c>
    </row>
    <row r="11" spans="1:31" s="11" customFormat="1" x14ac:dyDescent="0.25">
      <c r="A11" s="20" t="s">
        <v>32</v>
      </c>
      <c r="B11" s="26">
        <v>181455.56</v>
      </c>
      <c r="C11" s="26">
        <v>182993.44</v>
      </c>
      <c r="D11" s="26">
        <v>184647.78</v>
      </c>
      <c r="E11" s="26">
        <v>186680.67</v>
      </c>
      <c r="F11" s="26">
        <v>187835.56</v>
      </c>
      <c r="G11" s="26">
        <v>189897.11</v>
      </c>
      <c r="H11" s="26">
        <v>190933.22</v>
      </c>
      <c r="I11" s="26">
        <v>191665.12</v>
      </c>
      <c r="J11" s="26">
        <v>192088.11</v>
      </c>
      <c r="K11" s="26">
        <v>193945.11</v>
      </c>
      <c r="L11" s="26">
        <v>193978.79</v>
      </c>
      <c r="M11" s="21">
        <v>196002.77</v>
      </c>
      <c r="N11" s="21">
        <v>199724.67</v>
      </c>
      <c r="O11" s="22">
        <v>201255.45</v>
      </c>
      <c r="P11" s="22">
        <v>202369.23</v>
      </c>
      <c r="Q11" s="22">
        <v>203431.89</v>
      </c>
      <c r="R11" s="22">
        <v>204748.45</v>
      </c>
      <c r="S11" s="21">
        <v>207130.22</v>
      </c>
      <c r="T11" s="21">
        <v>211144.22999999998</v>
      </c>
      <c r="U11" s="21">
        <v>211378.78000000003</v>
      </c>
      <c r="V11" s="49">
        <v>214279</v>
      </c>
      <c r="W11" s="21">
        <v>233011.74</v>
      </c>
      <c r="X11" s="34">
        <v>234889.96000000002</v>
      </c>
      <c r="Y11" s="34">
        <v>238296.71000000002</v>
      </c>
      <c r="Z11" s="34">
        <v>240018.86000000002</v>
      </c>
      <c r="AA11" s="34">
        <v>242260.87</v>
      </c>
      <c r="AB11" s="34">
        <v>246378.09000000003</v>
      </c>
      <c r="AC11" s="34">
        <v>249074.62999999998</v>
      </c>
      <c r="AD11" s="34">
        <v>253765.15</v>
      </c>
      <c r="AE11" s="34">
        <v>256790.69000000003</v>
      </c>
    </row>
    <row r="12" spans="1:31" s="11" customFormat="1" x14ac:dyDescent="0.25">
      <c r="A12" s="14" t="s">
        <v>5</v>
      </c>
      <c r="B12" s="27">
        <v>15994.34</v>
      </c>
      <c r="C12" s="27">
        <v>16337.11</v>
      </c>
      <c r="D12" s="27">
        <v>16264.44</v>
      </c>
      <c r="E12" s="27">
        <v>16419.560000000001</v>
      </c>
      <c r="F12" s="27">
        <v>16575.759999999998</v>
      </c>
      <c r="G12" s="27">
        <v>16604.78</v>
      </c>
      <c r="H12" s="30">
        <v>16805.32</v>
      </c>
      <c r="I12" s="27">
        <v>17073.669999999998</v>
      </c>
      <c r="J12" s="27">
        <v>17516.11</v>
      </c>
      <c r="K12" s="27">
        <v>17898.77</v>
      </c>
      <c r="L12" s="27">
        <v>18268.12</v>
      </c>
      <c r="M12" s="15">
        <v>18669.669999999998</v>
      </c>
      <c r="N12" s="15">
        <v>18872.34</v>
      </c>
      <c r="O12" s="12">
        <v>19084.21</v>
      </c>
      <c r="P12" s="12">
        <v>19157.89</v>
      </c>
      <c r="Q12" s="12">
        <v>19236.560000000001</v>
      </c>
      <c r="R12" s="12">
        <v>19211.55</v>
      </c>
      <c r="S12" s="28">
        <v>19403.11</v>
      </c>
      <c r="T12" s="28">
        <v>19520.89</v>
      </c>
      <c r="U12" s="28">
        <v>19761.230000000003</v>
      </c>
      <c r="V12" s="50">
        <v>19819.120000000003</v>
      </c>
      <c r="W12" s="28">
        <v>20865.349999999999</v>
      </c>
      <c r="X12" s="35">
        <v>20922.919999999998</v>
      </c>
      <c r="Y12" s="35">
        <v>21154.18</v>
      </c>
      <c r="Z12" s="35">
        <v>21274.42</v>
      </c>
      <c r="AA12" s="35">
        <v>21301.52</v>
      </c>
      <c r="AB12" s="35">
        <v>21395.96</v>
      </c>
      <c r="AC12" s="35">
        <v>21595.03</v>
      </c>
      <c r="AD12" s="35">
        <v>21666.42</v>
      </c>
      <c r="AE12" s="35">
        <v>21778.070000000003</v>
      </c>
    </row>
    <row r="13" spans="1:31" s="11" customFormat="1" x14ac:dyDescent="0.25">
      <c r="A13" s="20" t="s">
        <v>6</v>
      </c>
      <c r="B13" s="26">
        <v>54394.77</v>
      </c>
      <c r="C13" s="26">
        <v>54609.22</v>
      </c>
      <c r="D13" s="26">
        <v>54649.22</v>
      </c>
      <c r="E13" s="26">
        <v>55084.35</v>
      </c>
      <c r="F13" s="26">
        <v>54947.9</v>
      </c>
      <c r="G13" s="26">
        <v>55241.440000000002</v>
      </c>
      <c r="H13" s="26">
        <v>55565</v>
      </c>
      <c r="I13" s="26">
        <v>56013.760000000002</v>
      </c>
      <c r="J13" s="26">
        <v>56730.74</v>
      </c>
      <c r="K13" s="26">
        <v>57394.67</v>
      </c>
      <c r="L13" s="26">
        <v>57915.33</v>
      </c>
      <c r="M13" s="21">
        <v>58488.55</v>
      </c>
      <c r="N13" s="21">
        <v>59027.76</v>
      </c>
      <c r="O13" s="22">
        <v>59418.67</v>
      </c>
      <c r="P13" s="22">
        <v>59680.55</v>
      </c>
      <c r="Q13" s="22">
        <v>60144</v>
      </c>
      <c r="R13" s="22">
        <v>60383.44</v>
      </c>
      <c r="S13" s="21">
        <v>60821.33</v>
      </c>
      <c r="T13" s="21">
        <v>61078</v>
      </c>
      <c r="U13" s="21">
        <v>61237.67</v>
      </c>
      <c r="V13" s="49">
        <v>61525.11</v>
      </c>
      <c r="W13" s="21">
        <v>64246.95</v>
      </c>
      <c r="X13" s="34">
        <v>64405.68</v>
      </c>
      <c r="Y13" s="34">
        <v>64508.800000000003</v>
      </c>
      <c r="Z13" s="34">
        <v>64736.84</v>
      </c>
      <c r="AA13" s="34">
        <v>65037.87</v>
      </c>
      <c r="AB13" s="34">
        <v>65439.53</v>
      </c>
      <c r="AC13" s="34">
        <v>65422.939999999995</v>
      </c>
      <c r="AD13" s="34">
        <v>65638.5</v>
      </c>
      <c r="AE13" s="34">
        <v>65947.860000000015</v>
      </c>
    </row>
    <row r="14" spans="1:31" s="11" customFormat="1" x14ac:dyDescent="0.25">
      <c r="A14" s="14" t="s">
        <v>7</v>
      </c>
      <c r="B14" s="27">
        <v>48054.55</v>
      </c>
      <c r="C14" s="27">
        <v>48085.11</v>
      </c>
      <c r="D14" s="27">
        <v>47160.23</v>
      </c>
      <c r="E14" s="27">
        <v>47478.44</v>
      </c>
      <c r="F14" s="27">
        <v>46946.879999999997</v>
      </c>
      <c r="G14" s="27">
        <v>47298</v>
      </c>
      <c r="H14" s="30">
        <v>47562.11</v>
      </c>
      <c r="I14" s="27">
        <v>47714.11</v>
      </c>
      <c r="J14" s="27">
        <v>47566.67</v>
      </c>
      <c r="K14" s="27">
        <v>47012.56</v>
      </c>
      <c r="L14" s="27">
        <v>47496.22</v>
      </c>
      <c r="M14" s="15">
        <v>48035.32</v>
      </c>
      <c r="N14" s="15">
        <v>48149.11</v>
      </c>
      <c r="O14" s="12">
        <v>48808.21</v>
      </c>
      <c r="P14" s="12">
        <v>49043.66</v>
      </c>
      <c r="Q14" s="12">
        <v>49259.22</v>
      </c>
      <c r="R14" s="12">
        <v>49653.33</v>
      </c>
      <c r="S14" s="28">
        <v>49732.11</v>
      </c>
      <c r="T14" s="28">
        <v>49693.33</v>
      </c>
      <c r="U14" s="28">
        <v>49763.34</v>
      </c>
      <c r="V14" s="50">
        <v>50170.770000000004</v>
      </c>
      <c r="W14" s="28">
        <v>51638.25</v>
      </c>
      <c r="X14" s="35">
        <v>51595.969999999994</v>
      </c>
      <c r="Y14" s="35">
        <v>51616.799999999996</v>
      </c>
      <c r="Z14" s="35">
        <v>51549.939999999995</v>
      </c>
      <c r="AA14" s="35">
        <v>52089.35</v>
      </c>
      <c r="AB14" s="35">
        <v>52651.359999999993</v>
      </c>
      <c r="AC14" s="35">
        <v>53524.290000000008</v>
      </c>
      <c r="AD14" s="35">
        <v>54691.86</v>
      </c>
      <c r="AE14" s="35">
        <v>54914.359999999993</v>
      </c>
    </row>
    <row r="15" spans="1:31" s="11" customFormat="1" x14ac:dyDescent="0.25">
      <c r="A15" s="20" t="s">
        <v>8</v>
      </c>
      <c r="B15" s="26">
        <v>37547.120000000003</v>
      </c>
      <c r="C15" s="26">
        <v>37789.54</v>
      </c>
      <c r="D15" s="26">
        <v>38261.339999999997</v>
      </c>
      <c r="E15" s="26">
        <v>38328.67</v>
      </c>
      <c r="F15" s="26">
        <v>38645.89</v>
      </c>
      <c r="G15" s="26">
        <v>39229.230000000003</v>
      </c>
      <c r="H15" s="26">
        <v>39444</v>
      </c>
      <c r="I15" s="26">
        <v>39430.99</v>
      </c>
      <c r="J15" s="26">
        <v>39663.22</v>
      </c>
      <c r="K15" s="26">
        <v>39791.89</v>
      </c>
      <c r="L15" s="26">
        <v>40379.660000000003</v>
      </c>
      <c r="M15" s="21">
        <v>41000.78</v>
      </c>
      <c r="N15" s="21">
        <v>42115.88</v>
      </c>
      <c r="O15" s="22">
        <v>42346.77</v>
      </c>
      <c r="P15" s="22">
        <v>42589.22</v>
      </c>
      <c r="Q15" s="22">
        <v>42784.66</v>
      </c>
      <c r="R15" s="22">
        <v>43046.89</v>
      </c>
      <c r="S15" s="21">
        <v>43263.56</v>
      </c>
      <c r="T15" s="21">
        <v>43327.67</v>
      </c>
      <c r="U15" s="21">
        <v>43592.770000000004</v>
      </c>
      <c r="V15" s="49">
        <v>43967.88</v>
      </c>
      <c r="W15" s="21">
        <v>45566.1</v>
      </c>
      <c r="X15" s="34">
        <v>45886.9</v>
      </c>
      <c r="Y15" s="34">
        <v>46189.63</v>
      </c>
      <c r="Z15" s="34">
        <v>46343.599999999991</v>
      </c>
      <c r="AA15" s="34">
        <v>46838.82</v>
      </c>
      <c r="AB15" s="34">
        <v>47217.419999999991</v>
      </c>
      <c r="AC15" s="34">
        <v>47663.029999999992</v>
      </c>
      <c r="AD15" s="34">
        <v>48052.06</v>
      </c>
      <c r="AE15" s="34">
        <v>48320.74</v>
      </c>
    </row>
    <row r="16" spans="1:31" s="11" customFormat="1" x14ac:dyDescent="0.25">
      <c r="A16" s="14" t="s">
        <v>9</v>
      </c>
      <c r="B16" s="27">
        <v>45041.89</v>
      </c>
      <c r="C16" s="27">
        <v>45610.99</v>
      </c>
      <c r="D16" s="27">
        <v>45593.67</v>
      </c>
      <c r="E16" s="27">
        <v>45748.99</v>
      </c>
      <c r="F16" s="27">
        <v>45916.45</v>
      </c>
      <c r="G16" s="27">
        <v>46013.57</v>
      </c>
      <c r="H16" s="30">
        <v>45966.559999999998</v>
      </c>
      <c r="I16" s="27">
        <v>45963.78</v>
      </c>
      <c r="J16" s="27">
        <v>46035.45</v>
      </c>
      <c r="K16" s="27">
        <v>46282.89</v>
      </c>
      <c r="L16" s="27">
        <v>46357.69</v>
      </c>
      <c r="M16" s="15">
        <v>46467.45</v>
      </c>
      <c r="N16" s="15">
        <v>46715.67</v>
      </c>
      <c r="O16" s="12">
        <v>46933.45</v>
      </c>
      <c r="P16" s="12">
        <v>46966.68</v>
      </c>
      <c r="Q16" s="12">
        <v>47200.78</v>
      </c>
      <c r="R16" s="12">
        <v>47534.33</v>
      </c>
      <c r="S16" s="28">
        <v>47853.67</v>
      </c>
      <c r="T16" s="28">
        <v>48323.33</v>
      </c>
      <c r="U16" s="28">
        <v>48972.01</v>
      </c>
      <c r="V16" s="50">
        <v>49366.559999999998</v>
      </c>
      <c r="W16" s="28">
        <v>53967.67</v>
      </c>
      <c r="X16" s="35">
        <v>54428.68</v>
      </c>
      <c r="Y16" s="35">
        <v>54718.239999999998</v>
      </c>
      <c r="Z16" s="35">
        <v>55068.59</v>
      </c>
      <c r="AA16" s="35">
        <v>55425.22</v>
      </c>
      <c r="AB16" s="35">
        <v>55765.729999999996</v>
      </c>
      <c r="AC16" s="35">
        <v>55867.439999999995</v>
      </c>
      <c r="AD16" s="35">
        <v>56108.37</v>
      </c>
      <c r="AE16" s="35">
        <v>56225.37</v>
      </c>
    </row>
    <row r="17" spans="1:31" s="11" customFormat="1" x14ac:dyDescent="0.25">
      <c r="A17" s="20" t="s">
        <v>10</v>
      </c>
      <c r="B17" s="26">
        <v>34304.67</v>
      </c>
      <c r="C17" s="26">
        <v>34851</v>
      </c>
      <c r="D17" s="26">
        <v>35230.44</v>
      </c>
      <c r="E17" s="26">
        <v>35514.339999999997</v>
      </c>
      <c r="F17" s="26">
        <v>35973.22</v>
      </c>
      <c r="G17" s="26">
        <v>36289.57</v>
      </c>
      <c r="H17" s="26">
        <v>36758.22</v>
      </c>
      <c r="I17" s="26">
        <v>37147.89</v>
      </c>
      <c r="J17" s="26">
        <v>37708.44</v>
      </c>
      <c r="K17" s="26">
        <v>38188.01</v>
      </c>
      <c r="L17" s="26">
        <v>39011.769999999997</v>
      </c>
      <c r="M17" s="21">
        <v>40026.01</v>
      </c>
      <c r="N17" s="21">
        <v>40575.449999999997</v>
      </c>
      <c r="O17" s="22">
        <v>41029.120000000003</v>
      </c>
      <c r="P17" s="22">
        <v>41449.79</v>
      </c>
      <c r="Q17" s="22">
        <v>41814.449999999997</v>
      </c>
      <c r="R17" s="22">
        <v>42264.22</v>
      </c>
      <c r="S17" s="21">
        <v>42736.34</v>
      </c>
      <c r="T17" s="21">
        <v>43030.119999999995</v>
      </c>
      <c r="U17" s="21">
        <v>43496.34</v>
      </c>
      <c r="V17" s="49">
        <v>43877.210000000006</v>
      </c>
      <c r="W17" s="21">
        <v>47174.729999999996</v>
      </c>
      <c r="X17" s="34">
        <v>48048.479999999996</v>
      </c>
      <c r="Y17" s="34">
        <v>49069.63</v>
      </c>
      <c r="Z17" s="34">
        <v>50078.119999999995</v>
      </c>
      <c r="AA17" s="34">
        <v>51576.590000000004</v>
      </c>
      <c r="AB17" s="34">
        <v>52518.779999999992</v>
      </c>
      <c r="AC17" s="34">
        <v>53565.789999999994</v>
      </c>
      <c r="AD17" s="34">
        <v>54879.039999999994</v>
      </c>
      <c r="AE17" s="34">
        <v>56065.86</v>
      </c>
    </row>
    <row r="18" spans="1:31" s="11" customFormat="1" x14ac:dyDescent="0.25">
      <c r="A18" s="14" t="s">
        <v>11</v>
      </c>
      <c r="B18" s="27">
        <v>37011.33</v>
      </c>
      <c r="C18" s="27">
        <v>37476.11</v>
      </c>
      <c r="D18" s="27">
        <v>37574.33</v>
      </c>
      <c r="E18" s="27">
        <v>38329.769999999997</v>
      </c>
      <c r="F18" s="27">
        <v>38738.660000000003</v>
      </c>
      <c r="G18" s="27">
        <v>39122.67</v>
      </c>
      <c r="H18" s="30">
        <v>39158.449999999997</v>
      </c>
      <c r="I18" s="27">
        <v>39225.68</v>
      </c>
      <c r="J18" s="27">
        <v>39298.75</v>
      </c>
      <c r="K18" s="27">
        <v>39429.11</v>
      </c>
      <c r="L18" s="27">
        <v>39397.339999999997</v>
      </c>
      <c r="M18" s="15">
        <v>39570.99</v>
      </c>
      <c r="N18" s="15">
        <v>39510.230000000003</v>
      </c>
      <c r="O18" s="12">
        <v>39606.89</v>
      </c>
      <c r="P18" s="12">
        <v>39668.78</v>
      </c>
      <c r="Q18" s="12">
        <v>39803.660000000003</v>
      </c>
      <c r="R18" s="12">
        <v>40300.230000000003</v>
      </c>
      <c r="S18" s="28">
        <v>40525.78</v>
      </c>
      <c r="T18" s="28">
        <v>40858.67</v>
      </c>
      <c r="U18" s="28">
        <v>41222.78</v>
      </c>
      <c r="V18" s="50">
        <v>41687.89</v>
      </c>
      <c r="W18" s="28">
        <v>45888.19</v>
      </c>
      <c r="X18" s="35">
        <v>46201.760000000002</v>
      </c>
      <c r="Y18" s="35">
        <v>46469.56</v>
      </c>
      <c r="Z18" s="35">
        <v>46769.7</v>
      </c>
      <c r="AA18" s="35">
        <v>47430.82</v>
      </c>
      <c r="AB18" s="35">
        <v>48198.51</v>
      </c>
      <c r="AC18" s="35">
        <v>48719.7</v>
      </c>
      <c r="AD18" s="35">
        <v>49029.22</v>
      </c>
      <c r="AE18" s="35">
        <v>49436.489999999991</v>
      </c>
    </row>
    <row r="19" spans="1:31" s="11" customFormat="1" x14ac:dyDescent="0.25">
      <c r="A19" s="20" t="s">
        <v>12</v>
      </c>
      <c r="B19" s="26">
        <v>46310.22</v>
      </c>
      <c r="C19" s="26">
        <v>46705.22</v>
      </c>
      <c r="D19" s="26">
        <v>47975.22</v>
      </c>
      <c r="E19" s="26">
        <v>48442.66</v>
      </c>
      <c r="F19" s="26">
        <v>49117.89</v>
      </c>
      <c r="G19" s="26">
        <v>49765.43</v>
      </c>
      <c r="H19" s="26">
        <v>50798.78</v>
      </c>
      <c r="I19" s="26">
        <v>51847.78</v>
      </c>
      <c r="J19" s="26">
        <v>53010.89</v>
      </c>
      <c r="K19" s="26">
        <v>53840.44</v>
      </c>
      <c r="L19" s="26">
        <v>54861.46</v>
      </c>
      <c r="M19" s="21">
        <v>55631.9</v>
      </c>
      <c r="N19" s="21">
        <v>56223.57</v>
      </c>
      <c r="O19" s="22">
        <v>56598.44</v>
      </c>
      <c r="P19" s="22">
        <v>57086.78</v>
      </c>
      <c r="Q19" s="22">
        <v>57396.79</v>
      </c>
      <c r="R19" s="22">
        <v>57820</v>
      </c>
      <c r="S19" s="21">
        <v>58043.33</v>
      </c>
      <c r="T19" s="21">
        <v>58465.89</v>
      </c>
      <c r="U19" s="21">
        <v>59322.100000000006</v>
      </c>
      <c r="V19" s="49">
        <v>59892.109999999993</v>
      </c>
      <c r="W19" s="21">
        <v>63178.01</v>
      </c>
      <c r="X19" s="34">
        <v>63674.750000000007</v>
      </c>
      <c r="Y19" s="34">
        <v>64096.779999999992</v>
      </c>
      <c r="Z19" s="34">
        <v>64418.38</v>
      </c>
      <c r="AA19" s="34">
        <v>64773.369999999995</v>
      </c>
      <c r="AB19" s="34">
        <v>64965.69</v>
      </c>
      <c r="AC19" s="34">
        <v>65273.329999999994</v>
      </c>
      <c r="AD19" s="34">
        <v>66116</v>
      </c>
      <c r="AE19" s="34">
        <v>65995.37000000001</v>
      </c>
    </row>
    <row r="20" spans="1:31" s="11" customFormat="1" x14ac:dyDescent="0.25">
      <c r="A20" s="14" t="s">
        <v>13</v>
      </c>
      <c r="B20" s="27">
        <v>118197.56</v>
      </c>
      <c r="C20" s="27">
        <v>119054.23</v>
      </c>
      <c r="D20" s="27">
        <v>120852.67</v>
      </c>
      <c r="E20" s="27">
        <v>120888.23</v>
      </c>
      <c r="F20" s="27">
        <v>122509.33</v>
      </c>
      <c r="G20" s="27">
        <v>123377.45</v>
      </c>
      <c r="H20" s="30">
        <v>125054.34</v>
      </c>
      <c r="I20" s="27">
        <v>126695.67</v>
      </c>
      <c r="J20" s="27">
        <v>128091.55</v>
      </c>
      <c r="K20" s="27">
        <v>130084.67</v>
      </c>
      <c r="L20" s="27">
        <v>130956.23</v>
      </c>
      <c r="M20" s="15">
        <v>132702.54999999999</v>
      </c>
      <c r="N20" s="15">
        <v>134885.66</v>
      </c>
      <c r="O20" s="12">
        <v>135680.67000000001</v>
      </c>
      <c r="P20" s="12">
        <v>136134.34</v>
      </c>
      <c r="Q20" s="12">
        <v>136936.54999999999</v>
      </c>
      <c r="R20" s="12">
        <v>137805.23000000001</v>
      </c>
      <c r="S20" s="28">
        <v>138352</v>
      </c>
      <c r="T20" s="28">
        <v>138762.44</v>
      </c>
      <c r="U20" s="28">
        <v>140020.01</v>
      </c>
      <c r="V20" s="50">
        <v>141158.77000000002</v>
      </c>
      <c r="W20" s="28">
        <v>148201.48000000001</v>
      </c>
      <c r="X20" s="35">
        <v>149605.00999999998</v>
      </c>
      <c r="Y20" s="35">
        <v>150731.87</v>
      </c>
      <c r="Z20" s="35">
        <v>151840.28999999998</v>
      </c>
      <c r="AA20" s="35">
        <v>152895.75999999998</v>
      </c>
      <c r="AB20" s="35">
        <v>154095.85999999996</v>
      </c>
      <c r="AC20" s="35">
        <v>154913.01</v>
      </c>
      <c r="AD20" s="35">
        <v>155996.57</v>
      </c>
      <c r="AE20" s="35">
        <v>157065.22</v>
      </c>
    </row>
    <row r="21" spans="1:31" s="11" customFormat="1" x14ac:dyDescent="0.25">
      <c r="A21" s="20" t="s">
        <v>14</v>
      </c>
      <c r="B21" s="26">
        <v>204372.67</v>
      </c>
      <c r="C21" s="26">
        <v>202733.67</v>
      </c>
      <c r="D21" s="26">
        <v>200226.34</v>
      </c>
      <c r="E21" s="26">
        <v>205169</v>
      </c>
      <c r="F21" s="26">
        <v>204740.67</v>
      </c>
      <c r="G21" s="26">
        <v>205453</v>
      </c>
      <c r="H21" s="26">
        <v>205464.89</v>
      </c>
      <c r="I21" s="26">
        <v>206933.45</v>
      </c>
      <c r="J21" s="26">
        <v>209217.22</v>
      </c>
      <c r="K21" s="26">
        <v>210717.67</v>
      </c>
      <c r="L21" s="26">
        <v>213489.89</v>
      </c>
      <c r="M21" s="21">
        <v>214638.34</v>
      </c>
      <c r="N21" s="21">
        <v>211635.33</v>
      </c>
      <c r="O21" s="22">
        <v>214765.11</v>
      </c>
      <c r="P21" s="22">
        <v>214903.34</v>
      </c>
      <c r="Q21" s="22">
        <v>215988.44</v>
      </c>
      <c r="R21" s="22">
        <v>217258.23</v>
      </c>
      <c r="S21" s="21">
        <v>215709.22</v>
      </c>
      <c r="T21" s="21">
        <v>218271.46000000002</v>
      </c>
      <c r="U21" s="21">
        <v>219408.44000000003</v>
      </c>
      <c r="V21" s="49">
        <v>221092.54999999996</v>
      </c>
      <c r="W21" s="21">
        <v>229888.37000000002</v>
      </c>
      <c r="X21" s="34">
        <v>231014.06999999998</v>
      </c>
      <c r="Y21" s="34">
        <v>232124.26</v>
      </c>
      <c r="Z21" s="34">
        <v>233628.79</v>
      </c>
      <c r="AA21" s="34">
        <v>236249.59</v>
      </c>
      <c r="AB21" s="34">
        <v>237571.44</v>
      </c>
      <c r="AC21" s="34">
        <v>240168.05</v>
      </c>
      <c r="AD21" s="34">
        <v>243356.28</v>
      </c>
      <c r="AE21" s="34">
        <v>246659.38999999998</v>
      </c>
    </row>
    <row r="22" spans="1:31" s="11" customFormat="1" x14ac:dyDescent="0.25">
      <c r="A22" s="14" t="s">
        <v>15</v>
      </c>
      <c r="B22" s="27">
        <v>76402.23</v>
      </c>
      <c r="C22" s="27">
        <v>77226.11</v>
      </c>
      <c r="D22" s="27">
        <v>78356</v>
      </c>
      <c r="E22" s="27">
        <v>79327.45</v>
      </c>
      <c r="F22" s="27">
        <v>79979.89</v>
      </c>
      <c r="G22" s="27">
        <v>80797.440000000002</v>
      </c>
      <c r="H22" s="30">
        <v>81884.350000000006</v>
      </c>
      <c r="I22" s="27">
        <v>83071.88</v>
      </c>
      <c r="J22" s="27">
        <v>84351.66</v>
      </c>
      <c r="K22" s="27">
        <v>85820.45</v>
      </c>
      <c r="L22" s="27">
        <v>87323</v>
      </c>
      <c r="M22" s="15">
        <v>89361</v>
      </c>
      <c r="N22" s="15">
        <v>91060</v>
      </c>
      <c r="O22" s="12">
        <v>92221.67</v>
      </c>
      <c r="P22" s="12">
        <v>93080.66</v>
      </c>
      <c r="Q22" s="12">
        <v>94209.01</v>
      </c>
      <c r="R22" s="12">
        <v>95207</v>
      </c>
      <c r="S22" s="28">
        <v>96197.33</v>
      </c>
      <c r="T22" s="28">
        <v>97277.88</v>
      </c>
      <c r="U22" s="28">
        <v>98588.34</v>
      </c>
      <c r="V22" s="50">
        <v>99049</v>
      </c>
      <c r="W22" s="28">
        <v>104104.49</v>
      </c>
      <c r="X22" s="35">
        <v>104739.14000000001</v>
      </c>
      <c r="Y22" s="35">
        <v>105521.01000000001</v>
      </c>
      <c r="Z22" s="35">
        <v>106175.46999999999</v>
      </c>
      <c r="AA22" s="35">
        <v>106818.59</v>
      </c>
      <c r="AB22" s="35">
        <v>108056.65999999999</v>
      </c>
      <c r="AC22" s="35">
        <v>108971.78</v>
      </c>
      <c r="AD22" s="35">
        <v>110131.01000000001</v>
      </c>
      <c r="AE22" s="35">
        <v>111115.48999999999</v>
      </c>
    </row>
    <row r="23" spans="1:31" s="11" customFormat="1" x14ac:dyDescent="0.25">
      <c r="A23" s="20" t="s">
        <v>16</v>
      </c>
      <c r="B23" s="26">
        <v>27556.89</v>
      </c>
      <c r="C23" s="26">
        <v>27763.01</v>
      </c>
      <c r="D23" s="26">
        <v>27875</v>
      </c>
      <c r="E23" s="26">
        <v>27713.22</v>
      </c>
      <c r="F23" s="26">
        <v>27873.11</v>
      </c>
      <c r="G23" s="26">
        <v>28258.23</v>
      </c>
      <c r="H23" s="26">
        <v>28143.99</v>
      </c>
      <c r="I23" s="26">
        <v>28331.34</v>
      </c>
      <c r="J23" s="26">
        <v>28583.439999999999</v>
      </c>
      <c r="K23" s="26">
        <v>28511.23</v>
      </c>
      <c r="L23" s="26">
        <v>28416.66</v>
      </c>
      <c r="M23" s="21">
        <v>28445.54</v>
      </c>
      <c r="N23" s="21">
        <v>28399.11</v>
      </c>
      <c r="O23" s="22">
        <v>28425.34</v>
      </c>
      <c r="P23" s="22">
        <v>28517.45</v>
      </c>
      <c r="Q23" s="22">
        <v>28540.34</v>
      </c>
      <c r="R23" s="22">
        <v>28593</v>
      </c>
      <c r="S23" s="21">
        <v>28662.89</v>
      </c>
      <c r="T23" s="21">
        <v>28754.439999999995</v>
      </c>
      <c r="U23" s="21">
        <v>28858.879999999997</v>
      </c>
      <c r="V23" s="49">
        <v>29053.660000000003</v>
      </c>
      <c r="W23" s="21">
        <v>30157.219999999998</v>
      </c>
      <c r="X23" s="34">
        <v>30110.649999999998</v>
      </c>
      <c r="Y23" s="34">
        <v>30086.880000000001</v>
      </c>
      <c r="Z23" s="34">
        <v>30112.97</v>
      </c>
      <c r="AA23" s="34">
        <v>30368.060000000005</v>
      </c>
      <c r="AB23" s="34">
        <v>30515</v>
      </c>
      <c r="AC23" s="34">
        <v>30509.15</v>
      </c>
      <c r="AD23" s="34">
        <v>30551.9</v>
      </c>
      <c r="AE23" s="34">
        <v>30582.449999999997</v>
      </c>
    </row>
    <row r="24" spans="1:31" s="11" customFormat="1" x14ac:dyDescent="0.25">
      <c r="A24" s="14" t="s">
        <v>17</v>
      </c>
      <c r="B24" s="27">
        <v>27268.45</v>
      </c>
      <c r="C24" s="27">
        <v>27537.88</v>
      </c>
      <c r="D24" s="27">
        <v>27829.56</v>
      </c>
      <c r="E24" s="27">
        <v>28162.57</v>
      </c>
      <c r="F24" s="27">
        <v>28594.89</v>
      </c>
      <c r="G24" s="27">
        <v>28772.23</v>
      </c>
      <c r="H24" s="30">
        <v>28883.22</v>
      </c>
      <c r="I24" s="27">
        <v>29016.66</v>
      </c>
      <c r="J24" s="27">
        <v>29177.55</v>
      </c>
      <c r="K24" s="27">
        <v>29365.77</v>
      </c>
      <c r="L24" s="27">
        <v>29530.45</v>
      </c>
      <c r="M24" s="15">
        <v>29793.11</v>
      </c>
      <c r="N24" s="15">
        <v>30225.56</v>
      </c>
      <c r="O24" s="12">
        <v>30885.35</v>
      </c>
      <c r="P24" s="12">
        <v>31270.55</v>
      </c>
      <c r="Q24" s="12">
        <v>31739.79</v>
      </c>
      <c r="R24" s="12">
        <v>32182.31</v>
      </c>
      <c r="S24" s="28">
        <v>32761.89</v>
      </c>
      <c r="T24" s="28">
        <v>33458.11</v>
      </c>
      <c r="U24" s="28">
        <v>34057.89</v>
      </c>
      <c r="V24" s="50">
        <v>34872.880000000005</v>
      </c>
      <c r="W24" s="28">
        <v>37299.619999999995</v>
      </c>
      <c r="X24" s="35">
        <v>37977.58</v>
      </c>
      <c r="Y24" s="35">
        <v>38771.33</v>
      </c>
      <c r="Z24" s="35">
        <v>39326.959999999999</v>
      </c>
      <c r="AA24" s="35">
        <v>40408.5</v>
      </c>
      <c r="AB24" s="35">
        <v>41434.700000000004</v>
      </c>
      <c r="AC24" s="35">
        <v>42396.17</v>
      </c>
      <c r="AD24" s="35">
        <v>43394.969999999994</v>
      </c>
      <c r="AE24" s="35">
        <v>44307.83</v>
      </c>
    </row>
    <row r="25" spans="1:31" s="11" customFormat="1" x14ac:dyDescent="0.25">
      <c r="A25" s="20" t="s">
        <v>18</v>
      </c>
      <c r="B25" s="26">
        <v>27075.22</v>
      </c>
      <c r="C25" s="26">
        <v>27088.55</v>
      </c>
      <c r="D25" s="26">
        <v>27524.99</v>
      </c>
      <c r="E25" s="26">
        <v>27683.45</v>
      </c>
      <c r="F25" s="26">
        <v>27873.55</v>
      </c>
      <c r="G25" s="26">
        <v>28243.89</v>
      </c>
      <c r="H25" s="26">
        <v>28664.23</v>
      </c>
      <c r="I25" s="26">
        <v>28996.45</v>
      </c>
      <c r="J25" s="26">
        <v>29525.23</v>
      </c>
      <c r="K25" s="26">
        <v>30066.11</v>
      </c>
      <c r="L25" s="26">
        <v>30533.67</v>
      </c>
      <c r="M25" s="21">
        <v>31002.89</v>
      </c>
      <c r="N25" s="21">
        <v>31281.23</v>
      </c>
      <c r="O25" s="22">
        <v>31800</v>
      </c>
      <c r="P25" s="22">
        <v>32102.23</v>
      </c>
      <c r="Q25" s="22">
        <v>32426.89</v>
      </c>
      <c r="R25" s="22">
        <v>32812.67</v>
      </c>
      <c r="S25" s="21">
        <v>33095.440000000002</v>
      </c>
      <c r="T25" s="21">
        <v>33467</v>
      </c>
      <c r="U25" s="21">
        <v>33740.129999999997</v>
      </c>
      <c r="V25" s="49">
        <v>34059</v>
      </c>
      <c r="W25" s="21">
        <v>35461.5</v>
      </c>
      <c r="X25" s="34">
        <v>35785.79</v>
      </c>
      <c r="Y25" s="34">
        <v>36246.17</v>
      </c>
      <c r="Z25" s="34">
        <v>36569.119999999995</v>
      </c>
      <c r="AA25" s="34">
        <v>36787.620000000003</v>
      </c>
      <c r="AB25" s="34">
        <v>37204.339999999997</v>
      </c>
      <c r="AC25" s="34">
        <v>37708.659999999996</v>
      </c>
      <c r="AD25" s="34">
        <v>38131.879999999997</v>
      </c>
      <c r="AE25" s="34">
        <v>38343.39</v>
      </c>
    </row>
    <row r="26" spans="1:31" s="11" customFormat="1" x14ac:dyDescent="0.25">
      <c r="A26" s="14" t="s">
        <v>33</v>
      </c>
      <c r="B26" s="27">
        <v>8819.1</v>
      </c>
      <c r="C26" s="27">
        <v>8852.34</v>
      </c>
      <c r="D26" s="27">
        <v>8870.44</v>
      </c>
      <c r="E26" s="27">
        <v>8959.4500000000007</v>
      </c>
      <c r="F26" s="27">
        <v>8937.67</v>
      </c>
      <c r="G26" s="27">
        <v>9007.34</v>
      </c>
      <c r="H26" s="30">
        <v>9030.1200000000008</v>
      </c>
      <c r="I26" s="27">
        <v>9120.4599999999991</v>
      </c>
      <c r="J26" s="27">
        <v>9175.7800000000007</v>
      </c>
      <c r="K26" s="27">
        <v>9239.68</v>
      </c>
      <c r="L26" s="27">
        <v>9337</v>
      </c>
      <c r="M26" s="15">
        <v>9417.8799999999992</v>
      </c>
      <c r="N26" s="15">
        <v>9528.89</v>
      </c>
      <c r="O26" s="12">
        <v>9617.56</v>
      </c>
      <c r="P26" s="12">
        <v>9859.4500000000007</v>
      </c>
      <c r="Q26" s="12">
        <v>10013.77</v>
      </c>
      <c r="R26" s="12">
        <v>10122.77</v>
      </c>
      <c r="S26" s="28">
        <v>10221.56</v>
      </c>
      <c r="T26" s="28">
        <v>10192.780000000001</v>
      </c>
      <c r="U26" s="28">
        <v>10242.460000000001</v>
      </c>
      <c r="V26" s="50">
        <v>10246.67</v>
      </c>
      <c r="W26" s="28">
        <v>10365.380000000001</v>
      </c>
      <c r="X26" s="35">
        <v>10321.499999999998</v>
      </c>
      <c r="Y26" s="35">
        <v>10408.969999999999</v>
      </c>
      <c r="Z26" s="35">
        <v>10428.73</v>
      </c>
      <c r="AA26" s="35">
        <v>10509.969999999998</v>
      </c>
      <c r="AB26" s="35">
        <v>10607.630000000001</v>
      </c>
      <c r="AC26" s="35">
        <v>10695.929999999998</v>
      </c>
      <c r="AD26" s="35">
        <v>10790.02</v>
      </c>
      <c r="AE26" s="35">
        <v>10791.25</v>
      </c>
    </row>
    <row r="27" spans="1:31" s="11" customFormat="1" x14ac:dyDescent="0.25">
      <c r="A27" s="20" t="s">
        <v>19</v>
      </c>
      <c r="B27" s="26">
        <v>45756.11</v>
      </c>
      <c r="C27" s="26">
        <v>45986.77</v>
      </c>
      <c r="D27" s="26">
        <v>46678.559999999998</v>
      </c>
      <c r="E27" s="26">
        <v>46823.9</v>
      </c>
      <c r="F27" s="26">
        <v>46998.45</v>
      </c>
      <c r="G27" s="26">
        <v>47288.45</v>
      </c>
      <c r="H27" s="26">
        <v>47517.89</v>
      </c>
      <c r="I27" s="26">
        <v>47599.78</v>
      </c>
      <c r="J27" s="26">
        <v>48491.79</v>
      </c>
      <c r="K27" s="26">
        <v>48842.01</v>
      </c>
      <c r="L27" s="26">
        <v>49397.34</v>
      </c>
      <c r="M27" s="21">
        <v>49770.89</v>
      </c>
      <c r="N27" s="21">
        <v>50215.22</v>
      </c>
      <c r="O27" s="22">
        <v>50422.55</v>
      </c>
      <c r="P27" s="22">
        <v>50946.01</v>
      </c>
      <c r="Q27" s="22">
        <v>50982.9</v>
      </c>
      <c r="R27" s="22">
        <v>51029.11</v>
      </c>
      <c r="S27" s="21">
        <v>51219.67</v>
      </c>
      <c r="T27" s="21">
        <v>51422.679999999993</v>
      </c>
      <c r="U27" s="21">
        <v>51812.22</v>
      </c>
      <c r="V27" s="49">
        <v>52159.770000000004</v>
      </c>
      <c r="W27" s="21">
        <v>53895.119999999995</v>
      </c>
      <c r="X27" s="34">
        <v>53920.759999999995</v>
      </c>
      <c r="Y27" s="34">
        <v>54136.03</v>
      </c>
      <c r="Z27" s="34">
        <v>54415.170000000006</v>
      </c>
      <c r="AA27" s="34">
        <v>54759.57</v>
      </c>
      <c r="AB27" s="34">
        <v>55061.630000000005</v>
      </c>
      <c r="AC27" s="34">
        <v>55418.329999999994</v>
      </c>
      <c r="AD27" s="34">
        <v>55878.02</v>
      </c>
      <c r="AE27" s="34">
        <v>56297.479999999989</v>
      </c>
    </row>
    <row r="28" spans="1:31" s="11" customFormat="1" x14ac:dyDescent="0.25">
      <c r="A28" s="14" t="s">
        <v>20</v>
      </c>
      <c r="B28" s="27">
        <v>96984.34</v>
      </c>
      <c r="C28" s="27">
        <v>98059.22</v>
      </c>
      <c r="D28" s="27">
        <v>98607.12</v>
      </c>
      <c r="E28" s="27">
        <v>99608.78</v>
      </c>
      <c r="F28" s="27">
        <v>101455.21</v>
      </c>
      <c r="G28" s="27">
        <v>102865.44</v>
      </c>
      <c r="H28" s="30">
        <v>104948.22</v>
      </c>
      <c r="I28" s="27">
        <v>105747.89</v>
      </c>
      <c r="J28" s="27">
        <v>106878.89</v>
      </c>
      <c r="K28" s="27">
        <v>108615.67</v>
      </c>
      <c r="L28" s="27">
        <v>110538.68</v>
      </c>
      <c r="M28" s="15">
        <v>112061.55</v>
      </c>
      <c r="N28" s="15">
        <v>113297.76</v>
      </c>
      <c r="O28" s="12">
        <v>114134.89</v>
      </c>
      <c r="P28" s="12">
        <v>115245.66</v>
      </c>
      <c r="Q28" s="12">
        <v>115810.21</v>
      </c>
      <c r="R28" s="12">
        <v>116496.89</v>
      </c>
      <c r="S28" s="28">
        <v>116970.22</v>
      </c>
      <c r="T28" s="28">
        <v>118567.33</v>
      </c>
      <c r="U28" s="28">
        <v>118678.89</v>
      </c>
      <c r="V28" s="50">
        <v>119829.12999999999</v>
      </c>
      <c r="W28" s="28">
        <v>124452.64000000001</v>
      </c>
      <c r="X28" s="35">
        <v>125631.92</v>
      </c>
      <c r="Y28" s="35">
        <v>126600.09000000001</v>
      </c>
      <c r="Z28" s="35">
        <v>127210.72</v>
      </c>
      <c r="AA28" s="35">
        <v>128077.45000000001</v>
      </c>
      <c r="AB28" s="35">
        <v>128720.58000000002</v>
      </c>
      <c r="AC28" s="35">
        <v>129989.35</v>
      </c>
      <c r="AD28" s="35">
        <v>130494.25000000001</v>
      </c>
      <c r="AE28" s="35">
        <v>131496.07999999999</v>
      </c>
    </row>
    <row r="29" spans="1:31" s="11" customFormat="1" x14ac:dyDescent="0.25">
      <c r="A29" s="20" t="s">
        <v>21</v>
      </c>
      <c r="B29" s="26">
        <v>6664.21</v>
      </c>
      <c r="C29" s="26">
        <v>6698.22</v>
      </c>
      <c r="D29" s="26">
        <v>6731.45</v>
      </c>
      <c r="E29" s="26">
        <v>6761.44</v>
      </c>
      <c r="F29" s="26">
        <v>6793.44</v>
      </c>
      <c r="G29" s="26">
        <v>6849.44</v>
      </c>
      <c r="H29" s="26">
        <v>6928.78</v>
      </c>
      <c r="I29" s="26">
        <v>6978.99</v>
      </c>
      <c r="J29" s="26">
        <v>7093.9</v>
      </c>
      <c r="K29" s="26">
        <v>7210.44</v>
      </c>
      <c r="L29" s="26">
        <v>7262.44</v>
      </c>
      <c r="M29" s="21">
        <v>7383.77</v>
      </c>
      <c r="N29" s="21">
        <v>7502.11</v>
      </c>
      <c r="O29" s="22">
        <v>7635.56</v>
      </c>
      <c r="P29" s="22">
        <v>7716.67</v>
      </c>
      <c r="Q29" s="22">
        <v>7799.22</v>
      </c>
      <c r="R29" s="22">
        <v>7924.78</v>
      </c>
      <c r="S29" s="21">
        <v>8025.33</v>
      </c>
      <c r="T29" s="21">
        <v>8098.2300000000005</v>
      </c>
      <c r="U29" s="21">
        <v>8194.11</v>
      </c>
      <c r="V29" s="49">
        <v>8317.8799999999992</v>
      </c>
      <c r="W29" s="21">
        <v>8608.49</v>
      </c>
      <c r="X29" s="34">
        <v>8725.7900000000009</v>
      </c>
      <c r="Y29" s="34">
        <v>8788.3099999999977</v>
      </c>
      <c r="Z29" s="34">
        <v>8842.3199999999979</v>
      </c>
      <c r="AA29" s="34">
        <v>8947.1699999999983</v>
      </c>
      <c r="AB29" s="34">
        <v>8999.02</v>
      </c>
      <c r="AC29" s="34">
        <v>9119.8000000000011</v>
      </c>
      <c r="AD29" s="34">
        <v>9210.17</v>
      </c>
      <c r="AE29" s="34">
        <v>9274.91</v>
      </c>
    </row>
    <row r="30" spans="1:31" s="11" customFormat="1" x14ac:dyDescent="0.25">
      <c r="A30" s="14" t="s">
        <v>22</v>
      </c>
      <c r="B30" s="27">
        <v>51773.23</v>
      </c>
      <c r="C30" s="27">
        <v>52746.68</v>
      </c>
      <c r="D30" s="27">
        <v>53416.45</v>
      </c>
      <c r="E30" s="27">
        <v>54248.56</v>
      </c>
      <c r="F30" s="27">
        <v>54689.56</v>
      </c>
      <c r="G30" s="27">
        <v>55088.24</v>
      </c>
      <c r="H30" s="30">
        <v>55868.22</v>
      </c>
      <c r="I30" s="27">
        <v>57185.01</v>
      </c>
      <c r="J30" s="27">
        <v>57936.33</v>
      </c>
      <c r="K30" s="27">
        <v>58724.67</v>
      </c>
      <c r="L30" s="27">
        <v>59966.559999999998</v>
      </c>
      <c r="M30" s="15">
        <v>60764.44</v>
      </c>
      <c r="N30" s="15">
        <v>61571.78</v>
      </c>
      <c r="O30" s="12">
        <v>62072.9</v>
      </c>
      <c r="P30" s="12">
        <v>62290.77</v>
      </c>
      <c r="Q30" s="12">
        <v>62631.78</v>
      </c>
      <c r="R30" s="12">
        <v>62920.34</v>
      </c>
      <c r="S30" s="28">
        <v>63327.78</v>
      </c>
      <c r="T30" s="28">
        <v>63830.990000000005</v>
      </c>
      <c r="U30" s="28">
        <v>64292.560000000005</v>
      </c>
      <c r="V30" s="50">
        <v>64899.66</v>
      </c>
      <c r="W30" s="28">
        <v>69571.97</v>
      </c>
      <c r="X30" s="35">
        <v>70156.97</v>
      </c>
      <c r="Y30" s="35">
        <v>71003.859999999986</v>
      </c>
      <c r="Z30" s="35">
        <v>71579.95</v>
      </c>
      <c r="AA30" s="35">
        <v>72546.37</v>
      </c>
      <c r="AB30" s="35">
        <v>73280.560000000012</v>
      </c>
      <c r="AC30" s="35">
        <v>74083.89</v>
      </c>
      <c r="AD30" s="35">
        <v>74922.950000000012</v>
      </c>
      <c r="AE30" s="35">
        <v>75672.740000000005</v>
      </c>
    </row>
    <row r="31" spans="1:31" s="11" customFormat="1" x14ac:dyDescent="0.25">
      <c r="A31" s="20" t="s">
        <v>23</v>
      </c>
      <c r="B31" s="26">
        <v>63191.33</v>
      </c>
      <c r="C31" s="26">
        <v>63965.440000000002</v>
      </c>
      <c r="D31" s="26">
        <v>64123.44</v>
      </c>
      <c r="E31" s="26">
        <v>64588.55</v>
      </c>
      <c r="F31" s="26">
        <v>64899.9</v>
      </c>
      <c r="G31" s="26">
        <v>65173.46</v>
      </c>
      <c r="H31" s="26">
        <v>65407</v>
      </c>
      <c r="I31" s="26">
        <v>65527</v>
      </c>
      <c r="J31" s="26">
        <v>65762.100000000006</v>
      </c>
      <c r="K31" s="26">
        <v>65916.899999999994</v>
      </c>
      <c r="L31" s="26">
        <v>66400.570000000007</v>
      </c>
      <c r="M31" s="21">
        <v>66959.33</v>
      </c>
      <c r="N31" s="21">
        <v>67549.78</v>
      </c>
      <c r="O31" s="22">
        <v>67561.33</v>
      </c>
      <c r="P31" s="22">
        <v>67649.89</v>
      </c>
      <c r="Q31" s="22">
        <v>67716.23</v>
      </c>
      <c r="R31" s="22">
        <v>67843.56</v>
      </c>
      <c r="S31" s="21">
        <v>68307</v>
      </c>
      <c r="T31" s="21">
        <v>68882.55</v>
      </c>
      <c r="U31" s="21">
        <v>69558.89</v>
      </c>
      <c r="V31" s="49">
        <v>70138.990000000005</v>
      </c>
      <c r="W31" s="21">
        <v>74047.920000000013</v>
      </c>
      <c r="X31" s="34">
        <v>74881.190000000017</v>
      </c>
      <c r="Y31" s="34">
        <v>76005.33</v>
      </c>
      <c r="Z31" s="34">
        <v>76786.100000000006</v>
      </c>
      <c r="AA31" s="34">
        <v>77650.27</v>
      </c>
      <c r="AB31" s="34">
        <v>78852.960000000006</v>
      </c>
      <c r="AC31" s="34">
        <v>79413.680000000008</v>
      </c>
      <c r="AD31" s="34">
        <v>80041.19</v>
      </c>
      <c r="AE31" s="34">
        <v>80666.39</v>
      </c>
    </row>
    <row r="32" spans="1:31" s="11" customFormat="1" x14ac:dyDescent="0.25">
      <c r="A32" s="14" t="s">
        <v>24</v>
      </c>
      <c r="B32" s="27">
        <v>39132.550000000003</v>
      </c>
      <c r="C32" s="27">
        <v>39403.550000000003</v>
      </c>
      <c r="D32" s="27">
        <v>39875.879999999997</v>
      </c>
      <c r="E32" s="27">
        <v>40143.99</v>
      </c>
      <c r="F32" s="27">
        <v>40723.78</v>
      </c>
      <c r="G32" s="27">
        <v>41093.1</v>
      </c>
      <c r="H32" s="30">
        <v>41712.44</v>
      </c>
      <c r="I32" s="27">
        <v>42249.78</v>
      </c>
      <c r="J32" s="27">
        <v>42920.88</v>
      </c>
      <c r="K32" s="27">
        <v>43444.77</v>
      </c>
      <c r="L32" s="27">
        <v>44094.9</v>
      </c>
      <c r="M32" s="15">
        <v>44955.67</v>
      </c>
      <c r="N32" s="15">
        <v>45499.22</v>
      </c>
      <c r="O32" s="12">
        <v>45957.56</v>
      </c>
      <c r="P32" s="12">
        <v>46245.9</v>
      </c>
      <c r="Q32" s="12">
        <v>46814.68</v>
      </c>
      <c r="R32" s="12">
        <v>47072.11</v>
      </c>
      <c r="S32" s="28">
        <v>47428.33</v>
      </c>
      <c r="T32" s="28">
        <v>47722.79</v>
      </c>
      <c r="U32" s="28">
        <v>48021.1</v>
      </c>
      <c r="V32" s="50">
        <v>48272.450000000004</v>
      </c>
      <c r="W32" s="28">
        <v>51552.700000000004</v>
      </c>
      <c r="X32" s="35">
        <v>51665.27</v>
      </c>
      <c r="Y32" s="35">
        <v>52214.229999999996</v>
      </c>
      <c r="Z32" s="35">
        <v>52203.509999999987</v>
      </c>
      <c r="AA32" s="35">
        <v>52618.889999999992</v>
      </c>
      <c r="AB32" s="35">
        <v>53007.51</v>
      </c>
      <c r="AC32" s="35">
        <v>53262.36</v>
      </c>
      <c r="AD32" s="35">
        <v>53415</v>
      </c>
      <c r="AE32" s="35">
        <v>53577.549999999996</v>
      </c>
    </row>
    <row r="33" spans="1:31" s="11" customFormat="1" x14ac:dyDescent="0.25">
      <c r="A33" s="20" t="s">
        <v>25</v>
      </c>
      <c r="B33" s="26">
        <v>7078</v>
      </c>
      <c r="C33" s="26">
        <v>7155.76</v>
      </c>
      <c r="D33" s="26">
        <v>7204.89</v>
      </c>
      <c r="E33" s="26">
        <v>7223.46</v>
      </c>
      <c r="F33" s="26">
        <v>7270.79</v>
      </c>
      <c r="G33" s="26">
        <v>7328.12</v>
      </c>
      <c r="H33" s="26">
        <v>7371.68</v>
      </c>
      <c r="I33" s="26">
        <v>7456.88</v>
      </c>
      <c r="J33" s="26">
        <v>7519.45</v>
      </c>
      <c r="K33" s="26">
        <v>7603.55</v>
      </c>
      <c r="L33" s="26">
        <v>7652.1</v>
      </c>
      <c r="M33" s="21">
        <v>7761.23</v>
      </c>
      <c r="N33" s="21">
        <v>7863.22</v>
      </c>
      <c r="O33" s="22">
        <v>7991</v>
      </c>
      <c r="P33" s="22">
        <v>8098.44</v>
      </c>
      <c r="Q33" s="22">
        <v>8202.7900000000009</v>
      </c>
      <c r="R33" s="22">
        <v>8302.1299999999992</v>
      </c>
      <c r="S33" s="21">
        <v>8372.33</v>
      </c>
      <c r="T33" s="21">
        <v>8487.77</v>
      </c>
      <c r="U33" s="21">
        <v>8574.4499999999989</v>
      </c>
      <c r="V33" s="49">
        <v>8640.8900000000012</v>
      </c>
      <c r="W33" s="21">
        <v>8861.15</v>
      </c>
      <c r="X33" s="34">
        <v>8884.4500000000007</v>
      </c>
      <c r="Y33" s="34">
        <v>8929.090000000002</v>
      </c>
      <c r="Z33" s="34">
        <v>8957.7100000000009</v>
      </c>
      <c r="AA33" s="34">
        <v>9016.9600000000009</v>
      </c>
      <c r="AB33" s="34">
        <v>9072.630000000001</v>
      </c>
      <c r="AC33" s="34">
        <v>9107.92</v>
      </c>
      <c r="AD33" s="34">
        <v>9232.9200000000019</v>
      </c>
      <c r="AE33" s="34">
        <v>9290.41</v>
      </c>
    </row>
    <row r="34" spans="1:31" s="11" customFormat="1" x14ac:dyDescent="0.25">
      <c r="A34" s="14" t="s">
        <v>26</v>
      </c>
      <c r="B34" s="27">
        <v>43648</v>
      </c>
      <c r="C34" s="27">
        <v>44047.56</v>
      </c>
      <c r="D34" s="27">
        <v>44119.89</v>
      </c>
      <c r="E34" s="27">
        <v>44536.45</v>
      </c>
      <c r="F34" s="27">
        <v>44852.67</v>
      </c>
      <c r="G34" s="27">
        <v>45011.22</v>
      </c>
      <c r="H34" s="30">
        <v>45476.66</v>
      </c>
      <c r="I34" s="27">
        <v>45961.45</v>
      </c>
      <c r="J34" s="27">
        <v>46242.89</v>
      </c>
      <c r="K34" s="27">
        <v>46502.11</v>
      </c>
      <c r="L34" s="27">
        <v>46586.66</v>
      </c>
      <c r="M34" s="15">
        <v>47005.9</v>
      </c>
      <c r="N34" s="15">
        <v>47147.66</v>
      </c>
      <c r="O34" s="12">
        <v>47250.44</v>
      </c>
      <c r="P34" s="12">
        <v>47514.12</v>
      </c>
      <c r="Q34" s="12">
        <v>47752.46</v>
      </c>
      <c r="R34" s="12">
        <v>47939.11</v>
      </c>
      <c r="S34" s="28">
        <v>48114.559999999998</v>
      </c>
      <c r="T34" s="28">
        <v>48503.44</v>
      </c>
      <c r="U34" s="28">
        <v>48604.33</v>
      </c>
      <c r="V34" s="50">
        <v>48747.78</v>
      </c>
      <c r="W34" s="28">
        <v>51631.270000000004</v>
      </c>
      <c r="X34" s="35">
        <v>51825.82</v>
      </c>
      <c r="Y34" s="35">
        <v>52489.27</v>
      </c>
      <c r="Z34" s="35">
        <v>52325.06</v>
      </c>
      <c r="AA34" s="35">
        <v>52558.76</v>
      </c>
      <c r="AB34" s="35">
        <v>52812.59</v>
      </c>
      <c r="AC34" s="35">
        <v>53111.549999999996</v>
      </c>
      <c r="AD34" s="35">
        <v>53310.799999999996</v>
      </c>
      <c r="AE34" s="35">
        <v>53642.95</v>
      </c>
    </row>
    <row r="35" spans="1:31" s="11" customFormat="1" x14ac:dyDescent="0.25">
      <c r="A35" s="20" t="s">
        <v>27</v>
      </c>
      <c r="B35" s="26">
        <v>101072.88</v>
      </c>
      <c r="C35" s="26">
        <v>101809.33</v>
      </c>
      <c r="D35" s="26">
        <v>102165.22</v>
      </c>
      <c r="E35" s="26">
        <v>103565.22</v>
      </c>
      <c r="F35" s="26">
        <v>105070.11</v>
      </c>
      <c r="G35" s="26">
        <v>105855.32</v>
      </c>
      <c r="H35" s="26">
        <v>107423.78</v>
      </c>
      <c r="I35" s="26">
        <v>108995.78</v>
      </c>
      <c r="J35" s="26">
        <v>110563.1</v>
      </c>
      <c r="K35" s="26">
        <v>112266.33</v>
      </c>
      <c r="L35" s="26">
        <v>114267</v>
      </c>
      <c r="M35" s="21">
        <v>115755.56</v>
      </c>
      <c r="N35" s="21">
        <v>116623.44</v>
      </c>
      <c r="O35" s="22">
        <v>117424.66</v>
      </c>
      <c r="P35" s="22">
        <v>118139.78</v>
      </c>
      <c r="Q35" s="22">
        <v>118907.88</v>
      </c>
      <c r="R35" s="22">
        <v>120299.22</v>
      </c>
      <c r="S35" s="21">
        <v>121176.22</v>
      </c>
      <c r="T35" s="21">
        <v>122285.22</v>
      </c>
      <c r="U35" s="21">
        <v>123569.45</v>
      </c>
      <c r="V35" s="49">
        <v>124516.22</v>
      </c>
      <c r="W35" s="21">
        <v>131493.5</v>
      </c>
      <c r="X35" s="34">
        <v>132952.65</v>
      </c>
      <c r="Y35" s="34">
        <v>134679.48000000001</v>
      </c>
      <c r="Z35" s="34">
        <v>135882.14000000001</v>
      </c>
      <c r="AA35" s="34">
        <v>137608.4</v>
      </c>
      <c r="AB35" s="34">
        <v>139720.91</v>
      </c>
      <c r="AC35" s="34">
        <v>141007.1</v>
      </c>
      <c r="AD35" s="34">
        <v>142511.70000000001</v>
      </c>
      <c r="AE35" s="34">
        <v>144202.99</v>
      </c>
    </row>
    <row r="36" spans="1:31" s="11" customFormat="1" x14ac:dyDescent="0.25">
      <c r="A36" s="14" t="s">
        <v>28</v>
      </c>
      <c r="B36" s="27">
        <v>31402.560000000001</v>
      </c>
      <c r="C36" s="27">
        <v>32007.32</v>
      </c>
      <c r="D36" s="27">
        <v>32428.99</v>
      </c>
      <c r="E36" s="27">
        <v>32842.769999999997</v>
      </c>
      <c r="F36" s="27">
        <v>33243.550000000003</v>
      </c>
      <c r="G36" s="27">
        <v>33736.339999999997</v>
      </c>
      <c r="H36" s="30">
        <v>34317.440000000002</v>
      </c>
      <c r="I36" s="27">
        <v>34769</v>
      </c>
      <c r="J36" s="27">
        <v>35099.58</v>
      </c>
      <c r="K36" s="27">
        <v>35611.11</v>
      </c>
      <c r="L36" s="27">
        <v>35700.79</v>
      </c>
      <c r="M36" s="15">
        <v>35846.339999999997</v>
      </c>
      <c r="N36" s="15">
        <v>36132.22</v>
      </c>
      <c r="O36" s="12">
        <v>36330.120000000003</v>
      </c>
      <c r="P36" s="12">
        <v>36660.339999999997</v>
      </c>
      <c r="Q36" s="12">
        <v>36826.660000000003</v>
      </c>
      <c r="R36" s="12">
        <v>37128.339999999997</v>
      </c>
      <c r="S36" s="28">
        <v>37319.89</v>
      </c>
      <c r="T36" s="28">
        <v>37834.350000000006</v>
      </c>
      <c r="U36" s="28">
        <v>38124.65</v>
      </c>
      <c r="V36" s="50">
        <v>38305.879999999997</v>
      </c>
      <c r="W36" s="28">
        <v>41605.200000000004</v>
      </c>
      <c r="X36" s="35">
        <v>41835.4</v>
      </c>
      <c r="Y36" s="35">
        <v>41990.060000000005</v>
      </c>
      <c r="Z36" s="35">
        <v>42076.310000000005</v>
      </c>
      <c r="AA36" s="35">
        <v>42382.33</v>
      </c>
      <c r="AB36" s="35">
        <v>43183.17</v>
      </c>
      <c r="AC36" s="35">
        <v>43661.270000000004</v>
      </c>
      <c r="AD36" s="35">
        <v>44062.45</v>
      </c>
      <c r="AE36" s="35">
        <v>44255.85</v>
      </c>
    </row>
    <row r="37" spans="1:31" s="11" customFormat="1" x14ac:dyDescent="0.25">
      <c r="A37" s="20" t="s">
        <v>29</v>
      </c>
      <c r="B37" s="26">
        <v>32478.77</v>
      </c>
      <c r="C37" s="26">
        <v>32891.879999999997</v>
      </c>
      <c r="D37" s="26">
        <v>33171.67</v>
      </c>
      <c r="E37" s="26">
        <v>32803.550000000003</v>
      </c>
      <c r="F37" s="26">
        <v>32641.33</v>
      </c>
      <c r="G37" s="26">
        <v>33057.89</v>
      </c>
      <c r="H37" s="26">
        <v>33084.35</v>
      </c>
      <c r="I37" s="26">
        <v>33276.769999999997</v>
      </c>
      <c r="J37" s="26">
        <v>33472.559999999998</v>
      </c>
      <c r="K37" s="26">
        <v>33845.230000000003</v>
      </c>
      <c r="L37" s="26">
        <v>33918.550000000003</v>
      </c>
      <c r="M37" s="21">
        <v>34136.67</v>
      </c>
      <c r="N37" s="21">
        <v>34263.67</v>
      </c>
      <c r="O37" s="22">
        <v>34235.440000000002</v>
      </c>
      <c r="P37" s="22">
        <v>34295.01</v>
      </c>
      <c r="Q37" s="22">
        <v>34373.99</v>
      </c>
      <c r="R37" s="22">
        <v>34429.550000000003</v>
      </c>
      <c r="S37" s="21">
        <v>34500.22</v>
      </c>
      <c r="T37" s="21">
        <v>34898.89</v>
      </c>
      <c r="U37" s="21">
        <v>35179.329999999994</v>
      </c>
      <c r="V37" s="49">
        <v>35217.57</v>
      </c>
      <c r="W37" s="21">
        <v>36177.800000000003</v>
      </c>
      <c r="X37" s="34">
        <v>36325.040000000001</v>
      </c>
      <c r="Y37" s="34">
        <v>36411.160000000003</v>
      </c>
      <c r="Z37" s="34">
        <v>36826.229999999996</v>
      </c>
      <c r="AA37" s="34">
        <v>36678.14</v>
      </c>
      <c r="AB37" s="34">
        <v>36822.850000000006</v>
      </c>
      <c r="AC37" s="34">
        <v>36974.21</v>
      </c>
      <c r="AD37" s="34">
        <v>37187.590000000004</v>
      </c>
      <c r="AE37" s="34">
        <v>37309.24</v>
      </c>
    </row>
    <row r="38" spans="1:31" s="11" customFormat="1" ht="13" thickBot="1" x14ac:dyDescent="0.3">
      <c r="A38" s="23" t="s">
        <v>30</v>
      </c>
      <c r="B38" s="29">
        <v>47510.67</v>
      </c>
      <c r="C38" s="29">
        <v>48226.66</v>
      </c>
      <c r="D38" s="29">
        <v>49447.34</v>
      </c>
      <c r="E38" s="29">
        <v>50351.89</v>
      </c>
      <c r="F38" s="29">
        <v>51983.23</v>
      </c>
      <c r="G38" s="29">
        <v>53060.9</v>
      </c>
      <c r="H38" s="31">
        <v>53866.89</v>
      </c>
      <c r="I38" s="29">
        <v>55049.66</v>
      </c>
      <c r="J38" s="29">
        <v>56315.89</v>
      </c>
      <c r="K38" s="29">
        <v>57484.11</v>
      </c>
      <c r="L38" s="29">
        <v>58558.12</v>
      </c>
      <c r="M38" s="24">
        <v>60030.67</v>
      </c>
      <c r="N38" s="24">
        <v>60699.44</v>
      </c>
      <c r="O38" s="24">
        <v>60776.56</v>
      </c>
      <c r="P38" s="24">
        <v>61347.22</v>
      </c>
      <c r="Q38" s="24">
        <v>61636.01</v>
      </c>
      <c r="R38" s="24">
        <v>62014.89</v>
      </c>
      <c r="S38" s="24">
        <v>62304.22</v>
      </c>
      <c r="T38" s="24">
        <v>63116.770000000004</v>
      </c>
      <c r="U38" s="24">
        <v>64239.44</v>
      </c>
      <c r="V38" s="51">
        <v>64899.67</v>
      </c>
      <c r="W38" s="24">
        <v>68191.430000000008</v>
      </c>
      <c r="X38" s="36">
        <v>68933.099999999991</v>
      </c>
      <c r="Y38" s="36">
        <v>69881.109999999986</v>
      </c>
      <c r="Z38" s="36">
        <v>70806.59</v>
      </c>
      <c r="AA38" s="36">
        <v>71903.900000000009</v>
      </c>
      <c r="AB38" s="36">
        <v>72870.510000000009</v>
      </c>
      <c r="AC38" s="36">
        <v>74229.98</v>
      </c>
      <c r="AD38" s="36">
        <v>75334.330000000016</v>
      </c>
      <c r="AE38" s="36">
        <v>76299.359999999986</v>
      </c>
    </row>
    <row r="39" spans="1:31" s="8" customFormat="1" ht="18" customHeight="1" x14ac:dyDescent="0.3">
      <c r="A39" s="17" t="s">
        <v>37</v>
      </c>
      <c r="C39" s="9"/>
      <c r="M39" s="10"/>
      <c r="N39" s="10"/>
      <c r="Q39" s="10"/>
    </row>
    <row r="40" spans="1:31" x14ac:dyDescent="0.25">
      <c r="A40" s="39" t="s">
        <v>36</v>
      </c>
      <c r="M40" s="2"/>
      <c r="N40" s="2"/>
      <c r="Q40" s="2"/>
    </row>
    <row r="41" spans="1:31" x14ac:dyDescent="0.25">
      <c r="A41" s="39" t="s">
        <v>39</v>
      </c>
      <c r="M41" s="2"/>
      <c r="N41" s="2"/>
      <c r="Q41" s="2"/>
    </row>
    <row r="42" spans="1:31" ht="13" x14ac:dyDescent="0.3">
      <c r="A42" s="38"/>
      <c r="R42" s="7"/>
      <c r="X42" s="2"/>
      <c r="Y42" s="2"/>
      <c r="Z42" s="2"/>
      <c r="AA42" s="2"/>
    </row>
    <row r="43" spans="1:31" ht="13" x14ac:dyDescent="0.3">
      <c r="A43" s="3"/>
      <c r="Q43" s="2"/>
    </row>
    <row r="44" spans="1:31" x14ac:dyDescent="0.25">
      <c r="Q44" s="6"/>
      <c r="R44" s="6"/>
      <c r="S44" s="6"/>
    </row>
    <row r="45" spans="1:31" ht="13" x14ac:dyDescent="0.3">
      <c r="A45" s="4"/>
      <c r="R45" s="7"/>
    </row>
    <row r="46" spans="1:31" x14ac:dyDescent="0.25">
      <c r="Q46" s="2"/>
    </row>
    <row r="47" spans="1:31" x14ac:dyDescent="0.25">
      <c r="Q47" s="6"/>
      <c r="R47" s="6"/>
      <c r="S47" s="6"/>
    </row>
    <row r="48" spans="1:31" ht="13" x14ac:dyDescent="0.3">
      <c r="R48" s="7"/>
    </row>
    <row r="49" spans="17:19" x14ac:dyDescent="0.25">
      <c r="Q49" s="2"/>
    </row>
    <row r="50" spans="17:19" x14ac:dyDescent="0.25">
      <c r="Q50" s="6"/>
      <c r="R50" s="6"/>
      <c r="S50" s="6"/>
    </row>
    <row r="51" spans="17:19" ht="13" x14ac:dyDescent="0.3">
      <c r="R51" s="7"/>
    </row>
    <row r="52" spans="17:19" x14ac:dyDescent="0.25">
      <c r="Q52" s="2"/>
    </row>
    <row r="53" spans="17:19" x14ac:dyDescent="0.25">
      <c r="Q53" s="6"/>
      <c r="R53" s="6"/>
      <c r="S53" s="6"/>
    </row>
    <row r="54" spans="17:19" ht="13" x14ac:dyDescent="0.3">
      <c r="R54" s="7"/>
    </row>
    <row r="55" spans="17:19" x14ac:dyDescent="0.25">
      <c r="Q55" s="2"/>
    </row>
    <row r="56" spans="17:19" x14ac:dyDescent="0.25">
      <c r="Q56" s="6"/>
      <c r="R56" s="6"/>
      <c r="S56" s="6"/>
    </row>
    <row r="57" spans="17:19" ht="13" x14ac:dyDescent="0.3">
      <c r="R57" s="7"/>
    </row>
    <row r="58" spans="17:19" x14ac:dyDescent="0.25">
      <c r="Q58" s="2"/>
    </row>
    <row r="59" spans="17:19" x14ac:dyDescent="0.25">
      <c r="Q59" s="6"/>
      <c r="R59" s="6"/>
      <c r="S59" s="6"/>
    </row>
    <row r="60" spans="17:19" ht="13" x14ac:dyDescent="0.3">
      <c r="R60" s="7"/>
    </row>
    <row r="61" spans="17:19" x14ac:dyDescent="0.25">
      <c r="Q61" s="2"/>
    </row>
    <row r="62" spans="17:19" x14ac:dyDescent="0.25">
      <c r="Q62" s="6"/>
      <c r="R62" s="6"/>
      <c r="S62" s="6"/>
    </row>
    <row r="63" spans="17:19" ht="13" x14ac:dyDescent="0.3">
      <c r="R63" s="7"/>
    </row>
    <row r="64" spans="17:19" x14ac:dyDescent="0.25">
      <c r="Q64" s="2"/>
    </row>
    <row r="65" spans="17:19" x14ac:dyDescent="0.25">
      <c r="Q65" s="6"/>
      <c r="R65" s="6"/>
      <c r="S65" s="6"/>
    </row>
    <row r="66" spans="17:19" ht="13" x14ac:dyDescent="0.3">
      <c r="R66" s="7"/>
    </row>
    <row r="67" spans="17:19" x14ac:dyDescent="0.25">
      <c r="Q67" s="2"/>
    </row>
    <row r="68" spans="17:19" x14ac:dyDescent="0.25">
      <c r="Q68" s="6"/>
      <c r="R68" s="6"/>
      <c r="S68" s="6"/>
    </row>
    <row r="69" spans="17:19" ht="13" x14ac:dyDescent="0.3">
      <c r="R69" s="7"/>
    </row>
    <row r="70" spans="17:19" x14ac:dyDescent="0.25">
      <c r="Q70" s="2"/>
    </row>
    <row r="71" spans="17:19" x14ac:dyDescent="0.25">
      <c r="Q71" s="6"/>
      <c r="R71" s="6"/>
      <c r="S71" s="6"/>
    </row>
    <row r="72" spans="17:19" ht="13" x14ac:dyDescent="0.3">
      <c r="R72" s="7"/>
    </row>
    <row r="73" spans="17:19" x14ac:dyDescent="0.25">
      <c r="Q73" s="2"/>
    </row>
    <row r="74" spans="17:19" x14ac:dyDescent="0.25">
      <c r="Q74" s="6"/>
      <c r="R74" s="6"/>
      <c r="S74" s="6"/>
    </row>
    <row r="75" spans="17:19" ht="13" x14ac:dyDescent="0.3">
      <c r="R75" s="7"/>
    </row>
    <row r="76" spans="17:19" x14ac:dyDescent="0.25">
      <c r="Q76" s="2"/>
    </row>
    <row r="77" spans="17:19" x14ac:dyDescent="0.25">
      <c r="Q77" s="6"/>
      <c r="R77" s="6"/>
      <c r="S77" s="6"/>
    </row>
    <row r="78" spans="17:19" ht="13" x14ac:dyDescent="0.3">
      <c r="R78" s="7"/>
    </row>
    <row r="79" spans="17:19" x14ac:dyDescent="0.25">
      <c r="Q79" s="2"/>
    </row>
    <row r="80" spans="17:19" x14ac:dyDescent="0.25">
      <c r="Q80" s="6"/>
      <c r="R80" s="6"/>
      <c r="S80" s="6"/>
    </row>
    <row r="81" spans="17:19" ht="13" x14ac:dyDescent="0.3">
      <c r="R81" s="7"/>
    </row>
    <row r="82" spans="17:19" x14ac:dyDescent="0.25">
      <c r="Q82" s="2"/>
    </row>
    <row r="83" spans="17:19" x14ac:dyDescent="0.25">
      <c r="Q83" s="6"/>
      <c r="R83" s="6"/>
      <c r="S83" s="6"/>
    </row>
    <row r="84" spans="17:19" ht="13" x14ac:dyDescent="0.3">
      <c r="R84" s="7"/>
    </row>
    <row r="85" spans="17:19" x14ac:dyDescent="0.25">
      <c r="Q85" s="2"/>
    </row>
    <row r="86" spans="17:19" x14ac:dyDescent="0.25">
      <c r="Q86" s="6"/>
      <c r="R86" s="6"/>
      <c r="S86" s="6"/>
    </row>
    <row r="87" spans="17:19" ht="13" x14ac:dyDescent="0.3">
      <c r="R87" s="7"/>
    </row>
    <row r="88" spans="17:19" x14ac:dyDescent="0.25">
      <c r="Q88" s="2"/>
    </row>
    <row r="89" spans="17:19" x14ac:dyDescent="0.25">
      <c r="Q89" s="6"/>
      <c r="R89" s="6"/>
      <c r="S89" s="6"/>
    </row>
    <row r="90" spans="17:19" ht="13" x14ac:dyDescent="0.3">
      <c r="R90" s="7"/>
    </row>
    <row r="91" spans="17:19" x14ac:dyDescent="0.25">
      <c r="Q91" s="2"/>
    </row>
    <row r="92" spans="17:19" x14ac:dyDescent="0.25">
      <c r="Q92" s="6"/>
      <c r="R92" s="6"/>
      <c r="S92" s="6"/>
    </row>
    <row r="93" spans="17:19" ht="13" x14ac:dyDescent="0.3">
      <c r="R93" s="7"/>
    </row>
    <row r="94" spans="17:19" x14ac:dyDescent="0.25">
      <c r="Q94" s="2"/>
    </row>
    <row r="95" spans="17:19" x14ac:dyDescent="0.25">
      <c r="Q95" s="6"/>
      <c r="R95" s="6"/>
      <c r="S95" s="6"/>
    </row>
    <row r="96" spans="17:19" ht="13" x14ac:dyDescent="0.3">
      <c r="R96" s="7"/>
    </row>
    <row r="97" spans="17:19" x14ac:dyDescent="0.25">
      <c r="Q97" s="2"/>
    </row>
    <row r="98" spans="17:19" x14ac:dyDescent="0.25">
      <c r="Q98" s="6"/>
      <c r="R98" s="6"/>
      <c r="S98" s="6"/>
    </row>
    <row r="99" spans="17:19" ht="13" x14ac:dyDescent="0.3">
      <c r="R99" s="7"/>
    </row>
    <row r="100" spans="17:19" x14ac:dyDescent="0.25">
      <c r="Q100" s="2"/>
    </row>
    <row r="101" spans="17:19" x14ac:dyDescent="0.25">
      <c r="Q101" s="6"/>
      <c r="R101" s="6"/>
      <c r="S101" s="6"/>
    </row>
    <row r="102" spans="17:19" ht="13" x14ac:dyDescent="0.3">
      <c r="R102" s="7"/>
    </row>
    <row r="103" spans="17:19" x14ac:dyDescent="0.25">
      <c r="Q103" s="2"/>
    </row>
    <row r="104" spans="17:19" x14ac:dyDescent="0.25">
      <c r="Q104" s="6"/>
      <c r="R104" s="6"/>
      <c r="S104" s="6"/>
    </row>
    <row r="105" spans="17:19" ht="13" x14ac:dyDescent="0.3">
      <c r="R105" s="7"/>
    </row>
    <row r="106" spans="17:19" x14ac:dyDescent="0.25">
      <c r="Q106" s="2"/>
    </row>
  </sheetData>
  <hyperlinks>
    <hyperlink ref="D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fitToWidth="2" fitToHeight="2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5"/>
  <sheetViews>
    <sheetView topLeftCell="A4" zoomScaleNormal="100" workbookViewId="0">
      <selection activeCell="N7" sqref="N7"/>
    </sheetView>
  </sheetViews>
  <sheetFormatPr defaultColWidth="9.1796875" defaultRowHeight="12.5" x14ac:dyDescent="0.25"/>
  <cols>
    <col min="1" max="1" width="22.453125" style="1" customWidth="1"/>
    <col min="2" max="12" width="11.7265625" style="1" customWidth="1"/>
    <col min="13" max="14" width="13.453125" style="1" customWidth="1"/>
    <col min="15" max="16384" width="9.1796875" style="1"/>
  </cols>
  <sheetData>
    <row r="1" spans="1:14" s="11" customFormat="1" ht="20.149999999999999" customHeight="1" x14ac:dyDescent="0.25">
      <c r="A1" s="13" t="s">
        <v>41</v>
      </c>
      <c r="B1" s="46"/>
      <c r="L1" s="12"/>
    </row>
    <row r="2" spans="1:14" ht="18" customHeight="1" x14ac:dyDescent="0.3">
      <c r="A2" s="3" t="s">
        <v>31</v>
      </c>
      <c r="B2" s="47"/>
      <c r="L2" s="2"/>
      <c r="M2" s="42"/>
    </row>
    <row r="3" spans="1:14" ht="13" x14ac:dyDescent="0.3">
      <c r="A3" s="44" t="s">
        <v>34</v>
      </c>
      <c r="B3" s="47"/>
      <c r="D3" s="45" t="s">
        <v>35</v>
      </c>
      <c r="E3" s="5"/>
      <c r="F3" s="5"/>
      <c r="G3" s="5"/>
      <c r="H3" s="5"/>
      <c r="I3" s="5"/>
      <c r="J3" s="5"/>
      <c r="K3" s="5"/>
      <c r="L3" s="5"/>
      <c r="M3" s="43"/>
      <c r="N3" s="43"/>
    </row>
    <row r="4" spans="1:14" ht="13" x14ac:dyDescent="0.3">
      <c r="A4" s="44"/>
      <c r="B4" s="47"/>
      <c r="D4" s="45"/>
      <c r="E4" s="5"/>
      <c r="F4" s="5"/>
      <c r="G4" s="5"/>
      <c r="H4" s="5"/>
      <c r="I4" s="5"/>
      <c r="J4" s="5"/>
      <c r="K4" s="5"/>
      <c r="L4" s="5"/>
      <c r="M4" s="43"/>
      <c r="N4" s="43"/>
    </row>
    <row r="5" spans="1:14" s="11" customFormat="1" ht="20.149999999999999" customHeight="1" x14ac:dyDescent="0.25">
      <c r="A5" s="18"/>
      <c r="B5" s="19">
        <v>2013</v>
      </c>
      <c r="C5" s="19">
        <v>2014</v>
      </c>
      <c r="D5" s="19">
        <v>2015</v>
      </c>
      <c r="E5" s="32">
        <v>2016</v>
      </c>
      <c r="F5" s="19">
        <v>2017</v>
      </c>
      <c r="G5" s="19">
        <v>2018</v>
      </c>
      <c r="H5" s="19">
        <v>2019</v>
      </c>
      <c r="I5" s="19">
        <v>2020</v>
      </c>
      <c r="J5" s="19">
        <v>2021</v>
      </c>
      <c r="K5" s="19" t="s">
        <v>38</v>
      </c>
      <c r="L5" s="19">
        <v>2023</v>
      </c>
      <c r="M5" s="19">
        <v>2024</v>
      </c>
      <c r="N5" s="19">
        <v>2025</v>
      </c>
    </row>
    <row r="6" spans="1:14" s="11" customFormat="1" ht="13" x14ac:dyDescent="0.25">
      <c r="A6" s="16" t="s">
        <v>0</v>
      </c>
      <c r="B6" s="25">
        <v>1761865.7891476706</v>
      </c>
      <c r="C6" s="25">
        <v>1791991.4548136611</v>
      </c>
      <c r="D6" s="25">
        <v>1819779.2799999998</v>
      </c>
      <c r="E6" s="48">
        <v>1846345.89</v>
      </c>
      <c r="F6" s="37">
        <v>1966951.4700000007</v>
      </c>
      <c r="G6" s="37">
        <v>1987624.4200000002</v>
      </c>
      <c r="H6" s="37">
        <v>2015234.8499999999</v>
      </c>
      <c r="I6" s="37">
        <v>2014690.4800000002</v>
      </c>
      <c r="J6" s="37">
        <v>2044273.6</v>
      </c>
      <c r="K6" s="37">
        <v>2074880.9899999998</v>
      </c>
      <c r="L6" s="37">
        <f>SUM(L7:L38)</f>
        <v>2095517.3900000001</v>
      </c>
      <c r="M6" s="37">
        <f>SUM(M7:M38)</f>
        <v>2119271.21</v>
      </c>
      <c r="N6" s="37">
        <f>SUM(N7:N38)</f>
        <v>2139959.0200000005</v>
      </c>
    </row>
    <row r="7" spans="1:14" s="11" customFormat="1" x14ac:dyDescent="0.25">
      <c r="A7" s="20" t="s">
        <v>1</v>
      </c>
      <c r="B7" s="21">
        <v>83942.941282195068</v>
      </c>
      <c r="C7" s="21">
        <v>86170.84</v>
      </c>
      <c r="D7" s="21">
        <v>85534.22</v>
      </c>
      <c r="E7" s="49">
        <v>86251.959999999992</v>
      </c>
      <c r="F7" s="21">
        <v>91680.180000000008</v>
      </c>
      <c r="G7" s="34">
        <v>91610.290000000008</v>
      </c>
      <c r="H7" s="34">
        <v>93582.66</v>
      </c>
      <c r="I7" s="34">
        <v>94101.15</v>
      </c>
      <c r="J7" s="34">
        <v>93609.849999999991</v>
      </c>
      <c r="K7" s="34">
        <v>95286.83</v>
      </c>
      <c r="L7" s="34">
        <v>96431.670000000013</v>
      </c>
      <c r="M7" s="34">
        <v>97699.569999999992</v>
      </c>
      <c r="N7" s="34">
        <v>98962.87</v>
      </c>
    </row>
    <row r="8" spans="1:14" s="11" customFormat="1" x14ac:dyDescent="0.25">
      <c r="A8" s="14" t="s">
        <v>2</v>
      </c>
      <c r="B8" s="28">
        <v>100249.75767747589</v>
      </c>
      <c r="C8" s="28">
        <v>102155.34156003506</v>
      </c>
      <c r="D8" s="28">
        <v>103735.94</v>
      </c>
      <c r="E8" s="50">
        <v>104113.64999999998</v>
      </c>
      <c r="F8" s="28">
        <v>112274.05</v>
      </c>
      <c r="G8" s="35">
        <v>113116.15</v>
      </c>
      <c r="H8" s="35">
        <v>114120.14</v>
      </c>
      <c r="I8" s="35">
        <v>114162.11</v>
      </c>
      <c r="J8" s="35">
        <v>115869.41</v>
      </c>
      <c r="K8" s="35">
        <v>117073.78000000001</v>
      </c>
      <c r="L8" s="35">
        <v>117825.92000000001</v>
      </c>
      <c r="M8" s="35">
        <v>118717.08</v>
      </c>
      <c r="N8" s="35">
        <v>119402.52999999998</v>
      </c>
    </row>
    <row r="9" spans="1:14" s="11" customFormat="1" x14ac:dyDescent="0.25">
      <c r="A9" s="20" t="s">
        <v>3</v>
      </c>
      <c r="B9" s="21">
        <v>38962.809552238803</v>
      </c>
      <c r="C9" s="21">
        <v>39543.951464552236</v>
      </c>
      <c r="D9" s="21">
        <v>39920.390000000007</v>
      </c>
      <c r="E9" s="49">
        <v>40262.590000000004</v>
      </c>
      <c r="F9" s="21">
        <v>42066.349999999991</v>
      </c>
      <c r="G9" s="34">
        <v>42501.919999999998</v>
      </c>
      <c r="H9" s="34">
        <v>42944.02</v>
      </c>
      <c r="I9" s="34">
        <v>43011.320000000007</v>
      </c>
      <c r="J9" s="34">
        <v>43552.72</v>
      </c>
      <c r="K9" s="34">
        <v>44172.490000000005</v>
      </c>
      <c r="L9" s="34">
        <v>44273.81</v>
      </c>
      <c r="M9" s="34">
        <v>44382.96</v>
      </c>
      <c r="N9" s="34">
        <v>44657.77</v>
      </c>
    </row>
    <row r="10" spans="1:14" s="11" customFormat="1" x14ac:dyDescent="0.25">
      <c r="A10" s="14" t="s">
        <v>4</v>
      </c>
      <c r="B10" s="28">
        <v>34539.529711375217</v>
      </c>
      <c r="C10" s="28">
        <v>34606.541069609506</v>
      </c>
      <c r="D10" s="28">
        <v>35100.300000000003</v>
      </c>
      <c r="E10" s="50">
        <v>35433.339999999997</v>
      </c>
      <c r="F10" s="28">
        <v>37841.78</v>
      </c>
      <c r="G10" s="35">
        <v>38122.219999999994</v>
      </c>
      <c r="H10" s="35">
        <v>38463.5</v>
      </c>
      <c r="I10" s="35">
        <v>38247.75</v>
      </c>
      <c r="J10" s="35">
        <v>39046.540000000008</v>
      </c>
      <c r="K10" s="35">
        <v>39528.710000000006</v>
      </c>
      <c r="L10" s="35">
        <v>39458.42</v>
      </c>
      <c r="M10" s="35">
        <v>39772.14</v>
      </c>
      <c r="N10" s="35">
        <v>39800.400000000001</v>
      </c>
    </row>
    <row r="11" spans="1:14" s="11" customFormat="1" x14ac:dyDescent="0.25">
      <c r="A11" s="20" t="s">
        <v>32</v>
      </c>
      <c r="B11" s="21">
        <v>183445.87440547475</v>
      </c>
      <c r="C11" s="21">
        <v>188084.15293413171</v>
      </c>
      <c r="D11" s="21">
        <v>189672.18</v>
      </c>
      <c r="E11" s="49">
        <v>193560.63000000003</v>
      </c>
      <c r="F11" s="21">
        <v>212150.80000000002</v>
      </c>
      <c r="G11" s="34">
        <v>214636.62000000002</v>
      </c>
      <c r="H11" s="34">
        <v>218745.55000000002</v>
      </c>
      <c r="I11" s="34">
        <v>218733.37000000002</v>
      </c>
      <c r="J11" s="34">
        <v>221609.07</v>
      </c>
      <c r="K11" s="34">
        <v>226988.17</v>
      </c>
      <c r="L11" s="34">
        <v>229855.09</v>
      </c>
      <c r="M11" s="34">
        <v>234976.02000000002</v>
      </c>
      <c r="N11" s="34">
        <v>237616.88000000003</v>
      </c>
    </row>
    <row r="12" spans="1:14" s="11" customFormat="1" x14ac:dyDescent="0.25">
      <c r="A12" s="14" t="s">
        <v>5</v>
      </c>
      <c r="B12" s="28">
        <v>16191.437526132406</v>
      </c>
      <c r="C12" s="28">
        <v>16367.579895470382</v>
      </c>
      <c r="D12" s="28">
        <v>16753.63</v>
      </c>
      <c r="E12" s="50">
        <v>16852.349999999999</v>
      </c>
      <c r="F12" s="28">
        <v>17929.84</v>
      </c>
      <c r="G12" s="35">
        <v>18124.309999999998</v>
      </c>
      <c r="H12" s="35">
        <v>18386.13</v>
      </c>
      <c r="I12" s="35">
        <v>18255.100000000002</v>
      </c>
      <c r="J12" s="35">
        <v>18395.829999999998</v>
      </c>
      <c r="K12" s="35">
        <v>18493.189999999999</v>
      </c>
      <c r="L12" s="35">
        <v>18662.27</v>
      </c>
      <c r="M12" s="35">
        <v>18700.260000000002</v>
      </c>
      <c r="N12" s="35">
        <v>18808.54</v>
      </c>
    </row>
    <row r="13" spans="1:14" s="11" customFormat="1" x14ac:dyDescent="0.25">
      <c r="A13" s="20" t="s">
        <v>6</v>
      </c>
      <c r="B13" s="21">
        <v>52303.69415633937</v>
      </c>
      <c r="C13" s="21">
        <v>52774.745643469971</v>
      </c>
      <c r="D13" s="21">
        <v>53245.46</v>
      </c>
      <c r="E13" s="49">
        <v>53685.11</v>
      </c>
      <c r="F13" s="21">
        <v>56368.049999999996</v>
      </c>
      <c r="G13" s="34">
        <v>56633.999999999993</v>
      </c>
      <c r="H13" s="34">
        <v>56860.73</v>
      </c>
      <c r="I13" s="34">
        <v>56686.28</v>
      </c>
      <c r="J13" s="34">
        <v>57296.93</v>
      </c>
      <c r="K13" s="34">
        <v>57779.67</v>
      </c>
      <c r="L13" s="34">
        <v>57482.83</v>
      </c>
      <c r="M13" s="34">
        <v>57557.140000000007</v>
      </c>
      <c r="N13" s="34">
        <v>57710.130000000005</v>
      </c>
    </row>
    <row r="14" spans="1:14" s="11" customFormat="1" x14ac:dyDescent="0.25">
      <c r="A14" s="14" t="s">
        <v>7</v>
      </c>
      <c r="B14" s="28">
        <v>39135.082749793561</v>
      </c>
      <c r="C14" s="28">
        <v>39269.93495458299</v>
      </c>
      <c r="D14" s="28">
        <v>39757.589999999997</v>
      </c>
      <c r="E14" s="50">
        <v>40413.35</v>
      </c>
      <c r="F14" s="28">
        <v>41835.550000000003</v>
      </c>
      <c r="G14" s="35">
        <v>42118.05</v>
      </c>
      <c r="H14" s="35">
        <v>42281.02</v>
      </c>
      <c r="I14" s="35">
        <v>41798.189999999995</v>
      </c>
      <c r="J14" s="35">
        <v>42526.76</v>
      </c>
      <c r="K14" s="35">
        <v>43160.54</v>
      </c>
      <c r="L14" s="35">
        <v>44255.6</v>
      </c>
      <c r="M14" s="35">
        <v>45454.99</v>
      </c>
      <c r="N14" s="35">
        <v>45692.639999999999</v>
      </c>
    </row>
    <row r="15" spans="1:14" s="11" customFormat="1" x14ac:dyDescent="0.25">
      <c r="A15" s="20" t="s">
        <v>8</v>
      </c>
      <c r="B15" s="21">
        <v>34825.305683311046</v>
      </c>
      <c r="C15" s="21">
        <v>35118.285219640195</v>
      </c>
      <c r="D15" s="21">
        <v>35819.370000000003</v>
      </c>
      <c r="E15" s="49">
        <v>36549.200000000004</v>
      </c>
      <c r="F15" s="21">
        <v>38178.759999999995</v>
      </c>
      <c r="G15" s="34">
        <v>38844.42</v>
      </c>
      <c r="H15" s="34">
        <v>39256.130000000005</v>
      </c>
      <c r="I15" s="34">
        <v>39023.269999999997</v>
      </c>
      <c r="J15" s="34">
        <v>39714.26</v>
      </c>
      <c r="K15" s="34">
        <v>40178.519999999997</v>
      </c>
      <c r="L15" s="34">
        <v>40677.939999999995</v>
      </c>
      <c r="M15" s="34">
        <v>41016.129999999997</v>
      </c>
      <c r="N15" s="34">
        <v>41411.599999999999</v>
      </c>
    </row>
    <row r="16" spans="1:14" s="11" customFormat="1" x14ac:dyDescent="0.25">
      <c r="A16" s="14" t="s">
        <v>9</v>
      </c>
      <c r="B16" s="28">
        <v>43690.25098699479</v>
      </c>
      <c r="C16" s="28">
        <v>44266.84096904147</v>
      </c>
      <c r="D16" s="28">
        <v>45100.82</v>
      </c>
      <c r="E16" s="50">
        <v>45678.11</v>
      </c>
      <c r="F16" s="28">
        <v>50254.57</v>
      </c>
      <c r="G16" s="35">
        <v>50839.94</v>
      </c>
      <c r="H16" s="35">
        <v>51063.33</v>
      </c>
      <c r="I16" s="35">
        <v>51102.28</v>
      </c>
      <c r="J16" s="35">
        <v>51653.749999999993</v>
      </c>
      <c r="K16" s="35">
        <v>51969.32</v>
      </c>
      <c r="L16" s="35">
        <v>52108.109999999993</v>
      </c>
      <c r="M16" s="35">
        <v>52323.009999999995</v>
      </c>
      <c r="N16" s="35">
        <v>52442.44</v>
      </c>
    </row>
    <row r="17" spans="1:14" s="11" customFormat="1" x14ac:dyDescent="0.25">
      <c r="A17" s="20" t="s">
        <v>10</v>
      </c>
      <c r="B17" s="21">
        <v>37748.956094915979</v>
      </c>
      <c r="C17" s="21">
        <v>38188.557295324026</v>
      </c>
      <c r="D17" s="21">
        <v>38885.050000000003</v>
      </c>
      <c r="E17" s="49">
        <v>39609.449999999997</v>
      </c>
      <c r="F17" s="21">
        <v>42859.67</v>
      </c>
      <c r="G17" s="34">
        <v>43860.99</v>
      </c>
      <c r="H17" s="34">
        <v>44966.67</v>
      </c>
      <c r="I17" s="34">
        <v>45723.530000000006</v>
      </c>
      <c r="J17" s="34">
        <v>47309.54</v>
      </c>
      <c r="K17" s="34">
        <v>48282.5</v>
      </c>
      <c r="L17" s="34">
        <v>49271.79</v>
      </c>
      <c r="M17" s="34">
        <v>50523.89</v>
      </c>
      <c r="N17" s="34">
        <v>51653.500000000007</v>
      </c>
    </row>
    <row r="18" spans="1:14" s="11" customFormat="1" x14ac:dyDescent="0.25">
      <c r="A18" s="14" t="s">
        <v>11</v>
      </c>
      <c r="B18" s="28">
        <v>36982.26312611012</v>
      </c>
      <c r="C18" s="28">
        <v>37479.926660746001</v>
      </c>
      <c r="D18" s="28">
        <v>37991.68</v>
      </c>
      <c r="E18" s="50">
        <v>38623.31</v>
      </c>
      <c r="F18" s="28">
        <v>42733.8</v>
      </c>
      <c r="G18" s="35">
        <v>43168.54</v>
      </c>
      <c r="H18" s="35">
        <v>43545.110000000008</v>
      </c>
      <c r="I18" s="35">
        <v>43581.71</v>
      </c>
      <c r="J18" s="35">
        <v>44261.4</v>
      </c>
      <c r="K18" s="35">
        <v>45051.03</v>
      </c>
      <c r="L18" s="35">
        <v>45585.009999999995</v>
      </c>
      <c r="M18" s="35">
        <v>45905.11</v>
      </c>
      <c r="N18" s="35">
        <v>46218.51</v>
      </c>
    </row>
    <row r="19" spans="1:14" s="11" customFormat="1" x14ac:dyDescent="0.25">
      <c r="A19" s="20" t="s">
        <v>12</v>
      </c>
      <c r="B19" s="21">
        <v>49893.79728971963</v>
      </c>
      <c r="C19" s="21">
        <v>50690.649813084114</v>
      </c>
      <c r="D19" s="21">
        <v>51729.030000000006</v>
      </c>
      <c r="E19" s="49">
        <v>52603.76</v>
      </c>
      <c r="F19" s="21">
        <v>55851.170000000006</v>
      </c>
      <c r="G19" s="34">
        <v>56548.319999999992</v>
      </c>
      <c r="H19" s="34">
        <v>57200.729999999996</v>
      </c>
      <c r="I19" s="34">
        <v>57311.439999999988</v>
      </c>
      <c r="J19" s="34">
        <v>57692.480000000003</v>
      </c>
      <c r="K19" s="34">
        <v>57946.130000000012</v>
      </c>
      <c r="L19" s="34">
        <v>58006.29</v>
      </c>
      <c r="M19" s="34">
        <v>58654.2</v>
      </c>
      <c r="N19" s="34">
        <v>58374.14</v>
      </c>
    </row>
    <row r="20" spans="1:14" s="11" customFormat="1" x14ac:dyDescent="0.25">
      <c r="A20" s="14" t="s">
        <v>13</v>
      </c>
      <c r="B20" s="28">
        <v>118753.61001788909</v>
      </c>
      <c r="C20" s="28">
        <v>120487.39438282647</v>
      </c>
      <c r="D20" s="28">
        <v>122408.03</v>
      </c>
      <c r="E20" s="50">
        <v>123793.20999999999</v>
      </c>
      <c r="F20" s="28">
        <v>130678.65</v>
      </c>
      <c r="G20" s="35">
        <v>132092.81999999998</v>
      </c>
      <c r="H20" s="35">
        <v>133839.35999999999</v>
      </c>
      <c r="I20" s="35">
        <v>134589.81</v>
      </c>
      <c r="J20" s="35">
        <v>135334.78</v>
      </c>
      <c r="K20" s="35">
        <v>137201.25999999998</v>
      </c>
      <c r="L20" s="35">
        <v>137956.15</v>
      </c>
      <c r="M20" s="35">
        <v>138915.57999999999</v>
      </c>
      <c r="N20" s="35">
        <v>139943.01999999999</v>
      </c>
    </row>
    <row r="21" spans="1:14" s="11" customFormat="1" x14ac:dyDescent="0.25">
      <c r="A21" s="20" t="s">
        <v>14</v>
      </c>
      <c r="B21" s="21">
        <v>156524.55388293485</v>
      </c>
      <c r="C21" s="21">
        <v>159893.94515251444</v>
      </c>
      <c r="D21" s="21">
        <v>163546.5</v>
      </c>
      <c r="E21" s="49">
        <v>166967.28</v>
      </c>
      <c r="F21" s="21">
        <v>175984.43</v>
      </c>
      <c r="G21" s="34">
        <v>177603.75999999998</v>
      </c>
      <c r="H21" s="34">
        <v>179858.72</v>
      </c>
      <c r="I21" s="34">
        <v>178487.2</v>
      </c>
      <c r="J21" s="34">
        <v>182869.16999999998</v>
      </c>
      <c r="K21" s="34">
        <v>185162.18</v>
      </c>
      <c r="L21" s="34">
        <v>188309.73</v>
      </c>
      <c r="M21" s="34">
        <v>191652.30000000002</v>
      </c>
      <c r="N21" s="34">
        <v>195990.85</v>
      </c>
    </row>
    <row r="22" spans="1:14" s="11" customFormat="1" x14ac:dyDescent="0.25">
      <c r="A22" s="14" t="s">
        <v>15</v>
      </c>
      <c r="B22" s="28">
        <v>85295.35235597592</v>
      </c>
      <c r="C22" s="28">
        <v>86784.276388650047</v>
      </c>
      <c r="D22" s="28">
        <v>88485.180000000008</v>
      </c>
      <c r="E22" s="50">
        <v>89303.93</v>
      </c>
      <c r="F22" s="28">
        <v>94012.999999999985</v>
      </c>
      <c r="G22" s="35">
        <v>94839.77</v>
      </c>
      <c r="H22" s="35">
        <v>96048.99</v>
      </c>
      <c r="I22" s="35">
        <v>95666.05</v>
      </c>
      <c r="J22" s="35">
        <v>96794.4</v>
      </c>
      <c r="K22" s="35">
        <v>98343.669999999984</v>
      </c>
      <c r="L22" s="35">
        <v>99302.190000000017</v>
      </c>
      <c r="M22" s="35">
        <v>100424.37</v>
      </c>
      <c r="N22" s="35">
        <v>101597.32999999999</v>
      </c>
    </row>
    <row r="23" spans="1:14" s="11" customFormat="1" x14ac:dyDescent="0.25">
      <c r="A23" s="20" t="s">
        <v>16</v>
      </c>
      <c r="B23" s="21">
        <v>22758.88332220367</v>
      </c>
      <c r="C23" s="21">
        <v>23070.2057178631</v>
      </c>
      <c r="D23" s="21">
        <v>23428.520000000004</v>
      </c>
      <c r="E23" s="49">
        <v>23837.91</v>
      </c>
      <c r="F23" s="21">
        <v>24981.35</v>
      </c>
      <c r="G23" s="34">
        <v>24882.400000000001</v>
      </c>
      <c r="H23" s="34">
        <v>24933.719999999998</v>
      </c>
      <c r="I23" s="34">
        <v>24889.25</v>
      </c>
      <c r="J23" s="34">
        <v>25293.64</v>
      </c>
      <c r="K23" s="34">
        <v>25479.839999999997</v>
      </c>
      <c r="L23" s="34">
        <v>25410.46</v>
      </c>
      <c r="M23" s="34">
        <v>25410.400000000001</v>
      </c>
      <c r="N23" s="34">
        <v>25475.829999999998</v>
      </c>
    </row>
    <row r="24" spans="1:14" s="11" customFormat="1" x14ac:dyDescent="0.25">
      <c r="A24" s="14" t="s">
        <v>17</v>
      </c>
      <c r="B24" s="28">
        <v>28268.501570247932</v>
      </c>
      <c r="C24" s="28">
        <v>29079.690223140497</v>
      </c>
      <c r="D24" s="28">
        <v>29901.68</v>
      </c>
      <c r="E24" s="50">
        <v>30861.48</v>
      </c>
      <c r="F24" s="28">
        <v>33360.35</v>
      </c>
      <c r="G24" s="35">
        <v>34091.280000000006</v>
      </c>
      <c r="H24" s="35">
        <v>35075.570000000007</v>
      </c>
      <c r="I24" s="35">
        <v>35573.240000000005</v>
      </c>
      <c r="J24" s="35">
        <v>36787.56</v>
      </c>
      <c r="K24" s="35">
        <v>37799.94</v>
      </c>
      <c r="L24" s="35">
        <v>38771.680000000008</v>
      </c>
      <c r="M24" s="35">
        <v>39578.450000000004</v>
      </c>
      <c r="N24" s="35">
        <v>40468.43</v>
      </c>
    </row>
    <row r="25" spans="1:14" s="11" customFormat="1" x14ac:dyDescent="0.25">
      <c r="A25" s="20" t="s">
        <v>18</v>
      </c>
      <c r="B25" s="21">
        <v>29643.457621145375</v>
      </c>
      <c r="C25" s="21">
        <v>30116.272246696037</v>
      </c>
      <c r="D25" s="21">
        <v>30537.149999999998</v>
      </c>
      <c r="E25" s="49">
        <v>30851.579999999994</v>
      </c>
      <c r="F25" s="21">
        <v>32291.070000000003</v>
      </c>
      <c r="G25" s="34">
        <v>32661.74</v>
      </c>
      <c r="H25" s="34">
        <v>33248.019999999997</v>
      </c>
      <c r="I25" s="34">
        <v>33347.629999999997</v>
      </c>
      <c r="J25" s="34">
        <v>33711.71</v>
      </c>
      <c r="K25" s="34">
        <v>34242.079999999994</v>
      </c>
      <c r="L25" s="34">
        <v>34708.729999999996</v>
      </c>
      <c r="M25" s="34">
        <v>35110.159999999996</v>
      </c>
      <c r="N25" s="34">
        <v>35314.370000000003</v>
      </c>
    </row>
    <row r="26" spans="1:14" s="11" customFormat="1" x14ac:dyDescent="0.25">
      <c r="A26" s="14" t="s">
        <v>33</v>
      </c>
      <c r="B26" s="28">
        <v>8651.2474999999995</v>
      </c>
      <c r="C26" s="28">
        <v>8721.2145312499997</v>
      </c>
      <c r="D26" s="28">
        <v>8869.58</v>
      </c>
      <c r="E26" s="50">
        <v>8926.93</v>
      </c>
      <c r="F26" s="28">
        <v>9052.17</v>
      </c>
      <c r="G26" s="35">
        <v>9079.7099999999991</v>
      </c>
      <c r="H26" s="35">
        <v>9215.25</v>
      </c>
      <c r="I26" s="35">
        <v>9221.619999999999</v>
      </c>
      <c r="J26" s="35">
        <v>9367.4499999999989</v>
      </c>
      <c r="K26" s="35">
        <v>9523.98</v>
      </c>
      <c r="L26" s="35">
        <v>9629.83</v>
      </c>
      <c r="M26" s="35">
        <v>9780.7899999999991</v>
      </c>
      <c r="N26" s="35">
        <v>9786.2199999999993</v>
      </c>
    </row>
    <row r="27" spans="1:14" s="11" customFormat="1" x14ac:dyDescent="0.25">
      <c r="A27" s="20" t="s">
        <v>19</v>
      </c>
      <c r="B27" s="21">
        <v>40911.510277777779</v>
      </c>
      <c r="C27" s="21">
        <v>41410.860737847215</v>
      </c>
      <c r="D27" s="21">
        <v>41958.919999999991</v>
      </c>
      <c r="E27" s="49">
        <v>42639.340000000004</v>
      </c>
      <c r="F27" s="21">
        <v>44280.959999999999</v>
      </c>
      <c r="G27" s="34">
        <v>44546.75</v>
      </c>
      <c r="H27" s="34">
        <v>45064.2</v>
      </c>
      <c r="I27" s="34">
        <v>44822.35</v>
      </c>
      <c r="J27" s="34">
        <v>45495.92</v>
      </c>
      <c r="K27" s="34">
        <v>45748.66</v>
      </c>
      <c r="L27" s="34">
        <v>45772.95</v>
      </c>
      <c r="M27" s="34">
        <v>46059.05</v>
      </c>
      <c r="N27" s="34">
        <v>46515.939999999995</v>
      </c>
    </row>
    <row r="28" spans="1:14" s="11" customFormat="1" x14ac:dyDescent="0.25">
      <c r="A28" s="14" t="s">
        <v>20</v>
      </c>
      <c r="B28" s="28">
        <v>93703.371183970856</v>
      </c>
      <c r="C28" s="28">
        <v>95834.591484517296</v>
      </c>
      <c r="D28" s="28">
        <v>97191.84</v>
      </c>
      <c r="E28" s="50">
        <v>99181.979999999981</v>
      </c>
      <c r="F28" s="28">
        <v>103817.60000000002</v>
      </c>
      <c r="G28" s="35">
        <v>105473.24</v>
      </c>
      <c r="H28" s="35">
        <v>106825.93</v>
      </c>
      <c r="I28" s="35">
        <v>106337.27000000002</v>
      </c>
      <c r="J28" s="35">
        <v>108092.21</v>
      </c>
      <c r="K28" s="35">
        <v>109267.37</v>
      </c>
      <c r="L28" s="35">
        <v>110294.12000000001</v>
      </c>
      <c r="M28" s="35">
        <v>110685.86</v>
      </c>
      <c r="N28" s="35">
        <v>111516.56000000001</v>
      </c>
    </row>
    <row r="29" spans="1:14" s="11" customFormat="1" x14ac:dyDescent="0.25">
      <c r="A29" s="20" t="s">
        <v>21</v>
      </c>
      <c r="B29" s="21">
        <v>7277.0175602700092</v>
      </c>
      <c r="C29" s="21">
        <v>7371.5299035679855</v>
      </c>
      <c r="D29" s="21">
        <v>7502.37</v>
      </c>
      <c r="E29" s="49">
        <v>7617.7800000000007</v>
      </c>
      <c r="F29" s="21">
        <v>7922.58</v>
      </c>
      <c r="G29" s="34">
        <v>8048.55</v>
      </c>
      <c r="H29" s="34">
        <v>8115.4500000000007</v>
      </c>
      <c r="I29" s="34">
        <v>8093.46</v>
      </c>
      <c r="J29" s="34">
        <v>8234.3200000000015</v>
      </c>
      <c r="K29" s="34">
        <v>8254.5</v>
      </c>
      <c r="L29" s="34">
        <v>8385.0400000000009</v>
      </c>
      <c r="M29" s="34">
        <v>8501.119999999999</v>
      </c>
      <c r="N29" s="34">
        <v>8576.25</v>
      </c>
    </row>
    <row r="30" spans="1:14" s="11" customFormat="1" x14ac:dyDescent="0.25">
      <c r="A30" s="14" t="s">
        <v>22</v>
      </c>
      <c r="B30" s="28">
        <v>57397.728186528497</v>
      </c>
      <c r="C30" s="28">
        <v>58070.05735751296</v>
      </c>
      <c r="D30" s="28">
        <v>58815.450000000004</v>
      </c>
      <c r="E30" s="50">
        <v>59538.3</v>
      </c>
      <c r="F30" s="28">
        <v>64260.509999999995</v>
      </c>
      <c r="G30" s="35">
        <v>64952.22</v>
      </c>
      <c r="H30" s="35">
        <v>66018.28</v>
      </c>
      <c r="I30" s="35">
        <v>66442.570000000007</v>
      </c>
      <c r="J30" s="35">
        <v>67252.899999999994</v>
      </c>
      <c r="K30" s="35">
        <v>68079.649999999994</v>
      </c>
      <c r="L30" s="35">
        <v>68735.489999999991</v>
      </c>
      <c r="M30" s="35">
        <v>69478.850000000006</v>
      </c>
      <c r="N30" s="35">
        <v>70153.639999999985</v>
      </c>
    </row>
    <row r="31" spans="1:14" s="11" customFormat="1" x14ac:dyDescent="0.25">
      <c r="A31" s="20" t="s">
        <v>23</v>
      </c>
      <c r="B31" s="21">
        <v>56490.121689033134</v>
      </c>
      <c r="C31" s="21">
        <v>57305.874970593039</v>
      </c>
      <c r="D31" s="21">
        <v>58575.93</v>
      </c>
      <c r="E31" s="49">
        <v>59558</v>
      </c>
      <c r="F31" s="21">
        <v>63438.05</v>
      </c>
      <c r="G31" s="34">
        <v>64422.609999999993</v>
      </c>
      <c r="H31" s="34">
        <v>65713.649999999994</v>
      </c>
      <c r="I31" s="34">
        <v>65612.430000000008</v>
      </c>
      <c r="J31" s="34">
        <v>67148.3</v>
      </c>
      <c r="K31" s="34">
        <v>69079.850000000006</v>
      </c>
      <c r="L31" s="34">
        <v>69724.14</v>
      </c>
      <c r="M31" s="34">
        <v>70470.89</v>
      </c>
      <c r="N31" s="34">
        <v>70999.95</v>
      </c>
    </row>
    <row r="32" spans="1:14" s="11" customFormat="1" x14ac:dyDescent="0.25">
      <c r="A32" s="14" t="s">
        <v>24</v>
      </c>
      <c r="B32" s="28">
        <v>42049.178708487088</v>
      </c>
      <c r="C32" s="28">
        <v>42523.227702952034</v>
      </c>
      <c r="D32" s="28">
        <v>43177.97</v>
      </c>
      <c r="E32" s="50">
        <v>43659.909999999996</v>
      </c>
      <c r="F32" s="28">
        <v>46984.04</v>
      </c>
      <c r="G32" s="35">
        <v>47143.59</v>
      </c>
      <c r="H32" s="35">
        <v>47712.61</v>
      </c>
      <c r="I32" s="35">
        <v>46991.91</v>
      </c>
      <c r="J32" s="35">
        <v>48178.359999999993</v>
      </c>
      <c r="K32" s="35">
        <v>48585.38</v>
      </c>
      <c r="L32" s="35">
        <v>49033.34</v>
      </c>
      <c r="M32" s="35">
        <v>49236.880000000005</v>
      </c>
      <c r="N32" s="35">
        <v>49354.250000000007</v>
      </c>
    </row>
    <row r="33" spans="1:14" s="11" customFormat="1" x14ac:dyDescent="0.25">
      <c r="A33" s="20" t="s">
        <v>25</v>
      </c>
      <c r="B33" s="21">
        <v>7717.0859354226022</v>
      </c>
      <c r="C33" s="21">
        <v>7879.9960208926877</v>
      </c>
      <c r="D33" s="21">
        <v>7997.46</v>
      </c>
      <c r="E33" s="49">
        <v>8054.33</v>
      </c>
      <c r="F33" s="21">
        <v>8284.9</v>
      </c>
      <c r="G33" s="34">
        <v>8301.7800000000007</v>
      </c>
      <c r="H33" s="34">
        <v>8332.2200000000012</v>
      </c>
      <c r="I33" s="34">
        <v>8317.09</v>
      </c>
      <c r="J33" s="34">
        <v>8424.44</v>
      </c>
      <c r="K33" s="34">
        <v>8459.44</v>
      </c>
      <c r="L33" s="34">
        <v>8512.6400000000012</v>
      </c>
      <c r="M33" s="34">
        <v>8611.4200000000019</v>
      </c>
      <c r="N33" s="34">
        <v>8684.61</v>
      </c>
    </row>
    <row r="34" spans="1:14" s="11" customFormat="1" x14ac:dyDescent="0.25">
      <c r="A34" s="14" t="s">
        <v>26</v>
      </c>
      <c r="B34" s="28">
        <v>40453.049535941762</v>
      </c>
      <c r="C34" s="28">
        <v>41005.674065600768</v>
      </c>
      <c r="D34" s="28">
        <v>41413.25</v>
      </c>
      <c r="E34" s="50">
        <v>41922.32</v>
      </c>
      <c r="F34" s="28">
        <v>44708.960000000006</v>
      </c>
      <c r="G34" s="35">
        <v>45125.599999999991</v>
      </c>
      <c r="H34" s="35">
        <v>46046.79</v>
      </c>
      <c r="I34" s="35">
        <v>45872.729999999996</v>
      </c>
      <c r="J34" s="35">
        <v>46202.55</v>
      </c>
      <c r="K34" s="35">
        <v>46572.75</v>
      </c>
      <c r="L34" s="35">
        <v>46856.49</v>
      </c>
      <c r="M34" s="35">
        <v>47066.259999999995</v>
      </c>
      <c r="N34" s="35">
        <v>47350.09</v>
      </c>
    </row>
    <row r="35" spans="1:14" s="11" customFormat="1" x14ac:dyDescent="0.25">
      <c r="A35" s="20" t="s">
        <v>27</v>
      </c>
      <c r="B35" s="21">
        <v>101407.82762942779</v>
      </c>
      <c r="C35" s="21">
        <v>102757.67594913715</v>
      </c>
      <c r="D35" s="21">
        <v>105033.62</v>
      </c>
      <c r="E35" s="49">
        <v>106830.66</v>
      </c>
      <c r="F35" s="21">
        <v>113846.95999999999</v>
      </c>
      <c r="G35" s="34">
        <v>115675.54000000001</v>
      </c>
      <c r="H35" s="34">
        <v>117706.23000000001</v>
      </c>
      <c r="I35" s="34">
        <v>117735.18000000001</v>
      </c>
      <c r="J35" s="34">
        <v>119854.35</v>
      </c>
      <c r="K35" s="34">
        <v>121962.54</v>
      </c>
      <c r="L35" s="34">
        <v>123032.05</v>
      </c>
      <c r="M35" s="34">
        <v>124296.56999999999</v>
      </c>
      <c r="N35" s="34">
        <v>126062.54999999999</v>
      </c>
    </row>
    <row r="36" spans="1:14" s="11" customFormat="1" x14ac:dyDescent="0.25">
      <c r="A36" s="14" t="s">
        <v>28</v>
      </c>
      <c r="B36" s="28">
        <v>33466.924252297409</v>
      </c>
      <c r="C36" s="28">
        <v>34101.695864661662</v>
      </c>
      <c r="D36" s="28">
        <v>34619.000000000007</v>
      </c>
      <c r="E36" s="50">
        <v>34954.629999999997</v>
      </c>
      <c r="F36" s="28">
        <v>38292.460000000006</v>
      </c>
      <c r="G36" s="35">
        <v>38599.599999999999</v>
      </c>
      <c r="H36" s="35">
        <v>38804.76</v>
      </c>
      <c r="I36" s="35">
        <v>38916.600000000006</v>
      </c>
      <c r="J36" s="35">
        <v>39060.36</v>
      </c>
      <c r="K36" s="35">
        <v>39968.009999999995</v>
      </c>
      <c r="L36" s="35">
        <v>40455.409999999996</v>
      </c>
      <c r="M36" s="35">
        <v>40763.26</v>
      </c>
      <c r="N36" s="35">
        <v>40812.089999999997</v>
      </c>
    </row>
    <row r="37" spans="1:14" s="11" customFormat="1" x14ac:dyDescent="0.25">
      <c r="A37" s="20" t="s">
        <v>29</v>
      </c>
      <c r="B37" s="21">
        <v>26074.596612209803</v>
      </c>
      <c r="C37" s="21">
        <v>26736.702089423903</v>
      </c>
      <c r="D37" s="21">
        <v>27433.520000000004</v>
      </c>
      <c r="E37" s="49">
        <v>27742.760000000002</v>
      </c>
      <c r="F37" s="21">
        <v>29005.020000000004</v>
      </c>
      <c r="G37" s="34">
        <v>29286.94</v>
      </c>
      <c r="H37" s="34">
        <v>29557.42</v>
      </c>
      <c r="I37" s="34">
        <v>30004.029999999995</v>
      </c>
      <c r="J37" s="34">
        <v>29968.76</v>
      </c>
      <c r="K37" s="34">
        <v>30431.520000000004</v>
      </c>
      <c r="L37" s="34">
        <v>30787.360000000004</v>
      </c>
      <c r="M37" s="34">
        <v>30685.690000000002</v>
      </c>
      <c r="N37" s="34">
        <v>30741.039999999997</v>
      </c>
    </row>
    <row r="38" spans="1:14" s="11" customFormat="1" ht="13" thickBot="1" x14ac:dyDescent="0.3">
      <c r="A38" s="23" t="s">
        <v>30</v>
      </c>
      <c r="B38" s="24">
        <v>53110.07106382979</v>
      </c>
      <c r="C38" s="24">
        <v>54123.222544326243</v>
      </c>
      <c r="D38" s="24">
        <v>55637.649999999994</v>
      </c>
      <c r="E38" s="51">
        <v>56466.749999999993</v>
      </c>
      <c r="F38" s="24">
        <v>59723.840000000004</v>
      </c>
      <c r="G38" s="36">
        <v>60670.750000000007</v>
      </c>
      <c r="H38" s="36">
        <v>61701.96</v>
      </c>
      <c r="I38" s="36">
        <v>62032.560000000012</v>
      </c>
      <c r="J38" s="36">
        <v>63663.88</v>
      </c>
      <c r="K38" s="36">
        <v>64807.49</v>
      </c>
      <c r="L38" s="36">
        <v>65944.840000000011</v>
      </c>
      <c r="M38" s="36">
        <v>66860.810000000012</v>
      </c>
      <c r="N38" s="36">
        <v>67864.049999999988</v>
      </c>
    </row>
    <row r="39" spans="1:14" s="8" customFormat="1" ht="18" customHeight="1" x14ac:dyDescent="0.3">
      <c r="A39" s="17" t="s">
        <v>37</v>
      </c>
      <c r="C39" s="9"/>
      <c r="L39" s="10"/>
    </row>
    <row r="40" spans="1:14" x14ac:dyDescent="0.25">
      <c r="A40" s="39" t="s">
        <v>36</v>
      </c>
      <c r="L40" s="2"/>
    </row>
    <row r="41" spans="1:14" x14ac:dyDescent="0.25">
      <c r="A41" s="39" t="s">
        <v>39</v>
      </c>
      <c r="L41" s="2"/>
    </row>
    <row r="42" spans="1:14" x14ac:dyDescent="0.25">
      <c r="A42" s="38"/>
    </row>
    <row r="43" spans="1:14" ht="13" x14ac:dyDescent="0.3">
      <c r="A43" s="3"/>
    </row>
    <row r="45" spans="1:14" x14ac:dyDescent="0.25">
      <c r="A45" s="4"/>
    </row>
  </sheetData>
  <hyperlinks>
    <hyperlink ref="D3" r:id="rId1" xr:uid="{00000000-0004-0000-0100-000000000000}"/>
  </hyperlinks>
  <pageMargins left="0.70866141732283472" right="0.70866141732283472" top="0.74803149606299213" bottom="0.74803149606299213" header="0.31496062992125984" footer="0.31496062992125984"/>
  <pageSetup paperSize="9" fitToWidth="2" fitToHeight="2" orientation="landscape" r:id="rId2"/>
</worksheet>
</file>

<file path=customXML/_rels/item2.xml.rels>&#65279;<?xml version="1.0" encoding="utf-8"?><Relationships xmlns="http://schemas.openxmlformats.org/package/2006/relationships"><Relationship Type="http://schemas.openxmlformats.org/officeDocument/2006/relationships/customXmlProps" Target="/customXML/itemProps2.xml" Id="Rd3c4172d526e4b2384ade4b889302c76" /></Relationships>
</file>

<file path=customXML/item2.xml><?xml version="1.0" encoding="utf-8"?>
<metadata xmlns="http://www.objective.com/ecm/document/metadata/53D26341A57B383EE0540010E0463CCA" version="1.0.0">
  <systemFields>
    <field name="Objective-Id">
      <value order="0">A54284042</value>
    </field>
    <field name="Objective-Title">
      <value order="0">CTAXBASE 2025 - Tables - Band D equivalents</value>
    </field>
    <field name="Objective-Description">
      <value order="0"/>
    </field>
    <field name="Objective-CreationStamp">
      <value order="0">2025-10-06T14:19:58Z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2025-10-09T09:53:55Z</value>
    </field>
    <field name="Objective-Owner">
      <value order="0">Hunter, Jon J (U202042)</value>
    </field>
    <field name="Objective-Path">
      <value order="0">Objective Global Folder:SG File Plan:Government, politics and public administration:Local government:Finance - Council tax and non-domestic rates:Research and analysis: Finance - Council tax and non-domestic rates:Statistical: Statistical returns - Council tax 2025-26: Research and analysis: Finance - Council tax and domestic rates: 2025-2030</value>
    </field>
    <field name="Objective-Parent">
      <value order="0">Statistical: Statistical returns - Council tax 2025-26: Research and analysis: Finance - Council tax and domestic rates: 2025-2030</value>
    </field>
    <field name="Objective-State">
      <value order="0">Being Drafted</value>
    </field>
    <field name="Objective-VersionId">
      <value order="0">vA82196437</value>
    </field>
    <field name="Objective-Version">
      <value order="0">0.2</value>
    </field>
    <field name="Objective-VersionNumber">
      <value order="0">2</value>
    </field>
    <field name="Objective-VersionComment">
      <value order="0"/>
    </field>
    <field name="Objective-FileNumber">
      <value order="0">PUBRES/4614</value>
    </field>
    <field name="Objective-Classification">
      <value order="0">OFFICIAL-SENSITIVE</value>
    </field>
    <field name="Objective-Caveats">
      <value order="0">Caveat for access to SG Fileplan</value>
    </field>
  </systemFields>
  <catalogues>
    <catalogue name="Document Type Catalogue" type="type" ori="id:cA35">
      <field name="Objective-Date of Original">
        <value order="0"/>
      </field>
      <field name="Objective-Date Received">
        <value order="0"/>
      </field>
      <field name="Objective-SG Web Publication - Category">
        <value order="0"/>
      </field>
      <field name="Objective-SG Web Publication - Category 2 Classification">
        <value order="0"/>
      </field>
      <field name="Objective-Connect Creator">
        <value order="0"/>
      </field>
      <field name="Objective-Required Redaction">
        <value order="0"/>
      </field>
      <field name="Objective-Shared By">
        <value order="0"/>
      </field>
      <field name="Objective-Access Conditions">
        <value order="0"/>
      </field>
      <field name="Objective-Access Status">
        <value order="0"/>
      </field>
      <field name="Objective-Date Open From">
        <value order="0"/>
      </field>
    </catalogue>
  </catalogues>
</metadata>
</file>

<file path=customXML/itemProps2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53D26341A57B383EE0540010E0463C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Band D Equivalents</vt:lpstr>
      <vt:lpstr>Band D Equivalents after CTR</vt:lpstr>
      <vt:lpstr>'Band D Equivalents'!Print_Area</vt:lpstr>
      <vt:lpstr>'Band D Equivalents after CTR'!Print_Area</vt:lpstr>
    </vt:vector>
  </TitlesOfParts>
  <Company>Scottish Executive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Melling MA (Maria)</dc:creator>
  <cp:lastModifiedBy>Jon Hunter</cp:lastModifiedBy>
  <cp:lastPrinted>2017-10-11T09:49:55Z</cp:lastPrinted>
  <dcterms:created xsi:type="dcterms:W3CDTF">2009-10-20T09:00:21Z</dcterms:created>
  <dcterms:modified xsi:type="dcterms:W3CDTF">2025-10-09T09:53:47Z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ctive-Id">
    <vt:lpwstr>A54284042</vt:lpwstr>
  </property>
  <property fmtid="{D5CDD505-2E9C-101B-9397-08002B2CF9AE}" pid="3" name="Objective-Comment">
    <vt:lpwstr/>
  </property>
  <property fmtid="{D5CDD505-2E9C-101B-9397-08002B2CF9AE}" pid="4" name="Objective-CreationStamp">
    <vt:filetime>2025-10-06T14:19:58Z</vt:filetime>
  </property>
  <property fmtid="{D5CDD505-2E9C-101B-9397-08002B2CF9AE}" pid="5" name="Objective-IsApproved">
    <vt:bool>false</vt:bool>
  </property>
  <property fmtid="{D5CDD505-2E9C-101B-9397-08002B2CF9AE}" pid="6" name="Objective-IsPublished">
    <vt:bool>false</vt:bool>
  </property>
  <property fmtid="{D5CDD505-2E9C-101B-9397-08002B2CF9AE}" pid="7" name="Objective-DatePublished">
    <vt:lpwstr/>
  </property>
  <property fmtid="{D5CDD505-2E9C-101B-9397-08002B2CF9AE}" pid="8" name="Objective-ModificationStamp">
    <vt:filetime>2025-10-09T09:53:55Z</vt:filetime>
  </property>
  <property fmtid="{D5CDD505-2E9C-101B-9397-08002B2CF9AE}" pid="9" name="Objective-Owner">
    <vt:lpwstr>Hunter, Jon J (U202042)</vt:lpwstr>
  </property>
  <property fmtid="{D5CDD505-2E9C-101B-9397-08002B2CF9AE}" pid="10" name="Objective-Path">
    <vt:lpwstr>Objective Global Folder:SG File Plan:Government, politics and public administration:Local government:Finance - Council tax and non-domestic rates:Research and analysis: Finance - Council tax and non-domestic rates:Statistical: Statistical returns - Council tax 2025-26: Research and analysis: Finance - Council tax and domestic rates: 2025-2030</vt:lpwstr>
  </property>
  <property fmtid="{D5CDD505-2E9C-101B-9397-08002B2CF9AE}" pid="11" name="Objective-Parent">
    <vt:lpwstr>Statistical: Statistical returns - Council tax 2025-26: Research and analysis: Finance - Council tax and domestic rates: 2025-2030</vt:lpwstr>
  </property>
  <property fmtid="{D5CDD505-2E9C-101B-9397-08002B2CF9AE}" pid="12" name="Objective-State">
    <vt:lpwstr>Being Drafted</vt:lpwstr>
  </property>
  <property fmtid="{D5CDD505-2E9C-101B-9397-08002B2CF9AE}" pid="13" name="Objective-Title">
    <vt:lpwstr>CTAXBASE 2025 - Tables - Band D equivalents</vt:lpwstr>
  </property>
  <property fmtid="{D5CDD505-2E9C-101B-9397-08002B2CF9AE}" pid="14" name="Objective-Version">
    <vt:lpwstr>0.2</vt:lpwstr>
  </property>
  <property fmtid="{D5CDD505-2E9C-101B-9397-08002B2CF9AE}" pid="15" name="Objective-VersionComment">
    <vt:lpwstr/>
  </property>
  <property fmtid="{D5CDD505-2E9C-101B-9397-08002B2CF9AE}" pid="16" name="Objective-VersionNumber">
    <vt:r8>2</vt:r8>
  </property>
  <property fmtid="{D5CDD505-2E9C-101B-9397-08002B2CF9AE}" pid="17" name="Objective-FileNumber">
    <vt:lpwstr>PUBRES/4614</vt:lpwstr>
  </property>
  <property fmtid="{D5CDD505-2E9C-101B-9397-08002B2CF9AE}" pid="18" name="Objective-Classification">
    <vt:lpwstr>OFFICIAL-SENSITIVE</vt:lpwstr>
  </property>
  <property fmtid="{D5CDD505-2E9C-101B-9397-08002B2CF9AE}" pid="19" name="Objective-Caveats">
    <vt:lpwstr>Caveat for access to SG Fileplan</vt:lpwstr>
  </property>
  <property fmtid="{D5CDD505-2E9C-101B-9397-08002B2CF9AE}" pid="20" name="Objective-Date of Original [system]">
    <vt:lpwstr/>
  </property>
  <property fmtid="{D5CDD505-2E9C-101B-9397-08002B2CF9AE}" pid="21" name="Objective-Date Received [system]">
    <vt:lpwstr/>
  </property>
  <property fmtid="{D5CDD505-2E9C-101B-9397-08002B2CF9AE}" pid="22" name="Objective-SG Web Publication - Category [system]">
    <vt:lpwstr/>
  </property>
  <property fmtid="{D5CDD505-2E9C-101B-9397-08002B2CF9AE}" pid="23" name="Objective-SG Web Publication - Category 2 Classification [system]">
    <vt:lpwstr/>
  </property>
  <property fmtid="{D5CDD505-2E9C-101B-9397-08002B2CF9AE}" pid="24" name="Objective-Description">
    <vt:lpwstr/>
  </property>
  <property fmtid="{D5CDD505-2E9C-101B-9397-08002B2CF9AE}" pid="25" name="Objective-VersionId">
    <vt:lpwstr>vA82196437</vt:lpwstr>
  </property>
  <property fmtid="{D5CDD505-2E9C-101B-9397-08002B2CF9AE}" pid="26" name="Objective-Date Received">
    <vt:lpwstr/>
  </property>
  <property fmtid="{D5CDD505-2E9C-101B-9397-08002B2CF9AE}" pid="27" name="Objective-Date of Original">
    <vt:lpwstr/>
  </property>
  <property fmtid="{D5CDD505-2E9C-101B-9397-08002B2CF9AE}" pid="28" name="Objective-SG Web Publication - Category">
    <vt:lpwstr/>
  </property>
  <property fmtid="{D5CDD505-2E9C-101B-9397-08002B2CF9AE}" pid="29" name="Objective-SG Web Publication - Category 2 Classification">
    <vt:lpwstr/>
  </property>
  <property fmtid="{D5CDD505-2E9C-101B-9397-08002B2CF9AE}" pid="30" name="Objective-Connect Creator">
    <vt:lpwstr/>
  </property>
  <property fmtid="{D5CDD505-2E9C-101B-9397-08002B2CF9AE}" pid="31" name="Objective-Connect Creator [system]">
    <vt:lpwstr/>
  </property>
  <property fmtid="{D5CDD505-2E9C-101B-9397-08002B2CF9AE}" pid="32" name="Objective-Required Redaction">
    <vt:lpwstr/>
  </property>
  <property fmtid="{D5CDD505-2E9C-101B-9397-08002B2CF9AE}" pid="33" name="Objective-Shared By">
    <vt:lpwstr/>
  </property>
  <property fmtid="{D5CDD505-2E9C-101B-9397-08002B2CF9AE}" pid="34" name="Objective-Access Conditions">
    <vt:lpwstr/>
  </property>
  <property fmtid="{D5CDD505-2E9C-101B-9397-08002B2CF9AE}" pid="35" name="Objective-Access Status">
    <vt:lpwstr/>
  </property>
  <property fmtid="{D5CDD505-2E9C-101B-9397-08002B2CF9AE}" pid="36" name="Objective-Date Open From">
    <vt:lpwstr/>
  </property>
</Properties>
</file>